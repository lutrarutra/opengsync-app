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drawings/drawing5.xml" ContentType="application/vnd.openxmlformats-officedocument.drawing+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hriegler\Documents\limbless-app\services\opengsync-app\static\resources\templates\library_prep\"/>
    </mc:Choice>
  </mc:AlternateContent>
  <xr:revisionPtr revIDLastSave="0" documentId="13_ncr:1_{E2CF7A5F-A80C-4407-8EC8-02C7C270D077}" xr6:coauthVersionLast="47" xr6:coauthVersionMax="47" xr10:uidLastSave="{00000000-0000-0000-0000-000000000000}"/>
  <bookViews>
    <workbookView xWindow="-120" yWindow="-120" windowWidth="29040" windowHeight="17520" activeTab="5" xr2:uid="{FD6D6085-83E5-4D2F-AE9C-0BBF0DDED22F}"/>
  </bookViews>
  <sheets>
    <sheet name="prep_table" sheetId="6" r:id="rId1"/>
    <sheet name="10X_table" sheetId="7" r:id="rId2"/>
    <sheet name="FLEX_table" sheetId="3" r:id="rId3"/>
    <sheet name="3' GEMX" sheetId="15" r:id="rId4"/>
    <sheet name="3'_OCM_4plex" sheetId="13" r:id="rId5"/>
    <sheet name="Flex_GEMX_v2" sheetId="18" r:id="rId6"/>
    <sheet name="5'_GEMX" sheetId="14" r:id="rId7"/>
    <sheet name="5'_OCM_4plex" sheetId="16" r:id="rId8"/>
    <sheet name="Equal_Pooling_RevB" sheetId="4" r:id="rId9"/>
    <sheet name="Pooling" sheetId="11" r:id="rId10"/>
    <sheet name="Sheet1" sheetId="19" r:id="rId11"/>
  </sheets>
  <externalReferences>
    <externalReference r:id="rId12"/>
  </externalReferences>
  <definedNames>
    <definedName name="_Hlk114062637" localSheetId="3">'3'' GEMX'!$C$120</definedName>
    <definedName name="_Hlk114062637" localSheetId="4">'3''_OCM_4plex'!$C$114</definedName>
    <definedName name="_Hlk114062637" localSheetId="6">'5''_GEMX'!$C$216</definedName>
    <definedName name="_Hlk114062637" localSheetId="7">'5''_OCM_4plex'!$C$208</definedName>
    <definedName name="_Hlk114062637" localSheetId="5">Flex_GEMX_v2!$C$199</definedName>
    <definedName name="_xlnm.Print_Area" localSheetId="8">Equal_Pooling_RevB!$A$1:$K$34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3" l="1"/>
  <c r="D4" i="3"/>
  <c r="D5" i="3"/>
  <c r="D6" i="3"/>
  <c r="D7" i="3"/>
  <c r="D8" i="3"/>
  <c r="D9" i="3"/>
  <c r="D10" i="3"/>
  <c r="D11" i="3"/>
  <c r="D12" i="3"/>
  <c r="D13" i="3"/>
  <c r="D14" i="3"/>
  <c r="D15" i="3"/>
  <c r="D16" i="3"/>
  <c r="D17" i="3"/>
  <c r="D2" i="3"/>
  <c r="F82" i="18"/>
  <c r="F83" i="18"/>
  <c r="F81" i="18"/>
  <c r="F17" i="18" l="1"/>
  <c r="E18" i="18"/>
  <c r="F18" i="18" s="1"/>
  <c r="E19" i="18"/>
  <c r="F19" i="18"/>
  <c r="D24" i="18" a="1"/>
  <c r="D24" i="18" s="1"/>
  <c r="H24" i="18" a="1"/>
  <c r="H24" i="18" s="1"/>
  <c r="F38" i="18"/>
  <c r="F39" i="18"/>
  <c r="F40" i="18"/>
  <c r="F41" i="18"/>
  <c r="F42" i="18"/>
  <c r="E43" i="18"/>
  <c r="F43" i="18" s="1"/>
  <c r="D46" i="18" a="1"/>
  <c r="D46" i="18" s="1"/>
  <c r="E46" i="18" a="1"/>
  <c r="E46" i="18" s="1"/>
  <c r="F46" i="18" a="1"/>
  <c r="F46" i="18" s="1"/>
  <c r="I46" i="18" a="1"/>
  <c r="I46" i="18" s="1"/>
  <c r="J46" i="18" a="1"/>
  <c r="J46" i="18" s="1"/>
  <c r="L46" i="18" a="1"/>
  <c r="L46" i="18" s="1"/>
  <c r="F59" i="18"/>
  <c r="F60" i="18"/>
  <c r="F61" i="18"/>
  <c r="F62" i="18"/>
  <c r="E63" i="18"/>
  <c r="F65" i="18"/>
  <c r="F66" i="18"/>
  <c r="F67" i="18"/>
  <c r="E68" i="18"/>
  <c r="F80" i="18"/>
  <c r="E84" i="18"/>
  <c r="F84" i="18"/>
  <c r="E95" i="18"/>
  <c r="F120" i="18"/>
  <c r="F121" i="18"/>
  <c r="F122" i="18"/>
  <c r="F123" i="18"/>
  <c r="E124" i="18"/>
  <c r="F138" i="18"/>
  <c r="F139" i="18"/>
  <c r="F140" i="18"/>
  <c r="E141" i="18"/>
  <c r="F147" i="18"/>
  <c r="F148" i="18"/>
  <c r="F149" i="18"/>
  <c r="F150" i="18"/>
  <c r="E151" i="18"/>
  <c r="F155" i="18"/>
  <c r="F156" i="18"/>
  <c r="F157" i="18"/>
  <c r="E158" i="18"/>
  <c r="B160" i="18"/>
  <c r="C163" i="18"/>
  <c r="D163" i="18"/>
  <c r="E163" i="18"/>
  <c r="F163" i="18"/>
  <c r="G163" i="18"/>
  <c r="H163" i="18"/>
  <c r="I163" i="18"/>
  <c r="J163" i="18"/>
  <c r="K163" i="18"/>
  <c r="L163" i="18"/>
  <c r="M163" i="18"/>
  <c r="N163" i="18"/>
  <c r="C164" i="18"/>
  <c r="D164" i="18"/>
  <c r="E164" i="18"/>
  <c r="F164" i="18"/>
  <c r="G164" i="18"/>
  <c r="H164" i="18"/>
  <c r="I164" i="18"/>
  <c r="J164" i="18"/>
  <c r="K164" i="18"/>
  <c r="L164" i="18"/>
  <c r="M164" i="18"/>
  <c r="N164" i="18"/>
  <c r="C165" i="18"/>
  <c r="D165" i="18"/>
  <c r="E165" i="18"/>
  <c r="F165" i="18"/>
  <c r="G165" i="18"/>
  <c r="H165" i="18"/>
  <c r="I165" i="18"/>
  <c r="J165" i="18"/>
  <c r="K165" i="18"/>
  <c r="L165" i="18"/>
  <c r="M165" i="18"/>
  <c r="N165" i="18"/>
  <c r="C166" i="18"/>
  <c r="D166" i="18"/>
  <c r="E166" i="18"/>
  <c r="F166" i="18"/>
  <c r="G166" i="18"/>
  <c r="H166" i="18"/>
  <c r="I166" i="18"/>
  <c r="J166" i="18"/>
  <c r="K166" i="18"/>
  <c r="L166" i="18"/>
  <c r="M166" i="18"/>
  <c r="N166" i="18"/>
  <c r="C167" i="18"/>
  <c r="D167" i="18"/>
  <c r="E167" i="18"/>
  <c r="F167" i="18"/>
  <c r="G167" i="18"/>
  <c r="H167" i="18"/>
  <c r="I167" i="18"/>
  <c r="J167" i="18"/>
  <c r="K167" i="18"/>
  <c r="L167" i="18"/>
  <c r="M167" i="18"/>
  <c r="N167" i="18"/>
  <c r="C168" i="18"/>
  <c r="D168" i="18"/>
  <c r="E168" i="18"/>
  <c r="F168" i="18"/>
  <c r="G168" i="18"/>
  <c r="H168" i="18"/>
  <c r="I168" i="18"/>
  <c r="J168" i="18"/>
  <c r="K168" i="18"/>
  <c r="L168" i="18"/>
  <c r="M168" i="18"/>
  <c r="N168" i="18"/>
  <c r="C169" i="18"/>
  <c r="D169" i="18"/>
  <c r="E169" i="18"/>
  <c r="F169" i="18"/>
  <c r="G169" i="18"/>
  <c r="H169" i="18"/>
  <c r="I169" i="18"/>
  <c r="J169" i="18"/>
  <c r="K169" i="18"/>
  <c r="L169" i="18"/>
  <c r="M169" i="18"/>
  <c r="N169" i="18"/>
  <c r="C170" i="18"/>
  <c r="D170" i="18"/>
  <c r="E170" i="18"/>
  <c r="F170" i="18"/>
  <c r="G170" i="18"/>
  <c r="H170" i="18"/>
  <c r="I170" i="18"/>
  <c r="J170" i="18"/>
  <c r="K170" i="18"/>
  <c r="L170" i="18"/>
  <c r="M170" i="18"/>
  <c r="N170" i="18"/>
  <c r="E172" i="18"/>
  <c r="F124" i="18" l="1"/>
  <c r="F68" i="18"/>
  <c r="F151" i="18"/>
  <c r="F63" i="18"/>
  <c r="F158" i="18"/>
  <c r="F141" i="18"/>
  <c r="N192" i="16" l="1"/>
  <c r="M192" i="16"/>
  <c r="L192" i="16"/>
  <c r="K192" i="16"/>
  <c r="J192" i="16"/>
  <c r="I192" i="16"/>
  <c r="H192" i="16"/>
  <c r="G192" i="16"/>
  <c r="F192" i="16"/>
  <c r="E192" i="16"/>
  <c r="D192" i="16"/>
  <c r="C192" i="16"/>
  <c r="N191" i="16"/>
  <c r="M191" i="16"/>
  <c r="L191" i="16"/>
  <c r="K191" i="16"/>
  <c r="J191" i="16"/>
  <c r="I191" i="16"/>
  <c r="H191" i="16"/>
  <c r="G191" i="16"/>
  <c r="F191" i="16"/>
  <c r="E191" i="16"/>
  <c r="D191" i="16"/>
  <c r="C191" i="16"/>
  <c r="N190" i="16"/>
  <c r="M190" i="16"/>
  <c r="L190" i="16"/>
  <c r="K190" i="16"/>
  <c r="J190" i="16"/>
  <c r="I190" i="16"/>
  <c r="H190" i="16"/>
  <c r="G190" i="16"/>
  <c r="F190" i="16"/>
  <c r="E190" i="16"/>
  <c r="D190" i="16"/>
  <c r="C190" i="16"/>
  <c r="N189" i="16"/>
  <c r="M189" i="16"/>
  <c r="L189" i="16"/>
  <c r="K189" i="16"/>
  <c r="J189" i="16"/>
  <c r="I189" i="16"/>
  <c r="H189" i="16"/>
  <c r="G189" i="16"/>
  <c r="F189" i="16"/>
  <c r="E189" i="16"/>
  <c r="D189" i="16"/>
  <c r="C189" i="16"/>
  <c r="N188" i="16"/>
  <c r="M188" i="16"/>
  <c r="L188" i="16"/>
  <c r="K188" i="16"/>
  <c r="J188" i="16"/>
  <c r="I188" i="16"/>
  <c r="H188" i="16"/>
  <c r="G188" i="16"/>
  <c r="F188" i="16"/>
  <c r="E188" i="16"/>
  <c r="D188" i="16"/>
  <c r="C188" i="16"/>
  <c r="N187" i="16"/>
  <c r="M187" i="16"/>
  <c r="L187" i="16"/>
  <c r="K187" i="16"/>
  <c r="J187" i="16"/>
  <c r="I187" i="16"/>
  <c r="H187" i="16"/>
  <c r="G187" i="16"/>
  <c r="F187" i="16"/>
  <c r="E187" i="16"/>
  <c r="D187" i="16"/>
  <c r="C187" i="16"/>
  <c r="N186" i="16"/>
  <c r="M186" i="16"/>
  <c r="L186" i="16"/>
  <c r="K186" i="16"/>
  <c r="J186" i="16"/>
  <c r="I186" i="16"/>
  <c r="H186" i="16"/>
  <c r="G186" i="16"/>
  <c r="F186" i="16"/>
  <c r="E186" i="16"/>
  <c r="D186" i="16"/>
  <c r="C186" i="16"/>
  <c r="N185" i="16"/>
  <c r="M185" i="16"/>
  <c r="L185" i="16"/>
  <c r="K185" i="16"/>
  <c r="J185" i="16"/>
  <c r="I185" i="16"/>
  <c r="H185" i="16"/>
  <c r="G185" i="16"/>
  <c r="F185" i="16"/>
  <c r="E185" i="16"/>
  <c r="D185" i="16"/>
  <c r="C185" i="16"/>
  <c r="E181" i="16"/>
  <c r="F180" i="16"/>
  <c r="F179" i="16"/>
  <c r="F178" i="16"/>
  <c r="E169" i="16"/>
  <c r="N167" i="16"/>
  <c r="M167" i="16"/>
  <c r="L167" i="16"/>
  <c r="K167" i="16"/>
  <c r="J167" i="16"/>
  <c r="I167" i="16"/>
  <c r="H167" i="16"/>
  <c r="G167" i="16"/>
  <c r="F167" i="16"/>
  <c r="E167" i="16"/>
  <c r="D167" i="16"/>
  <c r="C167" i="16"/>
  <c r="N166" i="16"/>
  <c r="M166" i="16"/>
  <c r="L166" i="16"/>
  <c r="K166" i="16"/>
  <c r="J166" i="16"/>
  <c r="I166" i="16"/>
  <c r="H166" i="16"/>
  <c r="G166" i="16"/>
  <c r="F166" i="16"/>
  <c r="E166" i="16"/>
  <c r="D166" i="16"/>
  <c r="C166" i="16"/>
  <c r="N165" i="16"/>
  <c r="M165" i="16"/>
  <c r="L165" i="16"/>
  <c r="K165" i="16"/>
  <c r="J165" i="16"/>
  <c r="I165" i="16"/>
  <c r="H165" i="16"/>
  <c r="G165" i="16"/>
  <c r="F165" i="16"/>
  <c r="E165" i="16"/>
  <c r="D165" i="16"/>
  <c r="C165" i="16"/>
  <c r="N164" i="16"/>
  <c r="M164" i="16"/>
  <c r="L164" i="16"/>
  <c r="K164" i="16"/>
  <c r="J164" i="16"/>
  <c r="I164" i="16"/>
  <c r="H164" i="16"/>
  <c r="G164" i="16"/>
  <c r="F164" i="16"/>
  <c r="E164" i="16"/>
  <c r="D164" i="16"/>
  <c r="C164" i="16"/>
  <c r="N163" i="16"/>
  <c r="M163" i="16"/>
  <c r="L163" i="16"/>
  <c r="K163" i="16"/>
  <c r="J163" i="16"/>
  <c r="I163" i="16"/>
  <c r="H163" i="16"/>
  <c r="G163" i="16"/>
  <c r="F163" i="16"/>
  <c r="E163" i="16"/>
  <c r="D163" i="16"/>
  <c r="C163" i="16"/>
  <c r="N162" i="16"/>
  <c r="M162" i="16"/>
  <c r="L162" i="16"/>
  <c r="K162" i="16"/>
  <c r="J162" i="16"/>
  <c r="I162" i="16"/>
  <c r="H162" i="16"/>
  <c r="G162" i="16"/>
  <c r="F162" i="16"/>
  <c r="E162" i="16"/>
  <c r="D162" i="16"/>
  <c r="C162" i="16"/>
  <c r="N161" i="16"/>
  <c r="M161" i="16"/>
  <c r="L161" i="16"/>
  <c r="K161" i="16"/>
  <c r="J161" i="16"/>
  <c r="I161" i="16"/>
  <c r="H161" i="16"/>
  <c r="G161" i="16"/>
  <c r="F161" i="16"/>
  <c r="E161" i="16"/>
  <c r="D161" i="16"/>
  <c r="C161" i="16"/>
  <c r="N160" i="16"/>
  <c r="M160" i="16"/>
  <c r="L160" i="16"/>
  <c r="K160" i="16"/>
  <c r="J160" i="16"/>
  <c r="I160" i="16"/>
  <c r="H160" i="16"/>
  <c r="G160" i="16"/>
  <c r="F160" i="16"/>
  <c r="E160" i="16"/>
  <c r="D160" i="16"/>
  <c r="C160" i="16"/>
  <c r="B157" i="16"/>
  <c r="E152" i="16"/>
  <c r="F151" i="16"/>
  <c r="F150" i="16"/>
  <c r="F149" i="16"/>
  <c r="E141" i="16"/>
  <c r="F140" i="16"/>
  <c r="F139" i="16"/>
  <c r="F138" i="16"/>
  <c r="E130" i="16"/>
  <c r="N128" i="16"/>
  <c r="M128" i="16"/>
  <c r="L128" i="16"/>
  <c r="K128" i="16"/>
  <c r="J128" i="16"/>
  <c r="I128" i="16"/>
  <c r="H128" i="16"/>
  <c r="G128" i="16"/>
  <c r="F128" i="16"/>
  <c r="E128" i="16"/>
  <c r="D128" i="16"/>
  <c r="C128" i="16"/>
  <c r="N127" i="16"/>
  <c r="M127" i="16"/>
  <c r="L127" i="16"/>
  <c r="K127" i="16"/>
  <c r="J127" i="16"/>
  <c r="I127" i="16"/>
  <c r="H127" i="16"/>
  <c r="G127" i="16"/>
  <c r="F127" i="16"/>
  <c r="E127" i="16"/>
  <c r="D127" i="16"/>
  <c r="C127" i="16"/>
  <c r="N126" i="16"/>
  <c r="M126" i="16"/>
  <c r="L126" i="16"/>
  <c r="K126" i="16"/>
  <c r="J126" i="16"/>
  <c r="I126" i="16"/>
  <c r="H126" i="16"/>
  <c r="G126" i="16"/>
  <c r="F126" i="16"/>
  <c r="E126" i="16"/>
  <c r="D126" i="16"/>
  <c r="C126" i="16"/>
  <c r="N125" i="16"/>
  <c r="M125" i="16"/>
  <c r="L125" i="16"/>
  <c r="K125" i="16"/>
  <c r="J125" i="16"/>
  <c r="I125" i="16"/>
  <c r="H125" i="16"/>
  <c r="G125" i="16"/>
  <c r="F125" i="16"/>
  <c r="E125" i="16"/>
  <c r="D125" i="16"/>
  <c r="C125" i="16"/>
  <c r="N124" i="16"/>
  <c r="M124" i="16"/>
  <c r="L124" i="16"/>
  <c r="K124" i="16"/>
  <c r="J124" i="16"/>
  <c r="I124" i="16"/>
  <c r="H124" i="16"/>
  <c r="G124" i="16"/>
  <c r="F124" i="16"/>
  <c r="E124" i="16"/>
  <c r="D124" i="16"/>
  <c r="C124" i="16"/>
  <c r="N123" i="16"/>
  <c r="M123" i="16"/>
  <c r="L123" i="16"/>
  <c r="K123" i="16"/>
  <c r="J123" i="16"/>
  <c r="I123" i="16"/>
  <c r="H123" i="16"/>
  <c r="G123" i="16"/>
  <c r="F123" i="16"/>
  <c r="E123" i="16"/>
  <c r="D123" i="16"/>
  <c r="C123" i="16"/>
  <c r="N122" i="16"/>
  <c r="M122" i="16"/>
  <c r="L122" i="16"/>
  <c r="K122" i="16"/>
  <c r="J122" i="16"/>
  <c r="I122" i="16"/>
  <c r="H122" i="16"/>
  <c r="G122" i="16"/>
  <c r="F122" i="16"/>
  <c r="E122" i="16"/>
  <c r="D122" i="16"/>
  <c r="C122" i="16"/>
  <c r="N121" i="16"/>
  <c r="M121" i="16"/>
  <c r="L121" i="16"/>
  <c r="K121" i="16"/>
  <c r="J121" i="16"/>
  <c r="I121" i="16"/>
  <c r="H121" i="16"/>
  <c r="G121" i="16"/>
  <c r="F121" i="16"/>
  <c r="E121" i="16"/>
  <c r="D121" i="16"/>
  <c r="C121" i="16"/>
  <c r="B118" i="16"/>
  <c r="E113" i="16"/>
  <c r="F112" i="16"/>
  <c r="F111" i="16"/>
  <c r="F110" i="16"/>
  <c r="E104" i="16"/>
  <c r="F103" i="16"/>
  <c r="F102" i="16"/>
  <c r="F104" i="16" s="1"/>
  <c r="F101" i="16"/>
  <c r="E90" i="16"/>
  <c r="F89" i="16"/>
  <c r="F88" i="16"/>
  <c r="F87" i="16"/>
  <c r="E77" i="16"/>
  <c r="F76" i="16"/>
  <c r="F75" i="16"/>
  <c r="F77" i="16" s="1"/>
  <c r="F74" i="16"/>
  <c r="D25" i="16"/>
  <c r="D26" i="16"/>
  <c r="D27" i="16"/>
  <c r="D28" i="16"/>
  <c r="D29" i="16"/>
  <c r="D30" i="16"/>
  <c r="D31" i="16"/>
  <c r="D24" i="16"/>
  <c r="E20" i="16"/>
  <c r="J56" i="16"/>
  <c r="K55" i="16"/>
  <c r="K54" i="16"/>
  <c r="K53" i="16"/>
  <c r="E51" i="16"/>
  <c r="F50" i="16"/>
  <c r="F49" i="16"/>
  <c r="F48" i="16"/>
  <c r="F47" i="16"/>
  <c r="J46" i="16"/>
  <c r="K45" i="16"/>
  <c r="K44" i="16"/>
  <c r="K43" i="16"/>
  <c r="K42" i="16"/>
  <c r="K41" i="16"/>
  <c r="F19" i="16"/>
  <c r="F18" i="16"/>
  <c r="F17" i="16"/>
  <c r="F16" i="16"/>
  <c r="F15" i="16"/>
  <c r="E99" i="15"/>
  <c r="N97" i="15"/>
  <c r="M97" i="15"/>
  <c r="L97" i="15"/>
  <c r="K97" i="15"/>
  <c r="J97" i="15"/>
  <c r="I97" i="15"/>
  <c r="H97" i="15"/>
  <c r="G97" i="15"/>
  <c r="F97" i="15"/>
  <c r="E97" i="15"/>
  <c r="D97" i="15"/>
  <c r="C97" i="15"/>
  <c r="N96" i="15"/>
  <c r="M96" i="15"/>
  <c r="L96" i="15"/>
  <c r="K96" i="15"/>
  <c r="J96" i="15"/>
  <c r="I96" i="15"/>
  <c r="H96" i="15"/>
  <c r="G96" i="15"/>
  <c r="F96" i="15"/>
  <c r="E96" i="15"/>
  <c r="D96" i="15"/>
  <c r="C96" i="15"/>
  <c r="N95" i="15"/>
  <c r="M95" i="15"/>
  <c r="L95" i="15"/>
  <c r="K95" i="15"/>
  <c r="J95" i="15"/>
  <c r="I95" i="15"/>
  <c r="H95" i="15"/>
  <c r="G95" i="15"/>
  <c r="F95" i="15"/>
  <c r="E95" i="15"/>
  <c r="D95" i="15"/>
  <c r="C95" i="15"/>
  <c r="N94" i="15"/>
  <c r="M94" i="15"/>
  <c r="L94" i="15"/>
  <c r="K94" i="15"/>
  <c r="J94" i="15"/>
  <c r="I94" i="15"/>
  <c r="H94" i="15"/>
  <c r="G94" i="15"/>
  <c r="F94" i="15"/>
  <c r="E94" i="15"/>
  <c r="D94" i="15"/>
  <c r="C94" i="15"/>
  <c r="N93" i="15"/>
  <c r="M93" i="15"/>
  <c r="L93" i="15"/>
  <c r="K93" i="15"/>
  <c r="J93" i="15"/>
  <c r="I93" i="15"/>
  <c r="H93" i="15"/>
  <c r="G93" i="15"/>
  <c r="F93" i="15"/>
  <c r="E93" i="15"/>
  <c r="D93" i="15"/>
  <c r="C93" i="15"/>
  <c r="N92" i="15"/>
  <c r="M92" i="15"/>
  <c r="L92" i="15"/>
  <c r="K92" i="15"/>
  <c r="J92" i="15"/>
  <c r="I92" i="15"/>
  <c r="H92" i="15"/>
  <c r="G92" i="15"/>
  <c r="F92" i="15"/>
  <c r="E92" i="15"/>
  <c r="D92" i="15"/>
  <c r="C92" i="15"/>
  <c r="N91" i="15"/>
  <c r="M91" i="15"/>
  <c r="L91" i="15"/>
  <c r="K91" i="15"/>
  <c r="J91" i="15"/>
  <c r="I91" i="15"/>
  <c r="H91" i="15"/>
  <c r="G91" i="15"/>
  <c r="F91" i="15"/>
  <c r="E91" i="15"/>
  <c r="N90" i="15"/>
  <c r="M90" i="15"/>
  <c r="L90" i="15"/>
  <c r="K90" i="15"/>
  <c r="J90" i="15"/>
  <c r="I90" i="15"/>
  <c r="H90" i="15"/>
  <c r="G90" i="15"/>
  <c r="F90" i="15"/>
  <c r="E90" i="15"/>
  <c r="D90" i="15"/>
  <c r="C90" i="15"/>
  <c r="B87" i="15"/>
  <c r="E82" i="15"/>
  <c r="F81" i="15"/>
  <c r="F80" i="15"/>
  <c r="F79" i="15"/>
  <c r="E71" i="15"/>
  <c r="F70" i="15"/>
  <c r="F69" i="15"/>
  <c r="F68" i="15"/>
  <c r="J57" i="15"/>
  <c r="K56" i="15"/>
  <c r="K55" i="15"/>
  <c r="K54" i="15"/>
  <c r="E52" i="15"/>
  <c r="F51" i="15"/>
  <c r="F50" i="15"/>
  <c r="F49" i="15"/>
  <c r="F52" i="15" s="1"/>
  <c r="F48" i="15"/>
  <c r="J47" i="15"/>
  <c r="K46" i="15"/>
  <c r="K45" i="15"/>
  <c r="K44" i="15"/>
  <c r="K43" i="15"/>
  <c r="K42" i="15"/>
  <c r="E20" i="15"/>
  <c r="F19" i="15"/>
  <c r="F18" i="15"/>
  <c r="F17" i="15"/>
  <c r="F16" i="15"/>
  <c r="F15" i="15"/>
  <c r="F82" i="15" l="1"/>
  <c r="F90" i="16"/>
  <c r="F71" i="15"/>
  <c r="F20" i="15"/>
  <c r="K56" i="16"/>
  <c r="F152" i="16"/>
  <c r="F141" i="16"/>
  <c r="F113" i="16"/>
  <c r="F181" i="16"/>
  <c r="F51" i="16"/>
  <c r="K46" i="16"/>
  <c r="F20" i="16"/>
  <c r="K47" i="15"/>
  <c r="K57" i="15"/>
  <c r="N192" i="14"/>
  <c r="M192" i="14"/>
  <c r="L192" i="14"/>
  <c r="K192" i="14"/>
  <c r="J192" i="14"/>
  <c r="I192" i="14"/>
  <c r="H192" i="14"/>
  <c r="G192" i="14"/>
  <c r="F192" i="14"/>
  <c r="E192" i="14"/>
  <c r="D192" i="14"/>
  <c r="C192" i="14"/>
  <c r="N191" i="14"/>
  <c r="M191" i="14"/>
  <c r="L191" i="14"/>
  <c r="K191" i="14"/>
  <c r="J191" i="14"/>
  <c r="I191" i="14"/>
  <c r="H191" i="14"/>
  <c r="G191" i="14"/>
  <c r="F191" i="14"/>
  <c r="E191" i="14"/>
  <c r="D191" i="14"/>
  <c r="C191" i="14"/>
  <c r="N190" i="14"/>
  <c r="M190" i="14"/>
  <c r="L190" i="14"/>
  <c r="K190" i="14"/>
  <c r="J190" i="14"/>
  <c r="I190" i="14"/>
  <c r="H190" i="14"/>
  <c r="G190" i="14"/>
  <c r="F190" i="14"/>
  <c r="E190" i="14"/>
  <c r="D190" i="14"/>
  <c r="C190" i="14"/>
  <c r="N189" i="14"/>
  <c r="M189" i="14"/>
  <c r="L189" i="14"/>
  <c r="K189" i="14"/>
  <c r="J189" i="14"/>
  <c r="I189" i="14"/>
  <c r="H189" i="14"/>
  <c r="G189" i="14"/>
  <c r="F189" i="14"/>
  <c r="E189" i="14"/>
  <c r="D189" i="14"/>
  <c r="C189" i="14"/>
  <c r="N188" i="14"/>
  <c r="M188" i="14"/>
  <c r="L188" i="14"/>
  <c r="K188" i="14"/>
  <c r="J188" i="14"/>
  <c r="I188" i="14"/>
  <c r="H188" i="14"/>
  <c r="G188" i="14"/>
  <c r="F188" i="14"/>
  <c r="E188" i="14"/>
  <c r="D188" i="14"/>
  <c r="C188" i="14"/>
  <c r="N187" i="14"/>
  <c r="M187" i="14"/>
  <c r="L187" i="14"/>
  <c r="K187" i="14"/>
  <c r="J187" i="14"/>
  <c r="I187" i="14"/>
  <c r="H187" i="14"/>
  <c r="G187" i="14"/>
  <c r="F187" i="14"/>
  <c r="E187" i="14"/>
  <c r="D187" i="14"/>
  <c r="C187" i="14"/>
  <c r="N186" i="14"/>
  <c r="M186" i="14"/>
  <c r="L186" i="14"/>
  <c r="K186" i="14"/>
  <c r="J186" i="14"/>
  <c r="I186" i="14"/>
  <c r="H186" i="14"/>
  <c r="G186" i="14"/>
  <c r="F186" i="14"/>
  <c r="E186" i="14"/>
  <c r="D186" i="14"/>
  <c r="C186" i="14"/>
  <c r="N185" i="14"/>
  <c r="M185" i="14"/>
  <c r="L185" i="14"/>
  <c r="K185" i="14"/>
  <c r="J185" i="14"/>
  <c r="I185" i="14"/>
  <c r="H185" i="14"/>
  <c r="G185" i="14"/>
  <c r="F185" i="14"/>
  <c r="E185" i="14"/>
  <c r="D185" i="14"/>
  <c r="C185" i="14"/>
  <c r="E181" i="14"/>
  <c r="F180" i="14"/>
  <c r="F179" i="14"/>
  <c r="F178" i="14"/>
  <c r="E169" i="14"/>
  <c r="N167" i="14"/>
  <c r="M167" i="14"/>
  <c r="L167" i="14"/>
  <c r="K167" i="14"/>
  <c r="J167" i="14"/>
  <c r="I167" i="14"/>
  <c r="H167" i="14"/>
  <c r="G167" i="14"/>
  <c r="F167" i="14"/>
  <c r="E167" i="14"/>
  <c r="D167" i="14"/>
  <c r="C167" i="14"/>
  <c r="N166" i="14"/>
  <c r="M166" i="14"/>
  <c r="L166" i="14"/>
  <c r="K166" i="14"/>
  <c r="J166" i="14"/>
  <c r="I166" i="14"/>
  <c r="H166" i="14"/>
  <c r="G166" i="14"/>
  <c r="F166" i="14"/>
  <c r="E166" i="14"/>
  <c r="D166" i="14"/>
  <c r="C166" i="14"/>
  <c r="N165" i="14"/>
  <c r="M165" i="14"/>
  <c r="L165" i="14"/>
  <c r="K165" i="14"/>
  <c r="J165" i="14"/>
  <c r="I165" i="14"/>
  <c r="H165" i="14"/>
  <c r="G165" i="14"/>
  <c r="F165" i="14"/>
  <c r="E165" i="14"/>
  <c r="D165" i="14"/>
  <c r="C165" i="14"/>
  <c r="N164" i="14"/>
  <c r="M164" i="14"/>
  <c r="L164" i="14"/>
  <c r="K164" i="14"/>
  <c r="J164" i="14"/>
  <c r="I164" i="14"/>
  <c r="H164" i="14"/>
  <c r="G164" i="14"/>
  <c r="F164" i="14"/>
  <c r="E164" i="14"/>
  <c r="D164" i="14"/>
  <c r="C164" i="14"/>
  <c r="N163" i="14"/>
  <c r="M163" i="14"/>
  <c r="L163" i="14"/>
  <c r="K163" i="14"/>
  <c r="J163" i="14"/>
  <c r="I163" i="14"/>
  <c r="H163" i="14"/>
  <c r="G163" i="14"/>
  <c r="F163" i="14"/>
  <c r="E163" i="14"/>
  <c r="D163" i="14"/>
  <c r="C163" i="14"/>
  <c r="N162" i="14"/>
  <c r="M162" i="14"/>
  <c r="L162" i="14"/>
  <c r="K162" i="14"/>
  <c r="J162" i="14"/>
  <c r="I162" i="14"/>
  <c r="H162" i="14"/>
  <c r="G162" i="14"/>
  <c r="F162" i="14"/>
  <c r="E162" i="14"/>
  <c r="D162" i="14"/>
  <c r="C162" i="14"/>
  <c r="N161" i="14"/>
  <c r="M161" i="14"/>
  <c r="L161" i="14"/>
  <c r="K161" i="14"/>
  <c r="J161" i="14"/>
  <c r="I161" i="14"/>
  <c r="H161" i="14"/>
  <c r="G161" i="14"/>
  <c r="F161" i="14"/>
  <c r="E161" i="14"/>
  <c r="D161" i="14"/>
  <c r="C161" i="14"/>
  <c r="N160" i="14"/>
  <c r="M160" i="14"/>
  <c r="L160" i="14"/>
  <c r="K160" i="14"/>
  <c r="J160" i="14"/>
  <c r="I160" i="14"/>
  <c r="H160" i="14"/>
  <c r="G160" i="14"/>
  <c r="F160" i="14"/>
  <c r="E160" i="14"/>
  <c r="D160" i="14"/>
  <c r="C160" i="14"/>
  <c r="B157" i="14"/>
  <c r="E152" i="14"/>
  <c r="F151" i="14"/>
  <c r="F150" i="14"/>
  <c r="F149" i="14"/>
  <c r="E141" i="14"/>
  <c r="F140" i="14"/>
  <c r="F139" i="14"/>
  <c r="F138" i="14"/>
  <c r="E130" i="14"/>
  <c r="N128" i="14"/>
  <c r="M128" i="14"/>
  <c r="L128" i="14"/>
  <c r="K128" i="14"/>
  <c r="J128" i="14"/>
  <c r="I128" i="14"/>
  <c r="H128" i="14"/>
  <c r="G128" i="14"/>
  <c r="F128" i="14"/>
  <c r="E128" i="14"/>
  <c r="D128" i="14"/>
  <c r="C128" i="14"/>
  <c r="N127" i="14"/>
  <c r="M127" i="14"/>
  <c r="L127" i="14"/>
  <c r="K127" i="14"/>
  <c r="J127" i="14"/>
  <c r="I127" i="14"/>
  <c r="H127" i="14"/>
  <c r="G127" i="14"/>
  <c r="F127" i="14"/>
  <c r="E127" i="14"/>
  <c r="D127" i="14"/>
  <c r="C127" i="14"/>
  <c r="N126" i="14"/>
  <c r="M126" i="14"/>
  <c r="L126" i="14"/>
  <c r="K126" i="14"/>
  <c r="J126" i="14"/>
  <c r="I126" i="14"/>
  <c r="H126" i="14"/>
  <c r="G126" i="14"/>
  <c r="F126" i="14"/>
  <c r="E126" i="14"/>
  <c r="D126" i="14"/>
  <c r="C126" i="14"/>
  <c r="N125" i="14"/>
  <c r="M125" i="14"/>
  <c r="L125" i="14"/>
  <c r="K125" i="14"/>
  <c r="J125" i="14"/>
  <c r="I125" i="14"/>
  <c r="H125" i="14"/>
  <c r="G125" i="14"/>
  <c r="F125" i="14"/>
  <c r="E125" i="14"/>
  <c r="D125" i="14"/>
  <c r="C125" i="14"/>
  <c r="N124" i="14"/>
  <c r="M124" i="14"/>
  <c r="L124" i="14"/>
  <c r="K124" i="14"/>
  <c r="J124" i="14"/>
  <c r="I124" i="14"/>
  <c r="H124" i="14"/>
  <c r="G124" i="14"/>
  <c r="F124" i="14"/>
  <c r="E124" i="14"/>
  <c r="D124" i="14"/>
  <c r="C124" i="14"/>
  <c r="N123" i="14"/>
  <c r="M123" i="14"/>
  <c r="L123" i="14"/>
  <c r="K123" i="14"/>
  <c r="J123" i="14"/>
  <c r="I123" i="14"/>
  <c r="H123" i="14"/>
  <c r="G123" i="14"/>
  <c r="F123" i="14"/>
  <c r="E123" i="14"/>
  <c r="D123" i="14"/>
  <c r="C123" i="14"/>
  <c r="N122" i="14"/>
  <c r="M122" i="14"/>
  <c r="L122" i="14"/>
  <c r="K122" i="14"/>
  <c r="J122" i="14"/>
  <c r="I122" i="14"/>
  <c r="H122" i="14"/>
  <c r="G122" i="14"/>
  <c r="F122" i="14"/>
  <c r="E122" i="14"/>
  <c r="D122" i="14"/>
  <c r="C122" i="14"/>
  <c r="N121" i="14"/>
  <c r="M121" i="14"/>
  <c r="L121" i="14"/>
  <c r="K121" i="14"/>
  <c r="J121" i="14"/>
  <c r="I121" i="14"/>
  <c r="H121" i="14"/>
  <c r="G121" i="14"/>
  <c r="F121" i="14"/>
  <c r="E121" i="14"/>
  <c r="D121" i="14"/>
  <c r="C121" i="14"/>
  <c r="B118" i="14"/>
  <c r="E113" i="14"/>
  <c r="F112" i="14"/>
  <c r="F111" i="14"/>
  <c r="F110" i="14"/>
  <c r="E104" i="14"/>
  <c r="F103" i="14"/>
  <c r="F102" i="14"/>
  <c r="F101" i="14"/>
  <c r="E90" i="14"/>
  <c r="F89" i="14"/>
  <c r="F88" i="14"/>
  <c r="F87" i="14"/>
  <c r="E77" i="14"/>
  <c r="F76" i="14"/>
  <c r="F75" i="14"/>
  <c r="F74" i="14"/>
  <c r="K57" i="14"/>
  <c r="L56" i="14"/>
  <c r="L55" i="14"/>
  <c r="L54" i="14"/>
  <c r="E52" i="14"/>
  <c r="F51" i="14"/>
  <c r="F50" i="14"/>
  <c r="F49" i="14"/>
  <c r="F48" i="14"/>
  <c r="J47" i="14"/>
  <c r="K46" i="14"/>
  <c r="K45" i="14"/>
  <c r="K44" i="14"/>
  <c r="K43" i="14"/>
  <c r="K42" i="14"/>
  <c r="E21" i="14"/>
  <c r="F20" i="14"/>
  <c r="F19" i="14"/>
  <c r="F18" i="14"/>
  <c r="F17" i="14"/>
  <c r="F16" i="14"/>
  <c r="F181" i="14" l="1"/>
  <c r="F141" i="14"/>
  <c r="F152" i="14"/>
  <c r="L57" i="14"/>
  <c r="F104" i="14"/>
  <c r="F113" i="14"/>
  <c r="F21" i="14"/>
  <c r="F52" i="14"/>
  <c r="K47" i="14"/>
  <c r="F90" i="14"/>
  <c r="F77" i="14"/>
  <c r="E97" i="13"/>
  <c r="N95" i="13"/>
  <c r="M95" i="13"/>
  <c r="L95" i="13"/>
  <c r="K95" i="13"/>
  <c r="J95" i="13"/>
  <c r="I95" i="13"/>
  <c r="H95" i="13"/>
  <c r="G95" i="13"/>
  <c r="F95" i="13"/>
  <c r="E95" i="13"/>
  <c r="D95" i="13"/>
  <c r="C95" i="13"/>
  <c r="N94" i="13"/>
  <c r="M94" i="13"/>
  <c r="L94" i="13"/>
  <c r="K94" i="13"/>
  <c r="J94" i="13"/>
  <c r="I94" i="13"/>
  <c r="H94" i="13"/>
  <c r="G94" i="13"/>
  <c r="F94" i="13"/>
  <c r="E94" i="13"/>
  <c r="D94" i="13"/>
  <c r="C94" i="13"/>
  <c r="N93" i="13"/>
  <c r="M93" i="13"/>
  <c r="L93" i="13"/>
  <c r="K93" i="13"/>
  <c r="J93" i="13"/>
  <c r="I93" i="13"/>
  <c r="H93" i="13"/>
  <c r="G93" i="13"/>
  <c r="F93" i="13"/>
  <c r="E93" i="13"/>
  <c r="D93" i="13"/>
  <c r="C93" i="13"/>
  <c r="N92" i="13"/>
  <c r="M92" i="13"/>
  <c r="L92" i="13"/>
  <c r="K92" i="13"/>
  <c r="J92" i="13"/>
  <c r="I92" i="13"/>
  <c r="H92" i="13"/>
  <c r="G92" i="13"/>
  <c r="F92" i="13"/>
  <c r="E92" i="13"/>
  <c r="D92" i="13"/>
  <c r="C92" i="13"/>
  <c r="N91" i="13"/>
  <c r="M91" i="13"/>
  <c r="L91" i="13"/>
  <c r="K91" i="13"/>
  <c r="J91" i="13"/>
  <c r="I91" i="13"/>
  <c r="H91" i="13"/>
  <c r="G91" i="13"/>
  <c r="F91" i="13"/>
  <c r="E91" i="13"/>
  <c r="D91" i="13"/>
  <c r="C91" i="13"/>
  <c r="N90" i="13"/>
  <c r="M90" i="13"/>
  <c r="L90" i="13"/>
  <c r="K90" i="13"/>
  <c r="J90" i="13"/>
  <c r="I90" i="13"/>
  <c r="H90" i="13"/>
  <c r="G90" i="13"/>
  <c r="F90" i="13"/>
  <c r="E90" i="13"/>
  <c r="D90" i="13"/>
  <c r="C90" i="13"/>
  <c r="N89" i="13"/>
  <c r="M89" i="13"/>
  <c r="L89" i="13"/>
  <c r="K89" i="13"/>
  <c r="J89" i="13"/>
  <c r="I89" i="13"/>
  <c r="H89" i="13"/>
  <c r="G89" i="13"/>
  <c r="F89" i="13"/>
  <c r="E89" i="13"/>
  <c r="D89" i="13"/>
  <c r="C89" i="13"/>
  <c r="N88" i="13"/>
  <c r="M88" i="13"/>
  <c r="L88" i="13"/>
  <c r="K88" i="13"/>
  <c r="J88" i="13"/>
  <c r="I88" i="13"/>
  <c r="H88" i="13"/>
  <c r="G88" i="13"/>
  <c r="F88" i="13"/>
  <c r="E88" i="13"/>
  <c r="D88" i="13"/>
  <c r="C88" i="13"/>
  <c r="B85" i="13"/>
  <c r="E80" i="13"/>
  <c r="F79" i="13"/>
  <c r="F78" i="13"/>
  <c r="F80" i="13" s="1"/>
  <c r="F77" i="13"/>
  <c r="E69" i="13"/>
  <c r="F68" i="13"/>
  <c r="F67" i="13"/>
  <c r="F69" i="13" s="1"/>
  <c r="F66" i="13"/>
  <c r="J56" i="13"/>
  <c r="K55" i="13"/>
  <c r="K54" i="13"/>
  <c r="K53" i="13"/>
  <c r="E51" i="13"/>
  <c r="F50" i="13"/>
  <c r="F49" i="13"/>
  <c r="F48" i="13"/>
  <c r="F47" i="13"/>
  <c r="J46" i="13"/>
  <c r="K45" i="13"/>
  <c r="K44" i="13"/>
  <c r="K43" i="13"/>
  <c r="K42" i="13"/>
  <c r="K41" i="13"/>
  <c r="E20" i="13"/>
  <c r="F19" i="13"/>
  <c r="F18" i="13"/>
  <c r="F17" i="13"/>
  <c r="F16" i="13"/>
  <c r="F15" i="13"/>
  <c r="K46" i="13" l="1"/>
  <c r="F51" i="13"/>
  <c r="F20" i="13"/>
  <c r="K56" i="13"/>
  <c r="A30" i="11"/>
  <c r="A31" i="11"/>
  <c r="A32" i="11"/>
  <c r="A33" i="11"/>
  <c r="A34" i="11"/>
  <c r="A35" i="11"/>
  <c r="A36" i="11"/>
  <c r="A37" i="11"/>
  <c r="B38" i="11"/>
  <c r="C30" i="11" s="1"/>
  <c r="D17" i="11" s="1"/>
  <c r="A29" i="11"/>
  <c r="A24" i="11"/>
  <c r="A23" i="11"/>
  <c r="A22" i="11"/>
  <c r="A21" i="11"/>
  <c r="A20" i="11"/>
  <c r="A19" i="11"/>
  <c r="A18" i="11"/>
  <c r="A17" i="11"/>
  <c r="A16" i="11"/>
  <c r="I11" i="11"/>
  <c r="E11" i="11"/>
  <c r="G11" i="11" s="1"/>
  <c r="I10" i="11"/>
  <c r="E10" i="11"/>
  <c r="G10" i="11" s="1"/>
  <c r="I9" i="11"/>
  <c r="E9" i="11"/>
  <c r="G9" i="11" s="1"/>
  <c r="I8" i="11"/>
  <c r="E8" i="11"/>
  <c r="G8" i="11" s="1"/>
  <c r="I7" i="11"/>
  <c r="E7" i="11"/>
  <c r="G7" i="11" s="1"/>
  <c r="I6" i="11"/>
  <c r="E6" i="11"/>
  <c r="G6" i="11" s="1"/>
  <c r="I5" i="11"/>
  <c r="E5" i="11"/>
  <c r="B19" i="11" s="1"/>
  <c r="I4" i="11"/>
  <c r="E4" i="11"/>
  <c r="B18" i="11" s="1"/>
  <c r="I3" i="11"/>
  <c r="E3" i="11"/>
  <c r="B17" i="11" s="1"/>
  <c r="I2" i="11"/>
  <c r="E2" i="11"/>
  <c r="G2" i="11" s="1"/>
  <c r="C37" i="11" l="1"/>
  <c r="D24" i="11" s="1"/>
  <c r="C36" i="11"/>
  <c r="D23" i="11" s="1"/>
  <c r="C31" i="11"/>
  <c r="D18" i="11" s="1"/>
  <c r="E18" i="11" s="1"/>
  <c r="B24" i="11"/>
  <c r="B23" i="11"/>
  <c r="B22" i="11"/>
  <c r="E22" i="11" s="1"/>
  <c r="C35" i="11"/>
  <c r="D22" i="11" s="1"/>
  <c r="C33" i="11"/>
  <c r="D20" i="11" s="1"/>
  <c r="B21" i="11"/>
  <c r="C34" i="11"/>
  <c r="D21" i="11" s="1"/>
  <c r="C32" i="11"/>
  <c r="D19" i="11" s="1"/>
  <c r="E19" i="11" s="1"/>
  <c r="B20" i="11"/>
  <c r="E20" i="11" s="1"/>
  <c r="B16" i="11"/>
  <c r="C29" i="11"/>
  <c r="C38" i="11" s="1"/>
  <c r="E17" i="11"/>
  <c r="G4" i="11"/>
  <c r="G3" i="11"/>
  <c r="G5" i="11"/>
  <c r="E23" i="11" l="1"/>
  <c r="E24" i="11"/>
  <c r="E21" i="11"/>
  <c r="D16" i="11"/>
  <c r="D25" i="11" s="1"/>
  <c r="E16" i="11" l="1"/>
  <c r="H16" i="11" s="1"/>
  <c r="I16" i="11" s="1"/>
  <c r="H3" i="7" l="1"/>
  <c r="H4" i="7"/>
  <c r="H5" i="7"/>
  <c r="H6" i="7"/>
  <c r="H7" i="7"/>
  <c r="H8" i="7"/>
  <c r="H9" i="7"/>
  <c r="H10" i="7"/>
  <c r="H11" i="7"/>
  <c r="H12" i="7"/>
  <c r="H13" i="7"/>
  <c r="H14" i="7"/>
  <c r="H15" i="7"/>
  <c r="H16" i="7"/>
  <c r="H17" i="7"/>
  <c r="H2" i="7"/>
  <c r="C15" i="4"/>
  <c r="C16" i="4"/>
  <c r="C17" i="4"/>
  <c r="C18" i="4"/>
  <c r="C19" i="4"/>
  <c r="C20" i="4"/>
  <c r="C21" i="4"/>
  <c r="C22" i="4"/>
  <c r="C23" i="4"/>
  <c r="C24" i="4"/>
  <c r="C25" i="4"/>
  <c r="C26" i="4"/>
  <c r="C27" i="4"/>
  <c r="C28" i="4"/>
  <c r="C29" i="4"/>
  <c r="C30" i="4"/>
  <c r="F11" i="3"/>
  <c r="F12" i="3"/>
  <c r="F13" i="3"/>
  <c r="F15" i="3"/>
  <c r="F10" i="3"/>
  <c r="F3" i="3"/>
  <c r="F4" i="3"/>
  <c r="F5" i="3"/>
  <c r="F6" i="3"/>
  <c r="F7" i="3"/>
  <c r="F8" i="3"/>
  <c r="F9" i="3"/>
  <c r="F2" i="3"/>
  <c r="F14" i="3"/>
  <c r="F16" i="3"/>
  <c r="F17" i="3"/>
  <c r="E17" i="7"/>
  <c r="D17" i="7"/>
  <c r="C17" i="7"/>
  <c r="E16" i="7"/>
  <c r="D16" i="7"/>
  <c r="C16" i="7"/>
  <c r="E15" i="7"/>
  <c r="D15" i="7"/>
  <c r="C15" i="7"/>
  <c r="E14" i="7"/>
  <c r="D14" i="7"/>
  <c r="C14" i="7"/>
  <c r="E13" i="7"/>
  <c r="D13" i="7"/>
  <c r="C13" i="7"/>
  <c r="E12" i="7"/>
  <c r="D12" i="7"/>
  <c r="C12" i="7"/>
  <c r="E11" i="7"/>
  <c r="D11" i="7"/>
  <c r="C11" i="7"/>
  <c r="E10" i="7"/>
  <c r="D10" i="7"/>
  <c r="C10" i="7"/>
  <c r="E9" i="7"/>
  <c r="D9" i="7"/>
  <c r="C9" i="7"/>
  <c r="D31" i="13" s="1"/>
  <c r="E8" i="7"/>
  <c r="D8" i="7"/>
  <c r="C8" i="7"/>
  <c r="D30" i="13" s="1"/>
  <c r="E7" i="7"/>
  <c r="D7" i="7"/>
  <c r="C7" i="7"/>
  <c r="D29" i="13" s="1"/>
  <c r="E6" i="7"/>
  <c r="D6" i="7"/>
  <c r="C6" i="7"/>
  <c r="D28" i="13" s="1"/>
  <c r="E5" i="7"/>
  <c r="D5" i="7"/>
  <c r="C5" i="7"/>
  <c r="D27" i="13" s="1"/>
  <c r="E4" i="7"/>
  <c r="D4" i="7"/>
  <c r="C4" i="7"/>
  <c r="D26" i="13" s="1"/>
  <c r="E3" i="7"/>
  <c r="D3" i="7"/>
  <c r="C3" i="7"/>
  <c r="D25" i="13" s="1"/>
  <c r="E2" i="7"/>
  <c r="D2" i="7"/>
  <c r="C2" i="7"/>
  <c r="D24" i="13" s="1"/>
  <c r="S41" i="18" l="1" a="1"/>
  <c r="S41" i="18" s="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2" i="6"/>
  <c r="W97" i="6"/>
  <c r="X97" i="6" s="1"/>
  <c r="W96" i="6"/>
  <c r="X96" i="6" s="1"/>
  <c r="W95" i="6"/>
  <c r="X95" i="6" s="1"/>
  <c r="W94" i="6"/>
  <c r="X94" i="6" s="1"/>
  <c r="W93" i="6"/>
  <c r="X93" i="6" s="1"/>
  <c r="W92" i="6"/>
  <c r="X92" i="6" s="1"/>
  <c r="W91" i="6"/>
  <c r="X91" i="6" s="1"/>
  <c r="W90" i="6"/>
  <c r="X90" i="6" s="1"/>
  <c r="W89" i="6"/>
  <c r="X89" i="6" s="1"/>
  <c r="W88" i="6"/>
  <c r="X88" i="6" s="1"/>
  <c r="W87" i="6"/>
  <c r="X87" i="6" s="1"/>
  <c r="W86" i="6"/>
  <c r="X86" i="6" s="1"/>
  <c r="W85" i="6"/>
  <c r="X85" i="6" s="1"/>
  <c r="W84" i="6"/>
  <c r="X84" i="6" s="1"/>
  <c r="W83" i="6"/>
  <c r="X83" i="6" s="1"/>
  <c r="W82" i="6"/>
  <c r="X82" i="6" s="1"/>
  <c r="W81" i="6"/>
  <c r="X81" i="6" s="1"/>
  <c r="W80" i="6"/>
  <c r="X80" i="6" s="1"/>
  <c r="W79" i="6"/>
  <c r="X79" i="6" s="1"/>
  <c r="W78" i="6"/>
  <c r="X78" i="6" s="1"/>
  <c r="W77" i="6"/>
  <c r="X77" i="6" s="1"/>
  <c r="W76" i="6"/>
  <c r="X76" i="6" s="1"/>
  <c r="W75" i="6"/>
  <c r="X75" i="6" s="1"/>
  <c r="W74" i="6"/>
  <c r="X74" i="6" s="1"/>
  <c r="W73" i="6"/>
  <c r="X73" i="6" s="1"/>
  <c r="W72" i="6"/>
  <c r="X72" i="6" s="1"/>
  <c r="W71" i="6"/>
  <c r="X71" i="6" s="1"/>
  <c r="W70" i="6"/>
  <c r="X70" i="6" s="1"/>
  <c r="W69" i="6"/>
  <c r="X69" i="6" s="1"/>
  <c r="W68" i="6"/>
  <c r="X68" i="6" s="1"/>
  <c r="W67" i="6"/>
  <c r="X67" i="6" s="1"/>
  <c r="W66" i="6"/>
  <c r="X66" i="6" s="1"/>
  <c r="W65" i="6"/>
  <c r="X65" i="6" s="1"/>
  <c r="W64" i="6"/>
  <c r="X64" i="6" s="1"/>
  <c r="W63" i="6"/>
  <c r="X63" i="6" s="1"/>
  <c r="W62" i="6"/>
  <c r="X62" i="6" s="1"/>
  <c r="W61" i="6"/>
  <c r="X61" i="6" s="1"/>
  <c r="W60" i="6"/>
  <c r="X60" i="6" s="1"/>
  <c r="W59" i="6"/>
  <c r="X59" i="6" s="1"/>
  <c r="W58" i="6"/>
  <c r="X58" i="6" s="1"/>
  <c r="W57" i="6"/>
  <c r="X57" i="6" s="1"/>
  <c r="W56" i="6"/>
  <c r="X56" i="6" s="1"/>
  <c r="W55" i="6"/>
  <c r="X55" i="6" s="1"/>
  <c r="W54" i="6"/>
  <c r="X54" i="6" s="1"/>
  <c r="W53" i="6"/>
  <c r="X53" i="6" s="1"/>
  <c r="W52" i="6"/>
  <c r="X52" i="6" s="1"/>
  <c r="W51" i="6"/>
  <c r="X51" i="6" s="1"/>
  <c r="W50" i="6"/>
  <c r="X50" i="6" s="1"/>
  <c r="W49" i="6"/>
  <c r="X49" i="6" s="1"/>
  <c r="W48" i="6"/>
  <c r="X48" i="6" s="1"/>
  <c r="W47" i="6"/>
  <c r="X47" i="6" s="1"/>
  <c r="W46" i="6"/>
  <c r="X46" i="6" s="1"/>
  <c r="W45" i="6"/>
  <c r="X45" i="6" s="1"/>
  <c r="W44" i="6"/>
  <c r="X44" i="6" s="1"/>
  <c r="W43" i="6"/>
  <c r="X43" i="6" s="1"/>
  <c r="W42" i="6"/>
  <c r="X42" i="6" s="1"/>
  <c r="W41" i="6"/>
  <c r="X41" i="6" s="1"/>
  <c r="W40" i="6"/>
  <c r="X40" i="6" s="1"/>
  <c r="W39" i="6"/>
  <c r="X39" i="6" s="1"/>
  <c r="W38" i="6"/>
  <c r="X38" i="6" s="1"/>
  <c r="W37" i="6"/>
  <c r="X37" i="6" s="1"/>
  <c r="W36" i="6"/>
  <c r="X36" i="6" s="1"/>
  <c r="W35" i="6"/>
  <c r="X35" i="6" s="1"/>
  <c r="W34" i="6"/>
  <c r="X34" i="6" s="1"/>
  <c r="W33" i="6"/>
  <c r="X33" i="6" s="1"/>
  <c r="W32" i="6"/>
  <c r="X32" i="6" s="1"/>
  <c r="W31" i="6"/>
  <c r="X31" i="6" s="1"/>
  <c r="W30" i="6"/>
  <c r="X30" i="6" s="1"/>
  <c r="W29" i="6"/>
  <c r="X29" i="6" s="1"/>
  <c r="W28" i="6"/>
  <c r="X28" i="6" s="1"/>
  <c r="W27" i="6"/>
  <c r="X27" i="6" s="1"/>
  <c r="W26" i="6"/>
  <c r="X26" i="6" s="1"/>
  <c r="W25" i="6"/>
  <c r="X25" i="6" s="1"/>
  <c r="W24" i="6"/>
  <c r="X24" i="6" s="1"/>
  <c r="W23" i="6"/>
  <c r="X23" i="6" s="1"/>
  <c r="W22" i="6"/>
  <c r="X22" i="6" s="1"/>
  <c r="W21" i="6"/>
  <c r="X21" i="6" s="1"/>
  <c r="W20" i="6"/>
  <c r="X20" i="6" s="1"/>
  <c r="W19" i="6"/>
  <c r="X19" i="6" s="1"/>
  <c r="W18" i="6"/>
  <c r="X18" i="6" s="1"/>
  <c r="W17" i="6"/>
  <c r="X17" i="6" s="1"/>
  <c r="W16" i="6"/>
  <c r="X16" i="6" s="1"/>
  <c r="W15" i="6"/>
  <c r="X15" i="6" s="1"/>
  <c r="W14" i="6"/>
  <c r="X14" i="6" s="1"/>
  <c r="W13" i="6"/>
  <c r="X13" i="6" s="1"/>
  <c r="W12" i="6"/>
  <c r="X12" i="6" s="1"/>
  <c r="W11" i="6"/>
  <c r="X11" i="6" s="1"/>
  <c r="W10" i="6"/>
  <c r="X10" i="6" s="1"/>
  <c r="W9" i="6"/>
  <c r="X9" i="6" s="1"/>
  <c r="W8" i="6"/>
  <c r="X8" i="6" s="1"/>
  <c r="W7" i="6"/>
  <c r="X7" i="6" s="1"/>
  <c r="W6" i="6"/>
  <c r="X6" i="6" s="1"/>
  <c r="W5" i="6"/>
  <c r="X5" i="6" s="1"/>
  <c r="W4" i="6"/>
  <c r="X4" i="6" s="1"/>
  <c r="W3" i="6"/>
  <c r="X3" i="6" s="1"/>
  <c r="W2" i="6"/>
  <c r="X2" i="6" s="1"/>
  <c r="J30" i="4" l="1"/>
  <c r="I30" i="4"/>
  <c r="J17" i="3" s="1"/>
  <c r="H30" i="4"/>
  <c r="G30" i="4"/>
  <c r="F30" i="4"/>
  <c r="E30" i="4"/>
  <c r="J29" i="4"/>
  <c r="I29" i="4"/>
  <c r="J16" i="3" s="1"/>
  <c r="H29" i="4"/>
  <c r="G29" i="4"/>
  <c r="F29" i="4"/>
  <c r="E29" i="4"/>
  <c r="J28" i="4"/>
  <c r="I28" i="4"/>
  <c r="J15" i="3" s="1"/>
  <c r="H28" i="4"/>
  <c r="G28" i="4"/>
  <c r="F28" i="4"/>
  <c r="E28" i="4"/>
  <c r="J27" i="4"/>
  <c r="I27" i="4"/>
  <c r="J14" i="3" s="1"/>
  <c r="H27" i="4"/>
  <c r="G27" i="4"/>
  <c r="F27" i="4"/>
  <c r="E27" i="4"/>
  <c r="J26" i="4"/>
  <c r="I26" i="4"/>
  <c r="J13" i="3" s="1"/>
  <c r="H26" i="4"/>
  <c r="G26" i="4"/>
  <c r="F26" i="4"/>
  <c r="E26" i="4"/>
  <c r="J25" i="4"/>
  <c r="I25" i="4"/>
  <c r="J12" i="3" s="1"/>
  <c r="H25" i="4"/>
  <c r="G25" i="4"/>
  <c r="F25" i="4"/>
  <c r="E25" i="4"/>
  <c r="J24" i="4"/>
  <c r="I24" i="4"/>
  <c r="J11" i="3" s="1"/>
  <c r="H24" i="4"/>
  <c r="G24" i="4"/>
  <c r="F24" i="4"/>
  <c r="E24" i="4"/>
  <c r="J23" i="4"/>
  <c r="I23" i="4"/>
  <c r="J10" i="3" s="1"/>
  <c r="H23" i="4"/>
  <c r="G23" i="4"/>
  <c r="F23" i="4"/>
  <c r="E23" i="4"/>
  <c r="J22" i="4"/>
  <c r="I22" i="4"/>
  <c r="J9" i="3" s="1"/>
  <c r="H22" i="4"/>
  <c r="G22" i="4"/>
  <c r="F22" i="4"/>
  <c r="E22" i="4"/>
  <c r="J21" i="4"/>
  <c r="I21" i="4"/>
  <c r="J8" i="3" s="1"/>
  <c r="H21" i="4"/>
  <c r="G21" i="4"/>
  <c r="F21" i="4"/>
  <c r="E21" i="4"/>
  <c r="J20" i="4"/>
  <c r="I20" i="4"/>
  <c r="J7" i="3" s="1"/>
  <c r="H20" i="4"/>
  <c r="G20" i="4"/>
  <c r="F20" i="4"/>
  <c r="E20" i="4"/>
  <c r="J19" i="4"/>
  <c r="I19" i="4"/>
  <c r="J6" i="3" s="1"/>
  <c r="H19" i="4"/>
  <c r="G19" i="4"/>
  <c r="F19" i="4"/>
  <c r="E19" i="4"/>
  <c r="J18" i="4"/>
  <c r="I18" i="4"/>
  <c r="J5" i="3" s="1"/>
  <c r="H18" i="4"/>
  <c r="G18" i="4"/>
  <c r="F18" i="4"/>
  <c r="E18" i="4"/>
  <c r="J17" i="4"/>
  <c r="I17" i="4"/>
  <c r="J4" i="3" s="1"/>
  <c r="H17" i="4"/>
  <c r="G17" i="4"/>
  <c r="F17" i="4"/>
  <c r="E17" i="4"/>
  <c r="J16" i="4"/>
  <c r="I16" i="4"/>
  <c r="J3" i="3" s="1"/>
  <c r="H16" i="4"/>
  <c r="G16" i="4"/>
  <c r="F16" i="4"/>
  <c r="E16" i="4"/>
  <c r="F15" i="4"/>
  <c r="E15" i="4"/>
  <c r="D41" i="4" l="1"/>
  <c r="E41" i="4" s="1"/>
  <c r="I3" i="3"/>
  <c r="M3" i="7"/>
  <c r="I9" i="3"/>
  <c r="M9" i="7"/>
  <c r="I17" i="3"/>
  <c r="M17" i="7"/>
  <c r="I4" i="3"/>
  <c r="M4" i="7"/>
  <c r="I6" i="3"/>
  <c r="M6" i="7"/>
  <c r="I8" i="3"/>
  <c r="M8" i="7"/>
  <c r="I10" i="3"/>
  <c r="M10" i="7"/>
  <c r="I12" i="3"/>
  <c r="M12" i="7"/>
  <c r="I14" i="3"/>
  <c r="M14" i="7"/>
  <c r="I16" i="3"/>
  <c r="M16" i="7"/>
  <c r="I7" i="3"/>
  <c r="M7" i="7"/>
  <c r="I5" i="3"/>
  <c r="M5" i="7"/>
  <c r="I11" i="3"/>
  <c r="M11" i="7"/>
  <c r="I13" i="3"/>
  <c r="M13" i="7"/>
  <c r="I15" i="3"/>
  <c r="M15" i="7"/>
  <c r="G15" i="4"/>
  <c r="H15" i="4" s="1"/>
  <c r="B34" i="4"/>
  <c r="I15" i="4" s="1"/>
  <c r="J2" i="3" s="1"/>
  <c r="C34" i="4" l="1"/>
  <c r="D39" i="4" s="1"/>
  <c r="E39" i="4" s="1"/>
  <c r="M2" i="7"/>
  <c r="I2" i="3"/>
  <c r="D40" i="4"/>
  <c r="E40" i="4" s="1"/>
  <c r="J15" i="4"/>
  <c r="D34" i="4" l="1"/>
  <c r="D38" i="4"/>
  <c r="E38" i="4" s="1"/>
  <c r="E33"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<sst xmlns="http://schemas.openxmlformats.org/spreadsheetml/2006/main" count="2590" uniqueCount="1343">
  <si>
    <t>sample_num</t>
  </si>
  <si>
    <t>plate_well</t>
  </si>
  <si>
    <t>library_name</t>
  </si>
  <si>
    <t>library_id</t>
  </si>
  <si>
    <t>requestor</t>
  </si>
  <si>
    <t>library_prep_type</t>
  </si>
  <si>
    <t>cellcount_permL</t>
  </si>
  <si>
    <t>volume_ul</t>
  </si>
  <si>
    <t>vol_used_for_hybridization</t>
  </si>
  <si>
    <t>cellcount_after_hyb</t>
  </si>
  <si>
    <t>sample_volume_pooling</t>
  </si>
  <si>
    <r>
      <rPr>
        <b/>
        <sz val="14"/>
        <color theme="0"/>
        <rFont val="Arial"/>
        <family val="2"/>
      </rPr>
      <t>Chromium Fixed RNA Profiling for Multiplexed Samples - Pooling Workbook</t>
    </r>
    <r>
      <rPr>
        <sz val="11"/>
        <color theme="0"/>
        <rFont val="Arial"/>
        <family val="2"/>
      </rPr>
      <t xml:space="preserve">  |  10xgenomics.com</t>
    </r>
    <r>
      <rPr>
        <sz val="14"/>
        <color theme="0"/>
        <rFont val="Arial"/>
        <family val="2"/>
      </rPr>
      <t xml:space="preserve">                                                                   CG000565 Rev B</t>
    </r>
  </si>
  <si>
    <t>Equal Pooling (Recommended)</t>
  </si>
  <si>
    <t>Equal pooling refers to pooling the same number of cells from each probe-hybridized sample. It is the recommended method for pooling and ensures that the undetected multiplet rates are the same for each Probe Barcode. Pooling the same number of cells should also result in an approximately equal numbers of cells recovered from every Probe Barcode in the final library. See below for worksheet to calculate the sample volumes to be added during pooling.</t>
  </si>
  <si>
    <t>Numbers filled In this tab will auto-populate other tabs</t>
  </si>
  <si>
    <t>This calculator is meant to facilitate pooling an equal number of cells from different hybridization reactions prior to washing.</t>
  </si>
  <si>
    <t>1.</t>
  </si>
  <si>
    <t xml:space="preserve">Enter Post-Hybridization Cell Concentration and Sample Volume (volume remaining after counting) in columns C and D (blue columns) in Table 1. </t>
  </si>
  <si>
    <t>2.</t>
  </si>
  <si>
    <t xml:space="preserve">Use the volumes indicated in the column H (green column) to pool the samples from different hybridization reactions into a 5-ml (for 4 pooling samples) or 15-ml (for pooling 16 samples) centrifuge tube. If the differences in 'Total Cells in Hybridization' between samples are smaller than the expected error from cell counting, the entire volume from each sample can be added to the pool. If a warning message appears next to Table 2, consider alternative pooling strategies. </t>
  </si>
  <si>
    <t>3.</t>
  </si>
  <si>
    <t>If hybridization was performed in 8-tube strips, add 2.3 ml Post-Hyb Wash Buffer (if pooling 4 samples) or 9.2 ml Post-Hyb Wash Buffer (if pooling 16 samples). Mix by inverting 5x.</t>
  </si>
  <si>
    <t>Table 1</t>
  </si>
  <si>
    <t>Probe Barcode</t>
  </si>
  <si>
    <r>
      <t xml:space="preserve">Post-Hybridization Cell Concentration
</t>
    </r>
    <r>
      <rPr>
        <sz val="8"/>
        <color theme="0"/>
        <rFont val="Calibri"/>
        <family val="2"/>
        <scheme val="minor"/>
      </rPr>
      <t xml:space="preserve"> (Cells in Post-Hyb 
Wash Buffer)</t>
    </r>
  </si>
  <si>
    <t xml:space="preserve">Post-Hybridization Sample Volume
</t>
  </si>
  <si>
    <r>
      <t xml:space="preserve">Total Cells in Hybridization
</t>
    </r>
    <r>
      <rPr>
        <sz val="8"/>
        <color theme="0"/>
        <rFont val="Arial"/>
        <family val="2"/>
      </rPr>
      <t xml:space="preserve">
(Post-Hyb Cell 
Conc. *  Volume)</t>
    </r>
  </si>
  <si>
    <t xml:space="preserve">% of Final Pool 
  </t>
  </si>
  <si>
    <r>
      <t xml:space="preserve">Cells per Sample 
Added to the Pool
</t>
    </r>
    <r>
      <rPr>
        <sz val="8"/>
        <color theme="0"/>
        <rFont val="Arial"/>
        <family val="2"/>
      </rPr>
      <t>(Cell Count of Sample with Lowest Concentration)</t>
    </r>
  </si>
  <si>
    <r>
      <t xml:space="preserve">Sample Volume 
to be Added 
 </t>
    </r>
    <r>
      <rPr>
        <sz val="8"/>
        <color theme="0"/>
        <rFont val="Arial"/>
        <family val="2"/>
      </rPr>
      <t>(Cells per Sample Added to the Pool/ Post-Hybridization Cell Conc.)</t>
    </r>
  </si>
  <si>
    <r>
      <t xml:space="preserve">Expected Cells Recovered per Probe Barcode 
 </t>
    </r>
    <r>
      <rPr>
        <sz val="8"/>
        <color theme="0"/>
        <rFont val="Arial"/>
        <family val="2"/>
      </rPr>
      <t>(Assumes Maximum Supported Number of Cells Targeted per GEM Reaction)</t>
    </r>
  </si>
  <si>
    <t>Max. Expected Cells recovered per barcode Given Limiting cell number</t>
  </si>
  <si>
    <t>BC001</t>
  </si>
  <si>
    <t>BC002</t>
  </si>
  <si>
    <t>BC003</t>
  </si>
  <si>
    <t>BC004</t>
  </si>
  <si>
    <t>BC005</t>
  </si>
  <si>
    <t>BC006</t>
  </si>
  <si>
    <t>BC007</t>
  </si>
  <si>
    <t>BC008</t>
  </si>
  <si>
    <t>BC009</t>
  </si>
  <si>
    <t>BC010</t>
  </si>
  <si>
    <t>BC011</t>
  </si>
  <si>
    <t>BC012</t>
  </si>
  <si>
    <t>BC013</t>
  </si>
  <si>
    <t>BC014</t>
  </si>
  <si>
    <t>BC015</t>
  </si>
  <si>
    <t>BC016</t>
  </si>
  <si>
    <t>Table 2</t>
  </si>
  <si>
    <t>Number of Probe Barcodes used</t>
  </si>
  <si>
    <t xml:space="preserve">Total Cells Pooled </t>
  </si>
  <si>
    <t>Maximum Number of Cells Targeted per GEM Reaction</t>
  </si>
  <si>
    <t>Error</t>
  </si>
  <si>
    <t>Error Code</t>
  </si>
  <si>
    <t>Does Error Appear</t>
  </si>
  <si>
    <t>Cond. Error Message</t>
  </si>
  <si>
    <t>Bellow 200K Cells In Pool</t>
  </si>
  <si>
    <t>Cells Pooled Cannot Reach Target GEM per BC</t>
  </si>
  <si>
    <t>Pipette Under 2ul</t>
  </si>
  <si>
    <t>Hyb Reaction has more than 5 million cells</t>
  </si>
  <si>
    <t>Library prep number:</t>
  </si>
  <si>
    <t>Indexplate GEX:</t>
  </si>
  <si>
    <t xml:space="preserve">SOP Version: </t>
  </si>
  <si>
    <t>Signature:</t>
  </si>
  <si>
    <t>Indexplate</t>
  </si>
  <si>
    <t xml:space="preserve">Library person: </t>
  </si>
  <si>
    <t>Library date:</t>
  </si>
  <si>
    <t>Comments:</t>
  </si>
  <si>
    <t>GEM Generation &amp; Barcoding</t>
  </si>
  <si>
    <t>Equilibrate beads and reagents to RT for 30 min</t>
  </si>
  <si>
    <t>Prepare the following MM and pipet 31.9 µL in each tube on ice</t>
  </si>
  <si>
    <t>Volume per reaction</t>
  </si>
  <si>
    <t xml:space="preserve">Mix: </t>
  </si>
  <si>
    <t>µL</t>
  </si>
  <si>
    <t>Reducing Agent B</t>
  </si>
  <si>
    <t>mix, spin</t>
  </si>
  <si>
    <r>
      <t xml:space="preserve">Transfer gems into tubes </t>
    </r>
    <r>
      <rPr>
        <b/>
        <sz val="11"/>
        <color theme="1"/>
        <rFont val="Calibri"/>
        <family val="2"/>
        <scheme val="minor"/>
      </rPr>
      <t>with cap</t>
    </r>
    <r>
      <rPr>
        <sz val="11"/>
        <color theme="1"/>
        <rFont val="Calibri"/>
        <family val="2"/>
        <scheme val="minor"/>
      </rPr>
      <t xml:space="preserve"> put it into thermocycler and Incubate:</t>
    </r>
  </si>
  <si>
    <t>DO NOT MIX!</t>
  </si>
  <si>
    <t>DO NOT ASPIRTE aqueous sample</t>
  </si>
  <si>
    <t>Nuclease free water</t>
  </si>
  <si>
    <t xml:space="preserve">Prepare ES 1: </t>
  </si>
  <si>
    <t>Buffer EB</t>
  </si>
  <si>
    <t>10% Tween 20</t>
  </si>
  <si>
    <t>Incubate:</t>
  </si>
  <si>
    <t>98°C/3 min</t>
  </si>
  <si>
    <t>98°C/15 sec</t>
  </si>
  <si>
    <t>63°C/ 20 sec</t>
  </si>
  <si>
    <t>72°C/ 1 min</t>
  </si>
  <si>
    <t>Cycles:</t>
  </si>
  <si>
    <t xml:space="preserve">Indicate which Indexes you used: </t>
  </si>
  <si>
    <t>Plate:</t>
  </si>
  <si>
    <t>A</t>
  </si>
  <si>
    <t>B</t>
  </si>
  <si>
    <t>C</t>
  </si>
  <si>
    <t>D</t>
  </si>
  <si>
    <t>E</t>
  </si>
  <si>
    <t>F</t>
  </si>
  <si>
    <t>G</t>
  </si>
  <si>
    <t>H</t>
  </si>
  <si>
    <t>98°C/45 sec</t>
  </si>
  <si>
    <t>98°C/20 sec</t>
  </si>
  <si>
    <t>54°C/ 30 sec</t>
  </si>
  <si>
    <t>72°C/ 20 sec</t>
  </si>
  <si>
    <t>72°C/ 1 min -&gt; hold at 4°C</t>
  </si>
  <si>
    <t>Total</t>
  </si>
  <si>
    <t>QC (Qubit, BA)</t>
  </si>
  <si>
    <t>Library concentrations:</t>
  </si>
  <si>
    <t xml:space="preserve">Sample name </t>
  </si>
  <si>
    <t xml:space="preserve">Concentration </t>
  </si>
  <si>
    <t>Put the Kitnumbers into the working sheet and followingly into the sample annotation sheet.</t>
  </si>
  <si>
    <t xml:space="preserve">Library type for LIMS: </t>
  </si>
  <si>
    <t>Library kit</t>
  </si>
  <si>
    <t>Kitnumber</t>
  </si>
  <si>
    <t xml:space="preserve">Identification number: </t>
  </si>
  <si>
    <t>Unit:</t>
  </si>
  <si>
    <t>BSF</t>
  </si>
  <si>
    <t>Organization:</t>
  </si>
  <si>
    <t>CeMM</t>
  </si>
  <si>
    <t>Title:</t>
  </si>
  <si>
    <t>Author:</t>
  </si>
  <si>
    <t>Hannah Riegler</t>
  </si>
  <si>
    <t>Reviewer:</t>
  </si>
  <si>
    <t>Review date:</t>
  </si>
  <si>
    <t>Version:</t>
  </si>
  <si>
    <t>Dual Index Kit TS Set A LOT#</t>
  </si>
  <si>
    <t>Post Storage Processing</t>
  </si>
  <si>
    <t>Reagent</t>
  </si>
  <si>
    <t>1x [µL]</t>
  </si>
  <si>
    <t>Thaw samples at RT not ICE!</t>
  </si>
  <si>
    <t>cool centrifuge to 4°C</t>
  </si>
  <si>
    <t>Sample ID</t>
  </si>
  <si>
    <t>Probe Hybridization</t>
  </si>
  <si>
    <t xml:space="preserve"> Hyb Buffer B</t>
  </si>
  <si>
    <t>Enhancer</t>
  </si>
  <si>
    <t>Sample Type</t>
  </si>
  <si>
    <t>Fixed cells</t>
  </si>
  <si>
    <t>Cell input</t>
  </si>
  <si>
    <t>Incubate for 16-24 hours at 42°C. Starting time: __________________</t>
  </si>
  <si>
    <t>Prepare Post- Hyb wash Buffer and keept at RT</t>
  </si>
  <si>
    <t>Conc Post Hyb Buffer</t>
  </si>
  <si>
    <t>Centrifuge at 850 rcf for 5 minutes at room temperature</t>
  </si>
  <si>
    <t xml:space="preserve">Prepare Post- Hyb Resuspension Buffer. Pipette mix 10x and maintain at 4°C </t>
  </si>
  <si>
    <t xml:space="preserve">Reagent </t>
  </si>
  <si>
    <t>Conc. Post- Hyb Buffer</t>
  </si>
  <si>
    <t>Centrifuge the sample at 850 rcf for 5 minutes at room temperature</t>
  </si>
  <si>
    <t>Concentration</t>
  </si>
  <si>
    <t>Targeted cell recovery</t>
  </si>
  <si>
    <t>Cell suspension [µL]</t>
  </si>
  <si>
    <t>Post-Hyb Res. Buffer [µL]</t>
  </si>
  <si>
    <t>Determine cell concentration of the sample using an automated cell counter and AO/PI solution.</t>
  </si>
  <si>
    <t>GEM Reagent Mix</t>
  </si>
  <si>
    <t>GEM Enzyme Mix</t>
  </si>
  <si>
    <t>25°C/60 min</t>
  </si>
  <si>
    <t>60°C/45 min</t>
  </si>
  <si>
    <t>80°C/20 min -&gt; hold 4°C</t>
  </si>
  <si>
    <t>Pre- Amp Primers B</t>
  </si>
  <si>
    <t>Incubate</t>
  </si>
  <si>
    <t>8 cycles</t>
  </si>
  <si>
    <t>Fixed RNA GEX library construction</t>
  </si>
  <si>
    <t>TS Set A</t>
  </si>
  <si>
    <t>PN-1000251</t>
  </si>
  <si>
    <t>10X Dual Index TS Set A</t>
  </si>
  <si>
    <t>custom probes need to be diluted to the correct working concentration see manual</t>
  </si>
  <si>
    <t>Recommended multiplex</t>
  </si>
  <si>
    <t>Recommended singleplex</t>
  </si>
  <si>
    <t xml:space="preserve">Index PCR Mix: </t>
  </si>
  <si>
    <t>Number of GEM reactions:</t>
  </si>
  <si>
    <t>Number of samples:</t>
  </si>
  <si>
    <t>Determine cell count (when counting with AO/PI dilute 1:5 first).</t>
  </si>
  <si>
    <t>Thaw Hyb Buffer B at 42°C, keep warm (can be kept a 42°C for up to an hour).</t>
  </si>
  <si>
    <t>Prepare the following Hyb mix at RT and incubate for 5 min at 42°C.</t>
  </si>
  <si>
    <t>Thaw Enhancer 10 min at 65°C, can be held at 42°C for 10 min.</t>
  </si>
  <si>
    <t>Centrifuge the desired number of fixed cells/nuclei  at 850 rcf for 5 minutes at 4°C.</t>
  </si>
  <si>
    <t>Close lid and run the chip.</t>
  </si>
  <si>
    <t>Store the leftover sample according to the SOP.</t>
  </si>
  <si>
    <t>Add 125 µL of Recovery Agent to each sample, wait for 2 min.</t>
  </si>
  <si>
    <t>Remove the 125 µL recovery agent/oil (pink).</t>
  </si>
  <si>
    <t>GEM Recovery and Pre-Amplification</t>
  </si>
  <si>
    <t>Prepare the following MM and pipet 35 µL in each tube on ice.</t>
  </si>
  <si>
    <t>Centrifuge the sample (PCR product) for 30 seconds in a microcentrifuge and transfer 70 µL of the upper layer to a new tube.</t>
  </si>
  <si>
    <r>
      <t xml:space="preserve">Do a 1.8X cleanup by adding 126 µL beads, elute in 101 µL </t>
    </r>
    <r>
      <rPr>
        <sz val="12"/>
        <color rgb="FFFF0000"/>
        <rFont val="Calibri (Body)"/>
      </rPr>
      <t xml:space="preserve">ES1 wait 1 minute then resuspend incubate for 2 min; </t>
    </r>
    <r>
      <rPr>
        <sz val="12"/>
        <rFont val="Calibri (Body)"/>
      </rPr>
      <t>recover 100 µL.</t>
    </r>
  </si>
  <si>
    <t>For the number of cycles see the SOP</t>
  </si>
  <si>
    <t>Do the cleanup by adding 100 µL beads; elute in 41 µL; recover 40 µl.</t>
  </si>
  <si>
    <t>pool</t>
  </si>
  <si>
    <t>library_kits</t>
  </si>
  <si>
    <t xml:space="preserve">comment </t>
  </si>
  <si>
    <t>index_well</t>
  </si>
  <si>
    <t>kit_i7</t>
  </si>
  <si>
    <t>kit_i5</t>
  </si>
  <si>
    <t>sequence_i7</t>
  </si>
  <si>
    <t>name_i7</t>
  </si>
  <si>
    <t>sequence_i5</t>
  </si>
  <si>
    <t>name_i5</t>
  </si>
  <si>
    <t>ba</t>
  </si>
  <si>
    <t>pooling_factor</t>
  </si>
  <si>
    <t>ul_pooling</t>
  </si>
  <si>
    <t>index_pcr_cycles</t>
  </si>
  <si>
    <t>cDNA_conc_ng_ul</t>
  </si>
  <si>
    <t>cDNA_input_ng</t>
  </si>
  <si>
    <t>cDNA_input_ul</t>
  </si>
  <si>
    <t>cellcount_peruL</t>
  </si>
  <si>
    <t>Targeted_cell_loaded_default_16500</t>
  </si>
  <si>
    <t>ul_sample</t>
  </si>
  <si>
    <t>ul_water</t>
  </si>
  <si>
    <t>Chip_problems</t>
  </si>
  <si>
    <t>Indexplate A:</t>
  </si>
  <si>
    <t>TT Set A</t>
  </si>
  <si>
    <t>GEM kit LOT#:</t>
  </si>
  <si>
    <t>Chip G Kit LOT#</t>
  </si>
  <si>
    <t>Equilibrate beads to RT for 30 min</t>
  </si>
  <si>
    <t>Sample name</t>
  </si>
  <si>
    <t>cell count/mL</t>
  </si>
  <si>
    <t>V H2O [µL]</t>
  </si>
  <si>
    <t xml:space="preserve"> V Sample [µL]</t>
  </si>
  <si>
    <t>normally we target cell number 16500</t>
  </si>
  <si>
    <t>Close lid and put it into chromium</t>
  </si>
  <si>
    <t>85°C/5 min -&gt; hold 4°C</t>
  </si>
  <si>
    <t>Post GEM-RT Cleanup &amp; cDNA Amplification</t>
  </si>
  <si>
    <t>Add 125 µL of Recovery Agent to each sample, wait for 2 min</t>
  </si>
  <si>
    <t>Remove the recovery agent/oil (pink)</t>
  </si>
  <si>
    <t>Add 200 µL of Dynabeads cleanup mix to each sample, incubate 10 min and mix after 5 min</t>
  </si>
  <si>
    <t>Dynabeads Mix:</t>
  </si>
  <si>
    <t xml:space="preserve">  Cleanup buffer</t>
  </si>
  <si>
    <t>Thaw the Cleanup buffer at  65°C for 10 min, cool to RT</t>
  </si>
  <si>
    <t>Dynabeads</t>
  </si>
  <si>
    <t xml:space="preserve">  Reducing Agent B</t>
  </si>
  <si>
    <t>Put the solution onto the magnet and do the cleanup following protocol (elute in 35.5 µL ES1, recover 35 µL)</t>
  </si>
  <si>
    <t>Add 65 µL cDNA Amplification reaction mix to 35 µL sample.</t>
  </si>
  <si>
    <t>Amp Mix:</t>
  </si>
  <si>
    <t xml:space="preserve"> Amp Mix</t>
  </si>
  <si>
    <t>cDNA Primers</t>
  </si>
  <si>
    <t>___ cycles</t>
  </si>
  <si>
    <t>Do the 0.6X cleanup by adding 60 µL beads; elute in 40.5 µL; recover 40 µl</t>
  </si>
  <si>
    <t>3' GEX library construction</t>
  </si>
  <si>
    <r>
      <t xml:space="preserve">Transfer </t>
    </r>
    <r>
      <rPr>
        <b/>
        <sz val="11"/>
        <color theme="1"/>
        <rFont val="Calibri"/>
        <family val="2"/>
        <scheme val="minor"/>
      </rPr>
      <t xml:space="preserve">10 µL </t>
    </r>
    <r>
      <rPr>
        <sz val="11"/>
        <color theme="1"/>
        <rFont val="Calibri"/>
        <family val="2"/>
        <scheme val="minor"/>
      </rPr>
      <t>of cDNA into a new strip and store the rest</t>
    </r>
  </si>
  <si>
    <r>
      <t xml:space="preserve">Add </t>
    </r>
    <r>
      <rPr>
        <b/>
        <sz val="11"/>
        <color theme="1"/>
        <rFont val="Calibri"/>
        <family val="2"/>
        <scheme val="minor"/>
      </rPr>
      <t>25 µL</t>
    </r>
    <r>
      <rPr>
        <sz val="11"/>
        <color theme="1"/>
        <rFont val="Calibri"/>
        <family val="2"/>
        <scheme val="minor"/>
      </rPr>
      <t xml:space="preserve"> EB to the sample and </t>
    </r>
    <r>
      <rPr>
        <b/>
        <sz val="11"/>
        <color theme="1"/>
        <rFont val="Calibri"/>
        <family val="2"/>
        <scheme val="minor"/>
      </rPr>
      <t>15 µ</t>
    </r>
    <r>
      <rPr>
        <sz val="11"/>
        <color theme="1"/>
        <rFont val="Calibri"/>
        <family val="2"/>
        <scheme val="minor"/>
      </rPr>
      <t>l of the following FM</t>
    </r>
  </si>
  <si>
    <t>Fragmentation Buffer</t>
  </si>
  <si>
    <t>Fragmentation Enzyme</t>
  </si>
  <si>
    <t>4°C/hold</t>
  </si>
  <si>
    <t>32°C/5 min</t>
  </si>
  <si>
    <t>65°C/30 min</t>
  </si>
  <si>
    <t>4°C hold</t>
  </si>
  <si>
    <r>
      <t xml:space="preserve">Do the 0.6-0.8X </t>
    </r>
    <r>
      <rPr>
        <b/>
        <sz val="11"/>
        <color theme="1"/>
        <rFont val="Calibri"/>
        <family val="2"/>
        <scheme val="minor"/>
      </rPr>
      <t xml:space="preserve">double sided </t>
    </r>
    <r>
      <rPr>
        <sz val="11"/>
        <color theme="1"/>
        <rFont val="Calibri"/>
        <family val="2"/>
        <scheme val="minor"/>
      </rPr>
      <t>cleanup by adding 30 µL beads;  transfer 75µl; add 10µL beads; elute in 50.5 µL; recover 50 µl</t>
    </r>
  </si>
  <si>
    <t>double sided cleanup</t>
  </si>
  <si>
    <r>
      <t xml:space="preserve">Mix </t>
    </r>
    <r>
      <rPr>
        <b/>
        <sz val="11"/>
        <color theme="1"/>
        <rFont val="Calibri"/>
        <family val="2"/>
        <scheme val="minor"/>
      </rPr>
      <t>50 µL</t>
    </r>
    <r>
      <rPr>
        <sz val="11"/>
        <color theme="1"/>
        <rFont val="Calibri"/>
        <family val="2"/>
        <scheme val="minor"/>
      </rPr>
      <t xml:space="preserve"> of the sample and 50</t>
    </r>
    <r>
      <rPr>
        <b/>
        <sz val="11"/>
        <color theme="1"/>
        <rFont val="Calibri"/>
        <family val="2"/>
        <scheme val="minor"/>
      </rPr>
      <t xml:space="preserve"> µ</t>
    </r>
    <r>
      <rPr>
        <sz val="11"/>
        <color theme="1"/>
        <rFont val="Calibri"/>
        <family val="2"/>
        <scheme val="minor"/>
      </rPr>
      <t>l of the following ALM</t>
    </r>
  </si>
  <si>
    <t xml:space="preserve">ALM: </t>
  </si>
  <si>
    <t>DNA Ligase</t>
  </si>
  <si>
    <t>20°C/15 min</t>
  </si>
  <si>
    <r>
      <t xml:space="preserve">Do the 0.8X cleanup by adding </t>
    </r>
    <r>
      <rPr>
        <b/>
        <sz val="11"/>
        <color theme="1"/>
        <rFont val="Calibri"/>
        <family val="2"/>
        <scheme val="minor"/>
      </rPr>
      <t xml:space="preserve">80 µL </t>
    </r>
    <r>
      <rPr>
        <sz val="11"/>
        <color theme="1"/>
        <rFont val="Calibri"/>
        <family val="2"/>
        <scheme val="minor"/>
      </rPr>
      <t>beads; elute in 30.5 µL; recover 30 µl</t>
    </r>
  </si>
  <si>
    <r>
      <t xml:space="preserve">Add </t>
    </r>
    <r>
      <rPr>
        <b/>
        <sz val="11"/>
        <color theme="1"/>
        <rFont val="Calibri"/>
        <family val="2"/>
        <scheme val="minor"/>
      </rPr>
      <t>50 µl</t>
    </r>
    <r>
      <rPr>
        <sz val="11"/>
        <color theme="1"/>
        <rFont val="Calibri"/>
        <family val="2"/>
        <scheme val="minor"/>
      </rPr>
      <t xml:space="preserve"> of AMP Mix to </t>
    </r>
    <r>
      <rPr>
        <b/>
        <sz val="11"/>
        <color theme="1"/>
        <rFont val="Calibri"/>
        <family val="2"/>
        <scheme val="minor"/>
      </rPr>
      <t>30 µL</t>
    </r>
    <r>
      <rPr>
        <sz val="11"/>
        <color theme="1"/>
        <rFont val="Calibri"/>
        <family val="2"/>
        <scheme val="minor"/>
      </rPr>
      <t xml:space="preserve"> sample.</t>
    </r>
  </si>
  <si>
    <r>
      <t xml:space="preserve">Do the 0.6-0.8X </t>
    </r>
    <r>
      <rPr>
        <b/>
        <sz val="11"/>
        <color theme="1"/>
        <rFont val="Calibri"/>
        <family val="2"/>
        <scheme val="minor"/>
      </rPr>
      <t xml:space="preserve">double sided </t>
    </r>
    <r>
      <rPr>
        <sz val="11"/>
        <color theme="1"/>
        <rFont val="Calibri"/>
        <family val="2"/>
        <scheme val="minor"/>
      </rPr>
      <t>cleanup by adding 60 µL beads; transfer 150 µl; add 20 µL beads; elute in 50.5 µL; recover 50 µl</t>
    </r>
  </si>
  <si>
    <r>
      <t>Do the 0.8X cleanup by adding 4</t>
    </r>
    <r>
      <rPr>
        <b/>
        <sz val="11"/>
        <color theme="1"/>
        <rFont val="Calibri"/>
        <family val="2"/>
        <scheme val="minor"/>
      </rPr>
      <t xml:space="preserve">0 µL </t>
    </r>
    <r>
      <rPr>
        <sz val="11"/>
        <color theme="1"/>
        <rFont val="Calibri"/>
        <family val="2"/>
        <scheme val="minor"/>
      </rPr>
      <t>beads; elute in 35.5 µL; recover 35 µl</t>
    </r>
  </si>
  <si>
    <t>QC (Qubit, BA, pooling)</t>
  </si>
  <si>
    <t xml:space="preserve">Pool concentration: </t>
  </si>
  <si>
    <t>Put the Kitnumbers into the working sheet and followingly into the sample annotation sheet: If you didn’t use UMIs only one number is needed!</t>
  </si>
  <si>
    <t>10X_3'_GEX</t>
  </si>
  <si>
    <t>10X Dual Index TT Set A</t>
  </si>
  <si>
    <t>THIS IS DIFFERENT FROM ANTIBODY CAPTURE TOTALSEQ A</t>
  </si>
  <si>
    <t>GEM Bead Kit LOT#:</t>
  </si>
  <si>
    <t>GEM generation Kit LOT#:</t>
  </si>
  <si>
    <t>Yes</t>
  </si>
  <si>
    <t>Library prep Kit LOT#:</t>
  </si>
  <si>
    <t>Dual Index Kit TT Set A LOT#</t>
  </si>
  <si>
    <t>Calculate the needed dilutions of the sample with the following formula</t>
  </si>
  <si>
    <t>Sample [µL]</t>
  </si>
  <si>
    <t>Remove the 125 µL recovery agent/oil (pink)</t>
  </si>
  <si>
    <t>Special cleanup resulting in two samples: cDNA GEX, hash</t>
  </si>
  <si>
    <t>GEX</t>
  </si>
  <si>
    <t>Hash</t>
  </si>
  <si>
    <t xml:space="preserve">Wash the bead pellet twice with ethanol </t>
  </si>
  <si>
    <t>Elute in 40.5µL EB and incubate for 2 min</t>
  </si>
  <si>
    <t>Incubate 5 min</t>
  </si>
  <si>
    <t xml:space="preserve">recover 40µL </t>
  </si>
  <si>
    <t xml:space="preserve">Wash twice with ethanol </t>
  </si>
  <si>
    <t>proceed with Cell Mutiplexing library construction</t>
  </si>
  <si>
    <t>Mix the following reaction</t>
  </si>
  <si>
    <t>10 cycles</t>
  </si>
  <si>
    <t>Carina Suete</t>
  </si>
  <si>
    <t>sample_name</t>
  </si>
  <si>
    <t>lib_conc_ng_ul</t>
  </si>
  <si>
    <t>If using custom probes add 2.5 µl of custom probes</t>
  </si>
  <si>
    <t>Conc. Quenching Buffer B</t>
  </si>
  <si>
    <t>Prepare Quenching Buffer B on ice and mix.</t>
  </si>
  <si>
    <r>
      <t xml:space="preserve">Centrifuge sample at 850 rcf for 5 minutes at </t>
    </r>
    <r>
      <rPr>
        <b/>
        <sz val="12"/>
        <color theme="1"/>
        <rFont val="Calibri"/>
        <family val="2"/>
        <scheme val="minor"/>
      </rPr>
      <t>room temperature</t>
    </r>
    <r>
      <rPr>
        <sz val="12"/>
        <color theme="1"/>
        <rFont val="Calibri"/>
        <family val="2"/>
        <scheme val="minor"/>
      </rPr>
      <t>.</t>
    </r>
  </si>
  <si>
    <t>PRE-Hybridization Normalization to avoid another count</t>
  </si>
  <si>
    <t>50 000- 500 000</t>
  </si>
  <si>
    <t>300 000</t>
  </si>
  <si>
    <t>for low input samples please adjust the checklist to the user guide</t>
  </si>
  <si>
    <t>Pipet 60 µl of the Master Mix + Cell suspension into the chip in row 1. Wait for 30 sec.</t>
  </si>
  <si>
    <r>
      <t xml:space="preserve">Vortex beads for 30 sec, centrifuge, </t>
    </r>
    <r>
      <rPr>
        <sz val="11"/>
        <color rgb="FFFF0000"/>
        <rFont val="Calibri"/>
        <family val="2"/>
        <scheme val="minor"/>
      </rPr>
      <t>reverse pipet</t>
    </r>
    <r>
      <rPr>
        <sz val="11"/>
        <color theme="1"/>
        <rFont val="Calibri"/>
        <family val="2"/>
        <scheme val="minor"/>
      </rPr>
      <t xml:space="preserve"> 60 µl into row 2 and </t>
    </r>
    <r>
      <rPr>
        <sz val="11"/>
        <color rgb="FFFF0000"/>
        <rFont val="Calibri"/>
        <family val="2"/>
        <scheme val="minor"/>
      </rPr>
      <t>wait for 30 seconds.</t>
    </r>
  </si>
  <si>
    <t>Pipet 250 µl of partitioning oil in row 3.</t>
  </si>
  <si>
    <t>For CITE-seq use Pre-Amp Primers C</t>
  </si>
  <si>
    <t>targeted_cellinput</t>
  </si>
  <si>
    <t>Resuspension volume: __________</t>
  </si>
  <si>
    <t>Prepare the following MM and pipet 30.3 µL in each tube on ice</t>
  </si>
  <si>
    <t>Remove supernatant and resuspend in 0.5 mL of the prepared solution. Keep on ice.</t>
  </si>
  <si>
    <t>fragment size</t>
  </si>
  <si>
    <t>nM total</t>
  </si>
  <si>
    <t>sample vol</t>
  </si>
  <si>
    <t>EB + Tween 0,1%</t>
  </si>
  <si>
    <t>[QB after Dilution to 3nM]</t>
  </si>
  <si>
    <t>nM after Dilution</t>
  </si>
  <si>
    <t>Legend</t>
  </si>
  <si>
    <t>ng/ul</t>
  </si>
  <si>
    <t>Don't touch</t>
  </si>
  <si>
    <t>To key in</t>
  </si>
  <si>
    <t xml:space="preserve">Actual Pooling </t>
  </si>
  <si>
    <t>representation</t>
  </si>
  <si>
    <t>pipet for 3nM</t>
  </si>
  <si>
    <t>lane</t>
  </si>
  <si>
    <t>SAMPLE</t>
  </si>
  <si>
    <t>EB</t>
  </si>
  <si>
    <t>Qubit</t>
  </si>
  <si>
    <t>nM</t>
  </si>
  <si>
    <t>M Reads</t>
  </si>
  <si>
    <t>%</t>
  </si>
  <si>
    <t>Amp Mix C</t>
  </si>
  <si>
    <t>Do the same for the CITEseq library with TN Set A and with Amp Mix</t>
  </si>
  <si>
    <t>Checklist 10X  3’ Gene Expression v4 4-plex (OCM)</t>
  </si>
  <si>
    <t>Gel Bead kit LOT#:</t>
  </si>
  <si>
    <t>OCM 3' Chip Kit LOT#</t>
  </si>
  <si>
    <t>Library prep kit C LOT#:</t>
  </si>
  <si>
    <t>Prepare the following MM and pipet 7.4 µL in each tube on ice</t>
  </si>
  <si>
    <t>Volume per 4-plex +10%</t>
  </si>
  <si>
    <t xml:space="preserve">  RT Reagent E</t>
  </si>
  <si>
    <t>Template Switch Oligo B</t>
  </si>
  <si>
    <t>RT Enzyme E</t>
  </si>
  <si>
    <t>Assemble the Cip and pipet glycerol in the unused wells: 15 µL into ROW 1, 18 µL into ROW 2, 70 µL into ROW 3</t>
  </si>
  <si>
    <t>Add 1x PBS into the MM for each sample and mix</t>
  </si>
  <si>
    <t>Using a multichannel pipet 15 µl of the Master Mix + Cell suspension into the chip in row 1</t>
  </si>
  <si>
    <t>Vortex beads for 30 sec, centrifuge, with a multichannel pipet 18 µl into row 2 and wait for 30s.</t>
  </si>
  <si>
    <t>Using a mltichannel pipet 70 µl of partitioning oil B in row 3</t>
  </si>
  <si>
    <t>Transfer gems into tubes with cap put it into thermocycler and Incubate:</t>
  </si>
  <si>
    <t>48°C/45 min</t>
  </si>
  <si>
    <t>lid = 48°C, volume 125 µL</t>
  </si>
  <si>
    <t>63°C/ 30 sec</t>
  </si>
  <si>
    <t>Transfer 10 µL of cDNA into a new strip and store the rest</t>
  </si>
  <si>
    <t>Add 25 µL EB to the sample and 15 µl of the following FM</t>
  </si>
  <si>
    <t>Do the 0.6-0.8X double sided cleanup by adding 30 µL beads;  transfer 75µl; add 10µL beads; elute in 50.5 µL; recover 50 µl</t>
  </si>
  <si>
    <t>Mix 50 µL of the sample and 50 µl of the following ALM</t>
  </si>
  <si>
    <t>Ligation Mix</t>
  </si>
  <si>
    <t>Do the 0.8X cleanup by adding 80 µL beads; elute in 30.5 µL; recover 30 µl</t>
  </si>
  <si>
    <t>Add 50 µl of AMP Mix to 30 µL sample.</t>
  </si>
  <si>
    <t>Do the 0.6-0.8X double sided cleanup by adding 60 µL beads; transfer 150 µl; add 20 µL beads; elute in 50.5 µL; recover 50 µl</t>
  </si>
  <si>
    <t>Do the 0.8X cleanup by adding 40 µL beads; elute in 35.5 µL; recover 35 µl</t>
  </si>
  <si>
    <t>Checklist 10X  3’ OCM</t>
  </si>
  <si>
    <t>Checklist 10X  5’ Cell MULTIPLEXING and AB capture</t>
  </si>
  <si>
    <t>TotalseqC</t>
  </si>
  <si>
    <t>AB capture</t>
  </si>
  <si>
    <t>TN Set A</t>
  </si>
  <si>
    <t>VDJ</t>
  </si>
  <si>
    <t>Poly-dt RT Primer B</t>
  </si>
  <si>
    <r>
      <t>Assemble the Chip X and pipet glycerol in the unused wells: 6</t>
    </r>
    <r>
      <rPr>
        <b/>
        <sz val="12"/>
        <color theme="1"/>
        <rFont val="Calibri"/>
        <family val="2"/>
        <scheme val="minor"/>
      </rPr>
      <t>0 µL into ROW 1, 60 µL into ROW 2, 125 µL x 2 into ROW 3</t>
    </r>
  </si>
  <si>
    <t>PBS [µL]</t>
  </si>
  <si>
    <t>normally we targetd cell number 29000</t>
  </si>
  <si>
    <t>Pipet 60 µl of the Master Mix + Cell suspension into the chip in row 1</t>
  </si>
  <si>
    <r>
      <t xml:space="preserve">Vortex beads for 30 sec, centrifuge, </t>
    </r>
    <r>
      <rPr>
        <sz val="11"/>
        <color rgb="FFFF0000"/>
        <rFont val="Calibri"/>
        <family val="2"/>
        <scheme val="minor"/>
      </rPr>
      <t xml:space="preserve"> pipet</t>
    </r>
    <r>
      <rPr>
        <sz val="11"/>
        <color theme="1"/>
        <rFont val="Calibri"/>
        <family val="2"/>
        <scheme val="minor"/>
      </rPr>
      <t xml:space="preserve"> 60 µl into row 2 and </t>
    </r>
    <r>
      <rPr>
        <sz val="11"/>
        <color rgb="FFFF0000"/>
        <rFont val="Calibri"/>
        <family val="2"/>
        <scheme val="minor"/>
      </rPr>
      <t>wait for 30s.</t>
    </r>
  </si>
  <si>
    <t>Pipet 2x 125 µl of partitioning oil in row 3</t>
  </si>
  <si>
    <t>Feature cDNA Primers 4</t>
  </si>
  <si>
    <t>Do the cleanup by adding 60µL SPRI select reagent. Transfer 75µl supernatant into a new tube.</t>
  </si>
  <si>
    <t>add 70µL beads to the transferred supernatant (75µL)</t>
  </si>
  <si>
    <t>proceed with 5'GEX Library construction</t>
  </si>
  <si>
    <t>proceed with V(D)J amplification</t>
  </si>
  <si>
    <t>V(D)J Amplification from cDNA 1</t>
  </si>
  <si>
    <t>Amp Mix</t>
  </si>
  <si>
    <t>T Cell Mix 1 v2</t>
  </si>
  <si>
    <r>
      <t>Add 98ul of the reaction to</t>
    </r>
    <r>
      <rPr>
        <b/>
        <sz val="11"/>
        <color theme="1"/>
        <rFont val="Calibri"/>
        <family val="2"/>
        <scheme val="minor"/>
      </rPr>
      <t xml:space="preserve"> 2ul cDNA sample </t>
    </r>
  </si>
  <si>
    <t>total of cycles</t>
  </si>
  <si>
    <t>12 cycles</t>
  </si>
  <si>
    <t xml:space="preserve">T cells </t>
  </si>
  <si>
    <t>62°C/ 30 sec</t>
  </si>
  <si>
    <t>B cells</t>
  </si>
  <si>
    <r>
      <t>Do a double sided cleanup by adding 5</t>
    </r>
    <r>
      <rPr>
        <b/>
        <sz val="11"/>
        <color theme="1"/>
        <rFont val="Calibri"/>
        <family val="2"/>
        <scheme val="minor"/>
      </rPr>
      <t xml:space="preserve">0 µL </t>
    </r>
    <r>
      <rPr>
        <sz val="11"/>
        <color theme="1"/>
        <rFont val="Calibri"/>
        <family val="2"/>
        <scheme val="minor"/>
      </rPr>
      <t>beads; transfer 145 ul supernatant, add 30ul beads, elute in 35.5 µL; recover 35 µl</t>
    </r>
  </si>
  <si>
    <t>V(D)J Amplification from cDNA 2</t>
  </si>
  <si>
    <t>T Cell Mix 2 v2</t>
  </si>
  <si>
    <r>
      <t>Add 65ul of the reaction to</t>
    </r>
    <r>
      <rPr>
        <b/>
        <sz val="11"/>
        <color theme="1"/>
        <rFont val="Calibri"/>
        <family val="2"/>
        <scheme val="minor"/>
      </rPr>
      <t xml:space="preserve"> 35ul sample </t>
    </r>
  </si>
  <si>
    <r>
      <t>Do a double sided cleanup by adding 5</t>
    </r>
    <r>
      <rPr>
        <b/>
        <sz val="11"/>
        <color theme="1"/>
        <rFont val="Calibri"/>
        <family val="2"/>
        <scheme val="minor"/>
      </rPr>
      <t xml:space="preserve">0 µL </t>
    </r>
    <r>
      <rPr>
        <sz val="11"/>
        <color theme="1"/>
        <rFont val="Calibri"/>
        <family val="2"/>
        <scheme val="minor"/>
      </rPr>
      <t>beads; transfer 145 ul supernatant, add 30ul beads, elute in 40.5 µL; recover 40 µl</t>
    </r>
  </si>
  <si>
    <t>V(D)J  library construction</t>
  </si>
  <si>
    <r>
      <t xml:space="preserve">Transfer </t>
    </r>
    <r>
      <rPr>
        <b/>
        <sz val="11"/>
        <color theme="1"/>
        <rFont val="Calibri"/>
        <family val="2"/>
        <scheme val="minor"/>
      </rPr>
      <t xml:space="preserve">10 µL </t>
    </r>
    <r>
      <rPr>
        <sz val="11"/>
        <color theme="1"/>
        <rFont val="Calibri"/>
        <family val="2"/>
        <scheme val="minor"/>
      </rPr>
      <t>of purified V(D)J amplified product into a new strip and store the rest</t>
    </r>
  </si>
  <si>
    <t>32°C/2 min</t>
  </si>
  <si>
    <r>
      <t>Do a cleanup by adding 8</t>
    </r>
    <r>
      <rPr>
        <b/>
        <sz val="11"/>
        <color theme="1"/>
        <rFont val="Calibri"/>
        <family val="2"/>
        <scheme val="minor"/>
      </rPr>
      <t xml:space="preserve">0 µL </t>
    </r>
    <r>
      <rPr>
        <sz val="11"/>
        <color theme="1"/>
        <rFont val="Calibri"/>
        <family val="2"/>
        <scheme val="minor"/>
      </rPr>
      <t>beads; elute in 35.5 µL; recover 35 µl</t>
    </r>
  </si>
  <si>
    <t>5' GEX library construction</t>
  </si>
  <si>
    <t>Cell Mutiplexing and Cell surface Protein Library Construction</t>
  </si>
  <si>
    <r>
      <t xml:space="preserve">Transfer only 5 ul of the Transferred Supernatant Cleanup in a new tube and mix with 75ul MM and </t>
    </r>
    <r>
      <rPr>
        <b/>
        <sz val="11"/>
        <color theme="1"/>
        <rFont val="Calibri"/>
        <family val="2"/>
        <scheme val="minor"/>
      </rPr>
      <t>20ul Index TN Set A</t>
    </r>
  </si>
  <si>
    <r>
      <t xml:space="preserve">Do the 1.2X cleanup by adding </t>
    </r>
    <r>
      <rPr>
        <b/>
        <sz val="11"/>
        <color theme="1"/>
        <rFont val="Calibri"/>
        <family val="2"/>
        <scheme val="minor"/>
      </rPr>
      <t xml:space="preserve">120 µL </t>
    </r>
    <r>
      <rPr>
        <sz val="11"/>
        <color theme="1"/>
        <rFont val="Calibri"/>
        <family val="2"/>
        <scheme val="minor"/>
      </rPr>
      <t>beads; elute in 35.5 µL; recover 35 µl</t>
    </r>
  </si>
  <si>
    <t>Checklist 10X  5’ GemX</t>
  </si>
  <si>
    <t>Chip GEMX 3' Kit LOT#</t>
  </si>
  <si>
    <t>Equilibrate Gel Bead, RT Reagent E, TSO B, Reducing Agent B to RT for 30 min</t>
  </si>
  <si>
    <t>Prepare the following MM and pipet 28.4 µL in each tube on ice</t>
  </si>
  <si>
    <t xml:space="preserve">Vortex beads for 30 sec, centrifuge for 5 sec </t>
  </si>
  <si>
    <t>V 1X PBS [µL]</t>
  </si>
  <si>
    <t>normally we target 29000 cells for 3' GEM-X</t>
  </si>
  <si>
    <r>
      <rPr>
        <sz val="11"/>
        <color rgb="FFFF0000"/>
        <rFont val="Calibri"/>
        <family val="2"/>
        <scheme val="minor"/>
      </rPr>
      <t>Reverse pipet</t>
    </r>
    <r>
      <rPr>
        <sz val="11"/>
        <color theme="1"/>
        <rFont val="Calibri"/>
        <family val="2"/>
        <scheme val="minor"/>
      </rPr>
      <t xml:space="preserve"> 60 µl of beads into row 2 and </t>
    </r>
    <r>
      <rPr>
        <sz val="11"/>
        <color rgb="FFFF0000"/>
        <rFont val="Calibri"/>
        <family val="2"/>
        <scheme val="minor"/>
      </rPr>
      <t>wait for 30s.</t>
    </r>
  </si>
  <si>
    <t>Pipet 250 µl of partitioning oil in row 3</t>
  </si>
  <si>
    <r>
      <t xml:space="preserve">Transfer gems </t>
    </r>
    <r>
      <rPr>
        <sz val="11"/>
        <color rgb="FFFF0000"/>
        <rFont val="Calibri (Body)"/>
      </rPr>
      <t>slowly</t>
    </r>
    <r>
      <rPr>
        <sz val="11"/>
        <color theme="1"/>
        <rFont val="Calibri"/>
        <family val="2"/>
        <scheme val="minor"/>
      </rPr>
      <t xml:space="preserve"> into tubes </t>
    </r>
    <r>
      <rPr>
        <b/>
        <sz val="11"/>
        <color theme="1"/>
        <rFont val="Calibri"/>
        <family val="2"/>
        <scheme val="minor"/>
      </rPr>
      <t>with cap</t>
    </r>
    <r>
      <rPr>
        <sz val="11"/>
        <color theme="1"/>
        <rFont val="Calibri"/>
        <family val="2"/>
        <scheme val="minor"/>
      </rPr>
      <t xml:space="preserve"> put it into thermocycler and Incubate:</t>
    </r>
  </si>
  <si>
    <t>DO NOT ASPIRATE aqueous sample</t>
  </si>
  <si>
    <t>98°C/ 3 min</t>
  </si>
  <si>
    <t>98°C/ 15 sec</t>
  </si>
  <si>
    <t>11 cycles</t>
  </si>
  <si>
    <t>4°C/ hold</t>
  </si>
  <si>
    <t xml:space="preserve">Do the 0.6X cleanup by adding 60 µL beads; elute in 40.5 µL; recover 40 µl. Do QC. </t>
  </si>
  <si>
    <t>10X_5'_GEX</t>
  </si>
  <si>
    <t>PN-1000695;PN-1000694;PN-1000698;</t>
  </si>
  <si>
    <t>PN-1000695;PN-1000694;PN-1000698;PN-1000703</t>
  </si>
  <si>
    <t>PN-1000695;PN-1000694;PN-1000698;PN-1000703;BSF005</t>
  </si>
  <si>
    <t>PN-1000695;PN-1000694;PN-1000698;PN-1000703;PN-1000252</t>
  </si>
  <si>
    <t>PN-1000695;PN-1000694;PN-1000698;PN-1000703;PN-1000253</t>
  </si>
  <si>
    <t>PN-1000695;PN-1000694;PN-1000698;PN-1000703;PN-1000252;PN-1000253</t>
  </si>
  <si>
    <t>PN-1000695;PN-1000694;PN-1000698;PN-1000703;PN-1000254</t>
  </si>
  <si>
    <t>PN-1000695;PN-1000694;PN-1000698;PN-1000703;PN-1000255</t>
  </si>
  <si>
    <t>PN-1000695;PN-1000694;PN-1000698;PN-1000703;PN-1000254;PN-1000255</t>
  </si>
  <si>
    <t>Library kit 5' GEX</t>
  </si>
  <si>
    <t>Library kit 5' antibody multiplexing:</t>
  </si>
  <si>
    <t>Library kit 5' Antibody capture:</t>
  </si>
  <si>
    <t>Library kit 5' Antibody capture TCR human</t>
  </si>
  <si>
    <t>Library kit 5' Antibody capture BCR human</t>
  </si>
  <si>
    <t>Library kit 5' Antibody capture TCR and BCR human</t>
  </si>
  <si>
    <t>Library kit 5' Antibody capture TCR mouse</t>
  </si>
  <si>
    <t>Library kit 5' Antibody capture BCR mouse</t>
  </si>
  <si>
    <t>Library kit 5' Antibody capture TCR and BCR mouse</t>
  </si>
  <si>
    <t>10X_3'_GEXOCM</t>
  </si>
  <si>
    <t>PN-1000779;PN-1000747;BSF004;PN-1000215;PN-1000242</t>
  </si>
  <si>
    <t>PN-1000779;PN-1000747;BSF003;PN-1000215</t>
  </si>
  <si>
    <t>PN-1000779;PN-1000747;PN-1000215</t>
  </si>
  <si>
    <t>Library kits 3' OCM:</t>
  </si>
  <si>
    <t>Library kits 3' OCM + Antibody capture:</t>
  </si>
  <si>
    <t>Library kits 3' OCM + Antibody mutliplexing:</t>
  </si>
  <si>
    <t>20260119</t>
  </si>
  <si>
    <t>OCM 5' Chip Kit LOT#</t>
  </si>
  <si>
    <t>Add appropriate volume (total 17µL) of 1x PBS into the MM for each sample and mix</t>
  </si>
  <si>
    <t>normally we target cell number 8250 to load</t>
  </si>
  <si>
    <t>if ANTIBODY CAPTURE take Feature cDNA Primers 4!</t>
  </si>
  <si>
    <t>&lt;500</t>
  </si>
  <si>
    <t>501-2,000</t>
  </si>
  <si>
    <t>&gt;6,000</t>
  </si>
  <si>
    <t>2,001-6,000</t>
  </si>
  <si>
    <t>cycles</t>
  </si>
  <si>
    <t>target recovery</t>
  </si>
  <si>
    <t>Hash/AC</t>
  </si>
  <si>
    <t>10X_5'_GEXOCM</t>
  </si>
  <si>
    <t>Checklist 10X  5’ OCM</t>
  </si>
  <si>
    <t>Checklist 10X  5’ Gene Expression v4 4-plex (OCM)</t>
  </si>
  <si>
    <t>Organism:</t>
  </si>
  <si>
    <t>Chip Kit LOT#</t>
  </si>
  <si>
    <t>Thaw Probes on ice, vortex and centrifuge.</t>
  </si>
  <si>
    <t>Additive A</t>
  </si>
  <si>
    <t>Probes</t>
  </si>
  <si>
    <t>Thaw Addtitive A at RT vortex and centrifuge, maintain on ice.</t>
  </si>
  <si>
    <t>Remove supernatant and resuspend in 50 µl Hyb Mix an transfer to a strip. Keep at RT!</t>
  </si>
  <si>
    <t>Barcode Oligo Hybridization</t>
  </si>
  <si>
    <t>1 sample [µL]</t>
  </si>
  <si>
    <t>Prepare Post- Hyb wash Buffer B and keept at RT</t>
  </si>
  <si>
    <t>Prepare Barcode Oligo Hyb Mix and keept at RT</t>
  </si>
  <si>
    <t>Hyb Buffer B</t>
  </si>
  <si>
    <t>Incubate Barcode Oligo Hyb Mix for at least 5 min</t>
  </si>
  <si>
    <t>Remove samples from overnight incubation and keep at RT for 10 min</t>
  </si>
  <si>
    <t>Add 200µL of Post-Hyb Wash Buffer B to each well</t>
  </si>
  <si>
    <t>Remove supernatant.</t>
  </si>
  <si>
    <t>Add 40µL Barcode Oligo Hyb Mix to each sample. Keep at RT!</t>
  </si>
  <si>
    <t>Retrieve the already thawed Barcoding Oligo plates from ice. Vortex and centrifuge at 850 rcf for 5 min. Without touching the bottom of the plate well, aspirate 10 μl of an individual Barcoding Oligo  and add to each sample tube/well. Pipette mix 5x .Record the Barcoding Oligo Plate, Set (A, B, C, or D) and the well ID used:</t>
  </si>
  <si>
    <t>Incubate for 2h at 42°C.</t>
  </si>
  <si>
    <t>Post hybridization washing workflow &gt;50,000 cells</t>
  </si>
  <si>
    <t>1 sample [mL]</t>
  </si>
  <si>
    <t>Dilute each sample by adding 150 µL Post- Hyb Wash Buffer and pipette mix 5x and pool samples into a reagent reservoir and then transfer into the tube containing the Post Hyb Wash Buffer B.</t>
  </si>
  <si>
    <t>Add 100µL per sample of Post- Hyb Wash Buffer B into a 15 or 50mL tube.</t>
  </si>
  <si>
    <t>Add 200µL  of Post-Hyb Bufer B to each well and transfer into the tube.</t>
  </si>
  <si>
    <t>Invert the tube to mix and centrifuge at 850 rcf for 10 min at RT.</t>
  </si>
  <si>
    <t>Prepare Post- Hyb wash Buffer and keept at RT. Add reagents in order listed!</t>
  </si>
  <si>
    <t>Incubate at 37°C for 10 minutes in a heat block</t>
  </si>
  <si>
    <t>Remove the supernatant without disturbing the pellet. Resuspend cell pellet in 1 mL Post- Hyb Wash Buffer</t>
  </si>
  <si>
    <t xml:space="preserve">Remove the supernatant without disturbing the pellet. Resuspend cell pellet in1 mL Post- Hyb Wash Buffer. Pipette mix 5x. </t>
  </si>
  <si>
    <t>1 pool + 10% [mL]</t>
  </si>
  <si>
    <t>Multiplex 4 pools +10% [mL]</t>
  </si>
  <si>
    <r>
      <t xml:space="preserve">Remove the supernatant without disturbing the pellet. Resuspend cell pellet in an appropriate volume (see SOP) of </t>
    </r>
    <r>
      <rPr>
        <b/>
        <sz val="12"/>
        <color theme="1"/>
        <rFont val="Calibri"/>
        <family val="2"/>
        <scheme val="minor"/>
      </rPr>
      <t xml:space="preserve">chilled </t>
    </r>
    <r>
      <rPr>
        <sz val="12"/>
        <color theme="1"/>
        <rFont val="Calibri"/>
        <family val="2"/>
        <scheme val="minor"/>
      </rPr>
      <t xml:space="preserve">Post- Hyb Resuspension Buffer. </t>
    </r>
  </si>
  <si>
    <t>Pass the sample through a 30 µm filter (Sysmex CellTrics) into a new 1.5 mL microcentrifuge tube and place on ice. DON’T FILTER &gt;10x10^6 cells or concentration above 10,000 cells [µL]</t>
  </si>
  <si>
    <t>GEM Generation and Barcoding</t>
  </si>
  <si>
    <t>Normally we target 29.000 cells per sample</t>
  </si>
  <si>
    <t>Cell concentration [cells/µL]</t>
  </si>
  <si>
    <t>Input volume [µL]</t>
  </si>
  <si>
    <t>Thaw Barcoding Oligo Plate on ice. Heat Enhancer, thaw con post hyb at RT, thaw Hyb buffer at 42°C</t>
  </si>
  <si>
    <r>
      <t>Add 75 µl of PCR mix to</t>
    </r>
    <r>
      <rPr>
        <b/>
        <sz val="11"/>
        <color theme="1"/>
        <rFont val="Calibri"/>
        <family val="2"/>
        <scheme val="minor"/>
      </rPr>
      <t xml:space="preserve"> 4 times 5 µL</t>
    </r>
    <r>
      <rPr>
        <sz val="11"/>
        <color theme="1"/>
        <rFont val="Calibri"/>
        <family val="2"/>
        <scheme val="minor"/>
      </rPr>
      <t xml:space="preserve"> sample.</t>
    </r>
  </si>
  <si>
    <t>Kinga Pajdzik</t>
  </si>
  <si>
    <t>If you have less than 16 samples follow the protocol and only set up one reaction!</t>
  </si>
  <si>
    <r>
      <t xml:space="preserve">Assemble the Chip GEM-X FX and pipet glycerol in the unused wells: </t>
    </r>
    <r>
      <rPr>
        <b/>
        <sz val="12"/>
        <color theme="1"/>
        <rFont val="Calibri"/>
        <family val="2"/>
        <scheme val="minor"/>
      </rPr>
      <t>60 µL into row 1, 60 µL into row 2, 250 µL into row 3</t>
    </r>
    <r>
      <rPr>
        <sz val="12"/>
        <color theme="1"/>
        <rFont val="Calibri"/>
        <family val="2"/>
        <scheme val="minor"/>
      </rPr>
      <t>.</t>
    </r>
  </si>
  <si>
    <t>lid = 80°C, volume 100 µL</t>
  </si>
  <si>
    <t>GEM-X Flex Sample Preparation v2 Kit</t>
  </si>
  <si>
    <t>PN-1000781</t>
  </si>
  <si>
    <t>GEM-X Flex GEM &amp; Library Kit v2</t>
  </si>
  <si>
    <t>PN-1000918</t>
  </si>
  <si>
    <t>GEM-X Flex Hybridization &amp; Wash Kit v2</t>
  </si>
  <si>
    <t>PN-1000904</t>
  </si>
  <si>
    <t>GEM-X Flex Human Transcriptome Probe Kit v2</t>
  </si>
  <si>
    <t>16 samples PN-1000900 | 96 samples PN-1000901</t>
  </si>
  <si>
    <t>GEM-X Flex Mouse Transcriptome Probe Kit v2</t>
  </si>
  <si>
    <t>16 samples PN-1000902 | 96 samples PN-1000903</t>
  </si>
  <si>
    <t>GEM-X Flex Barcode Oligo Plate v2</t>
  </si>
  <si>
    <t>Set A PN-1000894 | Set B PN-1000897 | Set C PN-1000898 | Set D PN-1000899</t>
  </si>
  <si>
    <t>GEM-X Flex Gel Bead Kit v2</t>
  </si>
  <si>
    <t>PN-1000896</t>
  </si>
  <si>
    <t>GEM-X Flex Gene Expression Chip Kit</t>
  </si>
  <si>
    <t>BSF_LP_CH_000028</t>
  </si>
  <si>
    <t>Checklist 10X  Fixed RNA GEMX v2 with pooled wash workflow</t>
  </si>
  <si>
    <t>Checklist 10X  Fixed RNA GEMX v2  plate based with pooled wash workflow</t>
  </si>
  <si>
    <t>Checklist 10X  Chromium GEM-X Single Cell 3' Reagent Kits v4 Library Preparation</t>
  </si>
  <si>
    <r>
      <t>Assemble the GEM-X 3' Chip and pipet glycerol in the unused wells: 60</t>
    </r>
    <r>
      <rPr>
        <b/>
        <sz val="12"/>
        <color theme="1"/>
        <rFont val="Calibri"/>
        <family val="2"/>
        <scheme val="minor"/>
      </rPr>
      <t xml:space="preserve"> µL into </t>
    </r>
    <r>
      <rPr>
        <b/>
        <sz val="12"/>
        <color rgb="FFCC99FF"/>
        <rFont val="Calibri"/>
        <family val="2"/>
        <scheme val="minor"/>
      </rPr>
      <t>ROW 1</t>
    </r>
    <r>
      <rPr>
        <b/>
        <sz val="12"/>
        <color theme="1"/>
        <rFont val="Calibri"/>
        <family val="2"/>
        <scheme val="minor"/>
      </rPr>
      <t xml:space="preserve">, 60 µL into </t>
    </r>
    <r>
      <rPr>
        <b/>
        <sz val="12"/>
        <color rgb="FF00B0F0"/>
        <rFont val="Calibri"/>
        <family val="2"/>
        <scheme val="minor"/>
      </rPr>
      <t>ROW 2</t>
    </r>
    <r>
      <rPr>
        <b/>
        <sz val="12"/>
        <color theme="1"/>
        <rFont val="Calibri"/>
        <family val="2"/>
        <scheme val="minor"/>
      </rPr>
      <t xml:space="preserve">, 250 µL into </t>
    </r>
    <r>
      <rPr>
        <b/>
        <sz val="12"/>
        <color rgb="FFFFC000"/>
        <rFont val="Calibri"/>
        <family val="2"/>
        <scheme val="minor"/>
      </rPr>
      <t>ROW 3</t>
    </r>
  </si>
  <si>
    <t>Chromium GEM-X Single Cell 3’ GEM Kit v4</t>
  </si>
  <si>
    <t>PN-1000693</t>
  </si>
  <si>
    <t>Library Construction Kit C</t>
  </si>
  <si>
    <t>PN-1000694</t>
  </si>
  <si>
    <t>Chromium GEM-X Single Cell 3’ Gel Bead Kit v4</t>
  </si>
  <si>
    <t>PN-1000692</t>
  </si>
  <si>
    <t>PN-1000690</t>
  </si>
  <si>
    <t>Chromium GEM-X Single Cell 3' Chip Kit v4, 4 chips</t>
  </si>
  <si>
    <t>Single Cell 3’ GEM Kit v4 LOT#:</t>
  </si>
  <si>
    <t>Library Construction Kit C LOT#:</t>
  </si>
  <si>
    <t>Single Cell 3’ Gel Bead Kitv4 LOT#:</t>
  </si>
  <si>
    <t>TT Set A Kit LOT#</t>
  </si>
  <si>
    <t>BSF_LP_CH_0000029</t>
  </si>
  <si>
    <t>BSF_LP_CH_000030</t>
  </si>
  <si>
    <t>BSF_LP_CH_000032</t>
  </si>
  <si>
    <t>BSF_LP_CH_000031</t>
  </si>
  <si>
    <t>sample NR</t>
  </si>
  <si>
    <t>volume used for hybiridzation [µL]</t>
  </si>
  <si>
    <t>Centrifuge sample at 850 rcf for 10 min at RT and spin with barcode plate</t>
  </si>
  <si>
    <t>1 pool [mL]</t>
  </si>
  <si>
    <t>Pre wet membrane with 100µL Post Hyb buffer B, Filter in at least 400 µL, wash once by adding 400µL  Buffer.</t>
  </si>
  <si>
    <t>actual sequence of the Probe Barcode</t>
  </si>
  <si>
    <t>sequence after translation in Cell Ranger analysis</t>
  </si>
  <si>
    <t>Probe Barcode ID</t>
  </si>
  <si>
    <t>ACGTACGGGA</t>
  </si>
  <si>
    <t>A-A01</t>
  </si>
  <si>
    <t>GAATGGGAAG</t>
  </si>
  <si>
    <t>A-A02</t>
  </si>
  <si>
    <t>GATGGCTTTC</t>
  </si>
  <si>
    <t>A-A03</t>
  </si>
  <si>
    <t>TGCTCCTAAT</t>
  </si>
  <si>
    <t>A-A04</t>
  </si>
  <si>
    <t>ACAACGGGCA</t>
  </si>
  <si>
    <t>A-A05</t>
  </si>
  <si>
    <t>CAACTCAAAC</t>
  </si>
  <si>
    <t>A-A06</t>
  </si>
  <si>
    <t>TGTTCGGATG</t>
  </si>
  <si>
    <t>A-A07</t>
  </si>
  <si>
    <t>ACCCGTACAC</t>
  </si>
  <si>
    <t>A-A08</t>
  </si>
  <si>
    <t>CTAAAGTTCG</t>
  </si>
  <si>
    <t>A-A09</t>
  </si>
  <si>
    <t>GAAGGTCCCA</t>
  </si>
  <si>
    <t>A-A10</t>
  </si>
  <si>
    <t>CTCCTTACCA</t>
  </si>
  <si>
    <t>A-A11</t>
  </si>
  <si>
    <t>CTCTATCTCA</t>
  </si>
  <si>
    <t>A-A12</t>
  </si>
  <si>
    <t>CTACTTTCGT</t>
  </si>
  <si>
    <t>A-B01</t>
  </si>
  <si>
    <t>CACGAATCCA</t>
  </si>
  <si>
    <t>A-B02</t>
  </si>
  <si>
    <t>CGGGTTCAAT</t>
  </si>
  <si>
    <t>A-B03</t>
  </si>
  <si>
    <t>TCCAGCCAGA</t>
  </si>
  <si>
    <t>A-B04</t>
  </si>
  <si>
    <t>CTCCCAACAC</t>
  </si>
  <si>
    <t>A-B05</t>
  </si>
  <si>
    <t>TGTGGAGGTG</t>
  </si>
  <si>
    <t>A-B06</t>
  </si>
  <si>
    <t>GAGGGTTGTG</t>
  </si>
  <si>
    <t>A-B07</t>
  </si>
  <si>
    <t>CTCAAATGGC</t>
  </si>
  <si>
    <t>A-B08</t>
  </si>
  <si>
    <t>CTAGGCAACA</t>
  </si>
  <si>
    <t>A-B09</t>
  </si>
  <si>
    <t>TGCAGTAACT</t>
  </si>
  <si>
    <t>A-B10</t>
  </si>
  <si>
    <t>AGCCTGTCCT</t>
  </si>
  <si>
    <t>A-B11</t>
  </si>
  <si>
    <t>ATAGCCAACT</t>
  </si>
  <si>
    <t>A-B12</t>
  </si>
  <si>
    <t>ACAGATTGAG</t>
  </si>
  <si>
    <t>A-C01</t>
  </si>
  <si>
    <t>GTGCCCGATA</t>
  </si>
  <si>
    <t>A-C02</t>
  </si>
  <si>
    <t>TGAGCTCATA</t>
  </si>
  <si>
    <t>A-C03</t>
  </si>
  <si>
    <t>GAAGCTTAAC</t>
  </si>
  <si>
    <t>A-C04</t>
  </si>
  <si>
    <t>GCTATCGATA</t>
  </si>
  <si>
    <t>A-C05</t>
  </si>
  <si>
    <t>ACCACGTTAG</t>
  </si>
  <si>
    <t>A-C06</t>
  </si>
  <si>
    <t>GACGGGATAC</t>
  </si>
  <si>
    <t>A-C07</t>
  </si>
  <si>
    <t>CTGACACACA</t>
  </si>
  <si>
    <t>A-C08</t>
  </si>
  <si>
    <t>TGGATTGGAG</t>
  </si>
  <si>
    <t>A-C09</t>
  </si>
  <si>
    <t>AGTATGGCTG</t>
  </si>
  <si>
    <t>A-C10</t>
  </si>
  <si>
    <t>CTTGCCTTGT</t>
  </si>
  <si>
    <t>A-C11</t>
  </si>
  <si>
    <t>CTGCTGTACA</t>
  </si>
  <si>
    <t>A-C12</t>
  </si>
  <si>
    <t>ACACTTGGAG</t>
  </si>
  <si>
    <t>A-D01</t>
  </si>
  <si>
    <t>TGCCTCCATG</t>
  </si>
  <si>
    <t>A-D02</t>
  </si>
  <si>
    <t>TGATAACCCT</t>
  </si>
  <si>
    <t>A-D03</t>
  </si>
  <si>
    <t>ACCTGGTTGT</t>
  </si>
  <si>
    <t>A-D04</t>
  </si>
  <si>
    <t>TGTTGGTAAG</t>
  </si>
  <si>
    <t>A-D05</t>
  </si>
  <si>
    <t>TGGGATCCCA</t>
  </si>
  <si>
    <t>A-D06</t>
  </si>
  <si>
    <t>CGCATTCCTG</t>
  </si>
  <si>
    <t>A-D07</t>
  </si>
  <si>
    <t>CTGCATGATC</t>
  </si>
  <si>
    <t>A-D08</t>
  </si>
  <si>
    <t>TGGTCCATTA</t>
  </si>
  <si>
    <t>A-D09</t>
  </si>
  <si>
    <t>ACGACCCATC</t>
  </si>
  <si>
    <t>A-D10</t>
  </si>
  <si>
    <t>GAGGTACCTC</t>
  </si>
  <si>
    <t>A-D11</t>
  </si>
  <si>
    <t>TCGTCCACGT</t>
  </si>
  <si>
    <t>A-D12</t>
  </si>
  <si>
    <t>TGCAGTTGGT</t>
  </si>
  <si>
    <t>A-E01</t>
  </si>
  <si>
    <t>GCACGCGTTA</t>
  </si>
  <si>
    <t>A-E02</t>
  </si>
  <si>
    <t>ACAAGCTTGT</t>
  </si>
  <si>
    <t>A-E03</t>
  </si>
  <si>
    <t>AGCGAACCCT</t>
  </si>
  <si>
    <t>A-E04</t>
  </si>
  <si>
    <t>CTCTCAGCTG</t>
  </si>
  <si>
    <t>A-E05</t>
  </si>
  <si>
    <t>ACCCTAAGAC</t>
  </si>
  <si>
    <t>A-E06</t>
  </si>
  <si>
    <t>TCGTTCCATA</t>
  </si>
  <si>
    <t>A-E07</t>
  </si>
  <si>
    <t>GATCCAGATA</t>
  </si>
  <si>
    <t>A-E08</t>
  </si>
  <si>
    <t>CTCTGAGTCA</t>
  </si>
  <si>
    <t>A-E09</t>
  </si>
  <si>
    <t>TGATCATGCA</t>
  </si>
  <si>
    <t>A-E10</t>
  </si>
  <si>
    <t>CAAGGTGTTC</t>
  </si>
  <si>
    <t>A-E11</t>
  </si>
  <si>
    <t>CTCCTCTTGA</t>
  </si>
  <si>
    <t>A-E12</t>
  </si>
  <si>
    <t>TGTCTGGCAG</t>
  </si>
  <si>
    <t>A-F01</t>
  </si>
  <si>
    <t>CTCAGCCATC</t>
  </si>
  <si>
    <t>A-F02</t>
  </si>
  <si>
    <t>ACGTCAACCA</t>
  </si>
  <si>
    <t>A-F03</t>
  </si>
  <si>
    <t>CTTCACAAAC</t>
  </si>
  <si>
    <t>A-F04</t>
  </si>
  <si>
    <t>GAAGGGCATC</t>
  </si>
  <si>
    <t>A-F05</t>
  </si>
  <si>
    <t>GAGGGTTCAC</t>
  </si>
  <si>
    <t>A-F06</t>
  </si>
  <si>
    <t>ACGGTACGAC</t>
  </si>
  <si>
    <t>A-F07</t>
  </si>
  <si>
    <t>CGGGTCTTTG</t>
  </si>
  <si>
    <t>A-F08</t>
  </si>
  <si>
    <t>GTGCAATGAC</t>
  </si>
  <si>
    <t>A-F09</t>
  </si>
  <si>
    <t>GAGGGCAAAT</t>
  </si>
  <si>
    <t>A-F10</t>
  </si>
  <si>
    <t>TGTGACAGTC</t>
  </si>
  <si>
    <t>A-F11</t>
  </si>
  <si>
    <t>TGCTCCACCT</t>
  </si>
  <si>
    <t>A-F12</t>
  </si>
  <si>
    <t>TCCGTGCGTA</t>
  </si>
  <si>
    <t>A-G01</t>
  </si>
  <si>
    <t>CAAAGCATCA</t>
  </si>
  <si>
    <t>A-G02</t>
  </si>
  <si>
    <t>GCGTTTAAAC</t>
  </si>
  <si>
    <t>A-G03</t>
  </si>
  <si>
    <t>CTCAACAGTC</t>
  </si>
  <si>
    <t>A-G04</t>
  </si>
  <si>
    <t>GATGTATGAG</t>
  </si>
  <si>
    <t>A-G05</t>
  </si>
  <si>
    <t>ACAAGCGGAT</t>
  </si>
  <si>
    <t>A-G06</t>
  </si>
  <si>
    <t>ACCAAGAACT</t>
  </si>
  <si>
    <t>A-G07</t>
  </si>
  <si>
    <t>CAACTGCCCA</t>
  </si>
  <si>
    <t>A-G08</t>
  </si>
  <si>
    <t>ATTCATCGAC</t>
  </si>
  <si>
    <t>A-G09</t>
  </si>
  <si>
    <t>ACTACTCGAG</t>
  </si>
  <si>
    <t>A-G10</t>
  </si>
  <si>
    <t>ACGTCCGAAT</t>
  </si>
  <si>
    <t>A-G11</t>
  </si>
  <si>
    <t>GAGACCTTGT</t>
  </si>
  <si>
    <t>A-G12</t>
  </si>
  <si>
    <t>GAGGAGAACT</t>
  </si>
  <si>
    <t>A-H01</t>
  </si>
  <si>
    <t>CTGAAGCCTG</t>
  </si>
  <si>
    <t>A-H02</t>
  </si>
  <si>
    <t>CATTCCCAAT</t>
  </si>
  <si>
    <t>A-H03</t>
  </si>
  <si>
    <t>CTCACTTAGT</t>
  </si>
  <si>
    <t>A-H04</t>
  </si>
  <si>
    <t>ACACCTGCTG</t>
  </si>
  <si>
    <t>A-H05</t>
  </si>
  <si>
    <t>CTCAGAGGTA</t>
  </si>
  <si>
    <t>A-H06</t>
  </si>
  <si>
    <t>CGCACAGTAT</t>
  </si>
  <si>
    <t>A-H07</t>
  </si>
  <si>
    <t>ACCAGGTAAT</t>
  </si>
  <si>
    <t>A-H08</t>
  </si>
  <si>
    <t>CAAGTAAGTG</t>
  </si>
  <si>
    <t>A-H09</t>
  </si>
  <si>
    <t>AGCTGGCTAC</t>
  </si>
  <si>
    <t>A-H10</t>
  </si>
  <si>
    <t>ACCGTTGCCA</t>
  </si>
  <si>
    <t>A-H11</t>
  </si>
  <si>
    <t>AGTCCCAGCT</t>
  </si>
  <si>
    <t>A-H12</t>
  </si>
  <si>
    <t>AGGTCGGTCT</t>
  </si>
  <si>
    <t>B-A01</t>
  </si>
  <si>
    <t>CTCATACAAC</t>
  </si>
  <si>
    <t>B-A02</t>
  </si>
  <si>
    <t>AGGAAATCCA</t>
  </si>
  <si>
    <t>B-A03</t>
  </si>
  <si>
    <t>CATGACGGTG</t>
  </si>
  <si>
    <t>B-A04</t>
  </si>
  <si>
    <t>TGGCGGTATG</t>
  </si>
  <si>
    <t>B-A05</t>
  </si>
  <si>
    <t>CTATAGGGTA</t>
  </si>
  <si>
    <t>B-A06</t>
  </si>
  <si>
    <t>GATAGAACAC</t>
  </si>
  <si>
    <t>B-A07</t>
  </si>
  <si>
    <t>ACTAAACGCT</t>
  </si>
  <si>
    <t>B-A08</t>
  </si>
  <si>
    <t>CTATCTTGTG</t>
  </si>
  <si>
    <t>B-A09</t>
  </si>
  <si>
    <t>GAGTGCCTGT</t>
  </si>
  <si>
    <t>B-A10</t>
  </si>
  <si>
    <t>ACCGTTATGT</t>
  </si>
  <si>
    <t>B-A11</t>
  </si>
  <si>
    <t>TGGTTTAGCA</t>
  </si>
  <si>
    <t>B-A12</t>
  </si>
  <si>
    <t>ACGGGTCCAT</t>
  </si>
  <si>
    <t>B-B01</t>
  </si>
  <si>
    <t>GAATGGATTC</t>
  </si>
  <si>
    <t>B-B02</t>
  </si>
  <si>
    <t>GAGGTAACGA</t>
  </si>
  <si>
    <t>B-B03</t>
  </si>
  <si>
    <t>GACTCAGCAG</t>
  </si>
  <si>
    <t>B-B04</t>
  </si>
  <si>
    <t>ACCTACCAAC</t>
  </si>
  <si>
    <t>B-B05</t>
  </si>
  <si>
    <t>TCTCGATGGC</t>
  </si>
  <si>
    <t>B-B06</t>
  </si>
  <si>
    <t>CATCCGTGAT</t>
  </si>
  <si>
    <t>B-B07</t>
  </si>
  <si>
    <t>CTATACTGCA</t>
  </si>
  <si>
    <t>B-B08</t>
  </si>
  <si>
    <t>TGGAGGCAAG</t>
  </si>
  <si>
    <t>B-B09</t>
  </si>
  <si>
    <t>GCAGCTTCAG</t>
  </si>
  <si>
    <t>B-B10</t>
  </si>
  <si>
    <t>TGGGCATGTG</t>
  </si>
  <si>
    <t>B-B11</t>
  </si>
  <si>
    <t>GAGCTAAATG</t>
  </si>
  <si>
    <t>B-B12</t>
  </si>
  <si>
    <t>TCCGTTCAAG</t>
  </si>
  <si>
    <t>B-C01</t>
  </si>
  <si>
    <t>AGGCTGGATG</t>
  </si>
  <si>
    <t>B-C02</t>
  </si>
  <si>
    <t>TGATCCGCCA</t>
  </si>
  <si>
    <t>B-C03</t>
  </si>
  <si>
    <t>CTACCGAAAG</t>
  </si>
  <si>
    <t>B-C04</t>
  </si>
  <si>
    <t>TGGCAATACA</t>
  </si>
  <si>
    <t>B-C05</t>
  </si>
  <si>
    <t>CTCCCTCCTA</t>
  </si>
  <si>
    <t>B-C06</t>
  </si>
  <si>
    <t>CTAACGTGAG</t>
  </si>
  <si>
    <t>B-C07</t>
  </si>
  <si>
    <t>GAACGAAGGA</t>
  </si>
  <si>
    <t>B-C08</t>
  </si>
  <si>
    <t>CATTTGATCG</t>
  </si>
  <si>
    <t>B-C09</t>
  </si>
  <si>
    <t>CTTTAGCTCT</t>
  </si>
  <si>
    <t>B-C10</t>
  </si>
  <si>
    <t>AGATCCGACT</t>
  </si>
  <si>
    <t>B-C11</t>
  </si>
  <si>
    <t>CTTCGTTATC</t>
  </si>
  <si>
    <t>B-C12</t>
  </si>
  <si>
    <t>ACATGCCCGA</t>
  </si>
  <si>
    <t>B-D01</t>
  </si>
  <si>
    <t>GAATCCTAAG</t>
  </si>
  <si>
    <t>B-D02</t>
  </si>
  <si>
    <t>CATATGAGCA</t>
  </si>
  <si>
    <t>B-D03</t>
  </si>
  <si>
    <t>GAAGCCCTGT</t>
  </si>
  <si>
    <t>B-D04</t>
  </si>
  <si>
    <t>TCGGGCAACA</t>
  </si>
  <si>
    <t>B-D05</t>
  </si>
  <si>
    <t>CTCGCTGAGA</t>
  </si>
  <si>
    <t>B-D06</t>
  </si>
  <si>
    <t>GCAACAAAGA</t>
  </si>
  <si>
    <t>B-D07</t>
  </si>
  <si>
    <t>ACGATGAATC</t>
  </si>
  <si>
    <t>B-D08</t>
  </si>
  <si>
    <t>CTTGCTTCCT</t>
  </si>
  <si>
    <t>B-D09</t>
  </si>
  <si>
    <t>GAGCGACTCT</t>
  </si>
  <si>
    <t>B-D10</t>
  </si>
  <si>
    <t>ACGATTTCCA</t>
  </si>
  <si>
    <t>B-D11</t>
  </si>
  <si>
    <t>CATTTACCTG</t>
  </si>
  <si>
    <t>B-D12</t>
  </si>
  <si>
    <t>CTACAAGAAC</t>
  </si>
  <si>
    <t>B-E01</t>
  </si>
  <si>
    <t>ACACAGTACT</t>
  </si>
  <si>
    <t>B-E02</t>
  </si>
  <si>
    <t>CAAACTCTCT</t>
  </si>
  <si>
    <t>B-E03</t>
  </si>
  <si>
    <t>ACCATTCACT</t>
  </si>
  <si>
    <t>B-E04</t>
  </si>
  <si>
    <t>GAGAGGGTCT</t>
  </si>
  <si>
    <t>B-E05</t>
  </si>
  <si>
    <t>CTAAGCTACT</t>
  </si>
  <si>
    <t>B-E06</t>
  </si>
  <si>
    <t>GTATACTCGT</t>
  </si>
  <si>
    <t>B-E07</t>
  </si>
  <si>
    <t>ACCTGGGAAG</t>
  </si>
  <si>
    <t>B-E08</t>
  </si>
  <si>
    <t>AGATAAGCCA</t>
  </si>
  <si>
    <t>B-E09</t>
  </si>
  <si>
    <t>CTGGTCCACA</t>
  </si>
  <si>
    <t>B-E10</t>
  </si>
  <si>
    <t>AGCGCAATAT</t>
  </si>
  <si>
    <t>B-E11</t>
  </si>
  <si>
    <t>TCGACTTCAC</t>
  </si>
  <si>
    <t>B-E12</t>
  </si>
  <si>
    <t>TGCCCTTACT</t>
  </si>
  <si>
    <t>B-F01</t>
  </si>
  <si>
    <t>CTCGCCTAAT</t>
  </si>
  <si>
    <t>B-F02</t>
  </si>
  <si>
    <t>ACCTCTGGTA</t>
  </si>
  <si>
    <t>B-F03</t>
  </si>
  <si>
    <t>ACCATGGCCT</t>
  </si>
  <si>
    <t>B-F04</t>
  </si>
  <si>
    <t>AGGTTCTCCA</t>
  </si>
  <si>
    <t>B-F05</t>
  </si>
  <si>
    <t>ATCATGGTCA</t>
  </si>
  <si>
    <t>B-F06</t>
  </si>
  <si>
    <t>TCGGTATTGT</t>
  </si>
  <si>
    <t>B-F07</t>
  </si>
  <si>
    <t>AGGCGCCTAT</t>
  </si>
  <si>
    <t>B-F08</t>
  </si>
  <si>
    <t>GAACGTTAGA</t>
  </si>
  <si>
    <t>B-F09</t>
  </si>
  <si>
    <t>CATCGGTAAG</t>
  </si>
  <si>
    <t>B-F10</t>
  </si>
  <si>
    <t>CTGTTGTAGT</t>
  </si>
  <si>
    <t>B-F11</t>
  </si>
  <si>
    <t>CTTCCCGTAG</t>
  </si>
  <si>
    <t>B-F12</t>
  </si>
  <si>
    <t>ACCCTAGGGT</t>
  </si>
  <si>
    <t>B-G01</t>
  </si>
  <si>
    <t>ACAGGAGTCA</t>
  </si>
  <si>
    <t>B-G02</t>
  </si>
  <si>
    <t>TCGATCAAAC</t>
  </si>
  <si>
    <t>B-G03</t>
  </si>
  <si>
    <t>GAGCGGATTA</t>
  </si>
  <si>
    <t>B-G04</t>
  </si>
  <si>
    <t>AGCAACATAC</t>
  </si>
  <si>
    <t>B-G05</t>
  </si>
  <si>
    <t>GAGTCGGTAG</t>
  </si>
  <si>
    <t>B-G06</t>
  </si>
  <si>
    <t>TCAATGGAAG</t>
  </si>
  <si>
    <t>B-G07</t>
  </si>
  <si>
    <t>ACACAAAGTG</t>
  </si>
  <si>
    <t>B-G08</t>
  </si>
  <si>
    <t>CTAACTTCCA</t>
  </si>
  <si>
    <t>B-G09</t>
  </si>
  <si>
    <t>TGTCAGGGTG</t>
  </si>
  <si>
    <t>B-G10</t>
  </si>
  <si>
    <t>GTACTTACGA</t>
  </si>
  <si>
    <t>B-G11</t>
  </si>
  <si>
    <t>TGTTTCTGGT</t>
  </si>
  <si>
    <t>B-G12</t>
  </si>
  <si>
    <t>TGCCATGCTG</t>
  </si>
  <si>
    <t>B-H01</t>
  </si>
  <si>
    <t>CAAGCCCTCA</t>
  </si>
  <si>
    <t>B-H02</t>
  </si>
  <si>
    <t>GACGTCGATC</t>
  </si>
  <si>
    <t>B-H03</t>
  </si>
  <si>
    <t>GTATGGAAAC</t>
  </si>
  <si>
    <t>B-H04</t>
  </si>
  <si>
    <t>ATCGGTCGGA</t>
  </si>
  <si>
    <t>B-H05</t>
  </si>
  <si>
    <t>CACGCCATTC</t>
  </si>
  <si>
    <t>B-H06</t>
  </si>
  <si>
    <t>GAAACGGTGA</t>
  </si>
  <si>
    <t>B-H07</t>
  </si>
  <si>
    <t>GAGAGTTATC</t>
  </si>
  <si>
    <t>B-H08</t>
  </si>
  <si>
    <t>GAACGGAACA</t>
  </si>
  <si>
    <t>B-H09</t>
  </si>
  <si>
    <t>GAGATTGGGC</t>
  </si>
  <si>
    <t>B-H10</t>
  </si>
  <si>
    <t>CATGAATGCT</t>
  </si>
  <si>
    <t>B-H11</t>
  </si>
  <si>
    <t>GAAACGCGCA</t>
  </si>
  <si>
    <t>B-H12</t>
  </si>
  <si>
    <t>AGCCCGAACT</t>
  </si>
  <si>
    <t>C-A01</t>
  </si>
  <si>
    <t>GAAATCGAGA</t>
  </si>
  <si>
    <t>C-A02</t>
  </si>
  <si>
    <t>CATGGTTCTA</t>
  </si>
  <si>
    <t>C-A03</t>
  </si>
  <si>
    <t>CTTAGGGCCT</t>
  </si>
  <si>
    <t>C-A04</t>
  </si>
  <si>
    <t>CTCACGGACA</t>
  </si>
  <si>
    <t>C-A05</t>
  </si>
  <si>
    <t>ATGACGTTCA</t>
  </si>
  <si>
    <t>C-A06</t>
  </si>
  <si>
    <t>TGCCCGTCAT</t>
  </si>
  <si>
    <t>C-A07</t>
  </si>
  <si>
    <t>TGATGAGCTC</t>
  </si>
  <si>
    <t>C-A08</t>
  </si>
  <si>
    <t>CTCTCCCAGA</t>
  </si>
  <si>
    <t>C-A09</t>
  </si>
  <si>
    <t>ATAAGCCCGC</t>
  </si>
  <si>
    <t>C-A10</t>
  </si>
  <si>
    <t>CTCAGTTTCT</t>
  </si>
  <si>
    <t>C-A11</t>
  </si>
  <si>
    <t>GAGAACAAGA</t>
  </si>
  <si>
    <t>C-A12</t>
  </si>
  <si>
    <t>AGCCCTGCAT</t>
  </si>
  <si>
    <t>C-B01</t>
  </si>
  <si>
    <t>ACGTTTAGTC</t>
  </si>
  <si>
    <t>C-B02</t>
  </si>
  <si>
    <t>GCGTTTCCTG</t>
  </si>
  <si>
    <t>C-B03</t>
  </si>
  <si>
    <t>TGCCTATAGT</t>
  </si>
  <si>
    <t>C-B04</t>
  </si>
  <si>
    <t>TGCAATCCTC</t>
  </si>
  <si>
    <t>C-B05</t>
  </si>
  <si>
    <t>GTGAAGGATG</t>
  </si>
  <si>
    <t>C-B06</t>
  </si>
  <si>
    <t>ACTATTGGGA</t>
  </si>
  <si>
    <t>C-B07</t>
  </si>
  <si>
    <t>CTACCAGTAT</t>
  </si>
  <si>
    <t>C-B08</t>
  </si>
  <si>
    <t>GAAACCATGC</t>
  </si>
  <si>
    <t>C-B09</t>
  </si>
  <si>
    <t>ACCCAGCAAG</t>
  </si>
  <si>
    <t>C-B10</t>
  </si>
  <si>
    <t>CACCGTTGGT</t>
  </si>
  <si>
    <t>C-B11</t>
  </si>
  <si>
    <t>CTCCGTACTG</t>
  </si>
  <si>
    <t>C-B12</t>
  </si>
  <si>
    <t>ATGACACGCT</t>
  </si>
  <si>
    <t>C-C01</t>
  </si>
  <si>
    <t>CTGGCTTCGA</t>
  </si>
  <si>
    <t>C-C02</t>
  </si>
  <si>
    <t>ACGACTTCGT</t>
  </si>
  <si>
    <t>C-C03</t>
  </si>
  <si>
    <t>GACGTACTAG</t>
  </si>
  <si>
    <t>C-C04</t>
  </si>
  <si>
    <t>AGCTCAACAC</t>
  </si>
  <si>
    <t>C-C05</t>
  </si>
  <si>
    <t>AGCAAGGTAT</t>
  </si>
  <si>
    <t>C-C06</t>
  </si>
  <si>
    <t>AGGGACACAC</t>
  </si>
  <si>
    <t>C-C07</t>
  </si>
  <si>
    <t>CTGCAATAAG</t>
  </si>
  <si>
    <t>C-C08</t>
  </si>
  <si>
    <t>GTGCGGTAAG</t>
  </si>
  <si>
    <t>C-C09</t>
  </si>
  <si>
    <t>AGATGCGTGA</t>
  </si>
  <si>
    <t>C-C10</t>
  </si>
  <si>
    <t>TGTCCCGAAT</t>
  </si>
  <si>
    <t>C-C11</t>
  </si>
  <si>
    <t>TGGCTTATTC</t>
  </si>
  <si>
    <t>C-C12</t>
  </si>
  <si>
    <t>GATATCTGGA</t>
  </si>
  <si>
    <t>C-D01</t>
  </si>
  <si>
    <t>TCGACTAAGA</t>
  </si>
  <si>
    <t>C-D02</t>
  </si>
  <si>
    <t>ACAACCGAAG</t>
  </si>
  <si>
    <t>C-D03</t>
  </si>
  <si>
    <t>CTAAATCAGC</t>
  </si>
  <si>
    <t>C-D04</t>
  </si>
  <si>
    <t>AGGCACGCAT</t>
  </si>
  <si>
    <t>C-D05</t>
  </si>
  <si>
    <t>CGGTACCTTG</t>
  </si>
  <si>
    <t>C-D06</t>
  </si>
  <si>
    <t>CACGAAGTTA</t>
  </si>
  <si>
    <t>C-D07</t>
  </si>
  <si>
    <t>ACGGGAATGA</t>
  </si>
  <si>
    <t>C-D08</t>
  </si>
  <si>
    <t>CAATCCAGGT</t>
  </si>
  <si>
    <t>C-D09</t>
  </si>
  <si>
    <t>ACAGGGCTTA</t>
  </si>
  <si>
    <t>C-D10</t>
  </si>
  <si>
    <t>CTAGTCCTTC</t>
  </si>
  <si>
    <t>C-D11</t>
  </si>
  <si>
    <t>CAAAGGCAAG</t>
  </si>
  <si>
    <t>C-D12</t>
  </si>
  <si>
    <t>GTGGGAGACT</t>
  </si>
  <si>
    <t>C-E01</t>
  </si>
  <si>
    <t>CTTCACGTTC</t>
  </si>
  <si>
    <t>C-E02</t>
  </si>
  <si>
    <t>CTCCCTGTCA</t>
  </si>
  <si>
    <t>C-E03</t>
  </si>
  <si>
    <t>GTCGGATATG</t>
  </si>
  <si>
    <t>C-E04</t>
  </si>
  <si>
    <t>ACTGTCATCA</t>
  </si>
  <si>
    <t>C-E05</t>
  </si>
  <si>
    <t>CAGCTACCCT</t>
  </si>
  <si>
    <t>C-E06</t>
  </si>
  <si>
    <t>CAAACAGTGT</t>
  </si>
  <si>
    <t>C-E07</t>
  </si>
  <si>
    <t>GAGGGTGAAG</t>
  </si>
  <si>
    <t>C-E08</t>
  </si>
  <si>
    <t>CAACCCGTTC</t>
  </si>
  <si>
    <t>C-E09</t>
  </si>
  <si>
    <t>GTGAAGTTAG</t>
  </si>
  <si>
    <t>C-E10</t>
  </si>
  <si>
    <t>ACAATCGACT</t>
  </si>
  <si>
    <t>C-E11</t>
  </si>
  <si>
    <t>GAGTAGGCAT</t>
  </si>
  <si>
    <t>C-E12</t>
  </si>
  <si>
    <t>CTATTCGAAG</t>
  </si>
  <si>
    <t>C-F01</t>
  </si>
  <si>
    <t>TGCTACTTAG</t>
  </si>
  <si>
    <t>C-F02</t>
  </si>
  <si>
    <t>ACGAGGTGGA</t>
  </si>
  <si>
    <t>C-F03</t>
  </si>
  <si>
    <t>GCGAATAGAT</t>
  </si>
  <si>
    <t>C-F04</t>
  </si>
  <si>
    <t>CTTGGATGGC</t>
  </si>
  <si>
    <t>C-F05</t>
  </si>
  <si>
    <t>ACGTCATTGA</t>
  </si>
  <si>
    <t>C-F06</t>
  </si>
  <si>
    <t>TCGCGTTATA</t>
  </si>
  <si>
    <t>C-F07</t>
  </si>
  <si>
    <t>GATGCCTACT</t>
  </si>
  <si>
    <t>C-F08</t>
  </si>
  <si>
    <t>GACAACATCA</t>
  </si>
  <si>
    <t>C-F09</t>
  </si>
  <si>
    <t>ACTGAGAGAG</t>
  </si>
  <si>
    <t>C-F10</t>
  </si>
  <si>
    <t>GTAGTTCTAG</t>
  </si>
  <si>
    <t>C-F11</t>
  </si>
  <si>
    <t>AGGCGGACAT</t>
  </si>
  <si>
    <t>C-F12</t>
  </si>
  <si>
    <t>AGGATTGAAC</t>
  </si>
  <si>
    <t>C-G01</t>
  </si>
  <si>
    <t>ACTAGCTGCA</t>
  </si>
  <si>
    <t>C-G02</t>
  </si>
  <si>
    <t>GTCGTAAACA</t>
  </si>
  <si>
    <t>C-G03</t>
  </si>
  <si>
    <t>CTACATACTC</t>
  </si>
  <si>
    <t>C-G04</t>
  </si>
  <si>
    <t>ACAAAGGTCT</t>
  </si>
  <si>
    <t>C-G05</t>
  </si>
  <si>
    <t>GTGAAACGTC</t>
  </si>
  <si>
    <t>C-G06</t>
  </si>
  <si>
    <t>GAAGCAATAG</t>
  </si>
  <si>
    <t>C-G07</t>
  </si>
  <si>
    <t>ACAGACCGTC</t>
  </si>
  <si>
    <t>C-G08</t>
  </si>
  <si>
    <t>ACAGGCGAAC</t>
  </si>
  <si>
    <t>C-G09</t>
  </si>
  <si>
    <t>ACGGGCAGTA</t>
  </si>
  <si>
    <t>C-G10</t>
  </si>
  <si>
    <t>GTAGCTTGAT</t>
  </si>
  <si>
    <t>C-G11</t>
  </si>
  <si>
    <t>ACGACTAACT</t>
  </si>
  <si>
    <t>C-G12</t>
  </si>
  <si>
    <t>TGCTTACCCA</t>
  </si>
  <si>
    <t>C-H01</t>
  </si>
  <si>
    <t>AGGACTAAAG</t>
  </si>
  <si>
    <t>C-H02</t>
  </si>
  <si>
    <t>CTAACGCGTC</t>
  </si>
  <si>
    <t>C-H03</t>
  </si>
  <si>
    <t>CACCTCTCCA</t>
  </si>
  <si>
    <t>C-H04</t>
  </si>
  <si>
    <t>ACGGATATCA</t>
  </si>
  <si>
    <t>C-H05</t>
  </si>
  <si>
    <t>CATCAAGATC</t>
  </si>
  <si>
    <t>C-H06</t>
  </si>
  <si>
    <t>CAGGGTAACT</t>
  </si>
  <si>
    <t>C-H07</t>
  </si>
  <si>
    <t>GATGCTGGCA</t>
  </si>
  <si>
    <t>C-H08</t>
  </si>
  <si>
    <t>CATGACCAGA</t>
  </si>
  <si>
    <t>C-H09</t>
  </si>
  <si>
    <t>CTACTGCCTG</t>
  </si>
  <si>
    <t>C-H10</t>
  </si>
  <si>
    <t>TGTGTCCGCA</t>
  </si>
  <si>
    <t>C-H11</t>
  </si>
  <si>
    <t>AGCAGGTGCA</t>
  </si>
  <si>
    <t>C-H12</t>
  </si>
  <si>
    <t>CAAGAGGGCT</t>
  </si>
  <si>
    <t>D-A01</t>
  </si>
  <si>
    <t>TCGCGACATC</t>
  </si>
  <si>
    <t>D-A02</t>
  </si>
  <si>
    <t>ACCCTATATC</t>
  </si>
  <si>
    <t>D-A03</t>
  </si>
  <si>
    <t>TCGTAAGCCA</t>
  </si>
  <si>
    <t>D-A04</t>
  </si>
  <si>
    <t>TCCGCGGATA</t>
  </si>
  <si>
    <t>D-A05</t>
  </si>
  <si>
    <t>CTACTCATCA</t>
  </si>
  <si>
    <t>D-A06</t>
  </si>
  <si>
    <t>CTTTGCAAAG</t>
  </si>
  <si>
    <t>D-A07</t>
  </si>
  <si>
    <t>GTCTGTTTAG</t>
  </si>
  <si>
    <t>D-A08</t>
  </si>
  <si>
    <t>ACGAGGATTA</t>
  </si>
  <si>
    <t>D-A09</t>
  </si>
  <si>
    <t>CACATGCTTA</t>
  </si>
  <si>
    <t>D-A10</t>
  </si>
  <si>
    <t>ATAAACGGGA</t>
  </si>
  <si>
    <t>D-A11</t>
  </si>
  <si>
    <t>ACACTTACCG</t>
  </si>
  <si>
    <t>D-A12</t>
  </si>
  <si>
    <t>GAACTAGGCT</t>
  </si>
  <si>
    <t>D-B01</t>
  </si>
  <si>
    <t>ACCGAATAAG</t>
  </si>
  <si>
    <t>D-B02</t>
  </si>
  <si>
    <t>GAATCCGCTC</t>
  </si>
  <si>
    <t>D-B03</t>
  </si>
  <si>
    <t>CGAACTACGA</t>
  </si>
  <si>
    <t>D-B04</t>
  </si>
  <si>
    <t>CACAACTGAG</t>
  </si>
  <si>
    <t>D-B05</t>
  </si>
  <si>
    <t>GAGTTATGGA</t>
  </si>
  <si>
    <t>D-B06</t>
  </si>
  <si>
    <t>ACAGTAAGCA</t>
  </si>
  <si>
    <t>D-B07</t>
  </si>
  <si>
    <t>ATCCTCCCAC</t>
  </si>
  <si>
    <t>D-B08</t>
  </si>
  <si>
    <t>CAAGCGAGCA</t>
  </si>
  <si>
    <t>D-B09</t>
  </si>
  <si>
    <t>TCGGGACGTA</t>
  </si>
  <si>
    <t>D-B10</t>
  </si>
  <si>
    <t>CTGCCCTATG</t>
  </si>
  <si>
    <t>D-B11</t>
  </si>
  <si>
    <t>GTCTTTGATC</t>
  </si>
  <si>
    <t>D-B12</t>
  </si>
  <si>
    <t>ACAAACAACG</t>
  </si>
  <si>
    <t>D-C01</t>
  </si>
  <si>
    <t>ACCGCCATAC</t>
  </si>
  <si>
    <t>D-C02</t>
  </si>
  <si>
    <t>CAGCGAATGA</t>
  </si>
  <si>
    <t>D-C03</t>
  </si>
  <si>
    <t>CACTTCCTAC</t>
  </si>
  <si>
    <t>D-C04</t>
  </si>
  <si>
    <t>TGTCATTCGT</t>
  </si>
  <si>
    <t>D-C05</t>
  </si>
  <si>
    <t>CATGGCTGAT</t>
  </si>
  <si>
    <t>D-C06</t>
  </si>
  <si>
    <t>GTAAGCGGAG</t>
  </si>
  <si>
    <t>D-C07</t>
  </si>
  <si>
    <t>CAAGTACCAT</t>
  </si>
  <si>
    <t>D-C08</t>
  </si>
  <si>
    <t>CGCTTATCTA</t>
  </si>
  <si>
    <t>D-C09</t>
  </si>
  <si>
    <t>TGGACCTAGT</t>
  </si>
  <si>
    <t>D-C10</t>
  </si>
  <si>
    <t>CAACGGACCT</t>
  </si>
  <si>
    <t>D-C11</t>
  </si>
  <si>
    <t>GTCCCATTGA</t>
  </si>
  <si>
    <t>D-C12</t>
  </si>
  <si>
    <t>ACGACAGCAG</t>
  </si>
  <si>
    <t>D-D01</t>
  </si>
  <si>
    <t>TGCGTGGAGA</t>
  </si>
  <si>
    <t>D-D02</t>
  </si>
  <si>
    <t>GCCATGGAAC</t>
  </si>
  <si>
    <t>D-D03</t>
  </si>
  <si>
    <t>TCGTACCTGC</t>
  </si>
  <si>
    <t>D-D04</t>
  </si>
  <si>
    <t>AGGTGTTTAC</t>
  </si>
  <si>
    <t>D-D05</t>
  </si>
  <si>
    <t>GCAAGTAAAC</t>
  </si>
  <si>
    <t>D-D06</t>
  </si>
  <si>
    <t>TGTGAACCTC</t>
  </si>
  <si>
    <t>D-D07</t>
  </si>
  <si>
    <t>GACCAGGTGT</t>
  </si>
  <si>
    <t>D-D08</t>
  </si>
  <si>
    <t>AGATTTACGC</t>
  </si>
  <si>
    <t>D-D09</t>
  </si>
  <si>
    <t>GACGTTATTC</t>
  </si>
  <si>
    <t>D-D10</t>
  </si>
  <si>
    <t>ACAAATCCCG</t>
  </si>
  <si>
    <t>D-D11</t>
  </si>
  <si>
    <t>CTACGGATGA</t>
  </si>
  <si>
    <t>D-D12</t>
  </si>
  <si>
    <t>CTATAGACCT</t>
  </si>
  <si>
    <t>D-E01</t>
  </si>
  <si>
    <t>TCTGAGGGTA</t>
  </si>
  <si>
    <t>D-E02</t>
  </si>
  <si>
    <t>TGGGATTCTG</t>
  </si>
  <si>
    <t>D-E03</t>
  </si>
  <si>
    <t>AGTACGAAAC</t>
  </si>
  <si>
    <t>D-E04</t>
  </si>
  <si>
    <t>AGCAATCTGC</t>
  </si>
  <si>
    <t>D-E05</t>
  </si>
  <si>
    <t>CTACTGGTAG</t>
  </si>
  <si>
    <t>D-E06</t>
  </si>
  <si>
    <t>TAGGTTAGAG</t>
  </si>
  <si>
    <t>D-E07</t>
  </si>
  <si>
    <t>CTAAACCGAC</t>
  </si>
  <si>
    <t>D-E08</t>
  </si>
  <si>
    <t>GAGAGTCGAC</t>
  </si>
  <si>
    <t>D-E09</t>
  </si>
  <si>
    <t>CACGGGCTAT</t>
  </si>
  <si>
    <t>D-E10</t>
  </si>
  <si>
    <t>GATGCCCAAG</t>
  </si>
  <si>
    <t>D-E11</t>
  </si>
  <si>
    <t>ACCAGATCCA</t>
  </si>
  <si>
    <t>D-E12</t>
  </si>
  <si>
    <t>CTCCCGTTTA</t>
  </si>
  <si>
    <t>D-F01</t>
  </si>
  <si>
    <t>GAGTCTCCAT</t>
  </si>
  <si>
    <t>D-F02</t>
  </si>
  <si>
    <t>GTACGTCCCT</t>
  </si>
  <si>
    <t>D-F03</t>
  </si>
  <si>
    <t>ATACTGGGCA</t>
  </si>
  <si>
    <t>D-F04</t>
  </si>
  <si>
    <t>GAAGCTGGGT</t>
  </si>
  <si>
    <t>D-F05</t>
  </si>
  <si>
    <t>TGTGAATGGC</t>
  </si>
  <si>
    <t>D-F06</t>
  </si>
  <si>
    <t>CTTCGGTCTG</t>
  </si>
  <si>
    <t>D-F07</t>
  </si>
  <si>
    <t>GAGTGAATCA</t>
  </si>
  <si>
    <t>D-F08</t>
  </si>
  <si>
    <t>ACCATCCGCA</t>
  </si>
  <si>
    <t>D-F09</t>
  </si>
  <si>
    <t>TCCGTGAAAC</t>
  </si>
  <si>
    <t>D-F10</t>
  </si>
  <si>
    <t>TCCTTCGACT</t>
  </si>
  <si>
    <t>D-F11</t>
  </si>
  <si>
    <t>ACAAGATAGC</t>
  </si>
  <si>
    <t>D-F12</t>
  </si>
  <si>
    <t>AGGTATGTAG</t>
  </si>
  <si>
    <t>D-G01</t>
  </si>
  <si>
    <t>ATCCAATCTC</t>
  </si>
  <si>
    <t>D-G02</t>
  </si>
  <si>
    <t>GTAGGCACTA</t>
  </si>
  <si>
    <t>D-G03</t>
  </si>
  <si>
    <t>GCCTCCCAAT</t>
  </si>
  <si>
    <t>D-G04</t>
  </si>
  <si>
    <t>TCGGGCTTGA</t>
  </si>
  <si>
    <t>D-G05</t>
  </si>
  <si>
    <t>ACAACCATTC</t>
  </si>
  <si>
    <t>D-G06</t>
  </si>
  <si>
    <t>GATGTTGCCG</t>
  </si>
  <si>
    <t>D-G07</t>
  </si>
  <si>
    <t>ACTTTGACGT</t>
  </si>
  <si>
    <t>D-G08</t>
  </si>
  <si>
    <t>ACCAAATCGT</t>
  </si>
  <si>
    <t>D-G09</t>
  </si>
  <si>
    <t>GATCCCGTCA</t>
  </si>
  <si>
    <t>D-G10</t>
  </si>
  <si>
    <t>CTTAGGCGAG</t>
  </si>
  <si>
    <t>D-G11</t>
  </si>
  <si>
    <t>GAAAGTAGGT</t>
  </si>
  <si>
    <t>D-G12</t>
  </si>
  <si>
    <t>TGCTGATTGA</t>
  </si>
  <si>
    <t>D-H01</t>
  </si>
  <si>
    <t>GACGACATGT</t>
  </si>
  <si>
    <t>D-H02</t>
  </si>
  <si>
    <t>CTCCACGCAT</t>
  </si>
  <si>
    <t>D-H03</t>
  </si>
  <si>
    <t>ACAAAGGAGA</t>
  </si>
  <si>
    <t>D-H04</t>
  </si>
  <si>
    <t>ACGCGTGAAC</t>
  </si>
  <si>
    <t>D-H05</t>
  </si>
  <si>
    <t>CTCTTGTTCT</t>
  </si>
  <si>
    <t>D-H06</t>
  </si>
  <si>
    <t>TGACACGGAT</t>
  </si>
  <si>
    <t>D-H07</t>
  </si>
  <si>
    <t>CTAGGTCTAT</t>
  </si>
  <si>
    <t>D-H08</t>
  </si>
  <si>
    <t>GAAGTGCAAG</t>
  </si>
  <si>
    <t>D-H09</t>
  </si>
  <si>
    <t>AGCCCGTTGT</t>
  </si>
  <si>
    <t>D-H10</t>
  </si>
  <si>
    <t>GAGGAAGCCA</t>
  </si>
  <si>
    <t>D-H11</t>
  </si>
  <si>
    <t>TCGCTTGGGA</t>
  </si>
  <si>
    <t>D-H12</t>
  </si>
  <si>
    <t>sample number</t>
  </si>
  <si>
    <t>Library kits:</t>
  </si>
  <si>
    <t>Human, 16 samples Probes, Set A</t>
  </si>
  <si>
    <t>Human, 16 samples Probes, Set B</t>
  </si>
  <si>
    <t>Human, 16 samples Probes, Set C</t>
  </si>
  <si>
    <t>Human, 16 samples Probes, Set D</t>
  </si>
  <si>
    <t>Human, 96 samples Probes, Set A</t>
  </si>
  <si>
    <t>Human, 96 samples Probes, Set B</t>
  </si>
  <si>
    <t>Human, 96 samples Probes, Set C</t>
  </si>
  <si>
    <t>Human, 96 samples Probes, Set D</t>
  </si>
  <si>
    <t>Mouse, 16 samples Probes, Set A</t>
  </si>
  <si>
    <t>Mouse, 96 samples Probes, Set A</t>
  </si>
  <si>
    <t>Mouse, 16 samples Probes, Set B</t>
  </si>
  <si>
    <t>Mouse, 96 samples Probes, Set B</t>
  </si>
  <si>
    <t>Mouse, 16 samples Probes, Set C</t>
  </si>
  <si>
    <t>Mouse, 96 samples Probes, Set C</t>
  </si>
  <si>
    <t>Mouse, 16 samples Probes, Set D</t>
  </si>
  <si>
    <t>Mouse, 96 samples Probes, Set D</t>
  </si>
  <si>
    <t>PN-1000896;PN-1000904;PN-1000918;PN-1000791;PN-1000251;PN-1000902;PN-1000894</t>
  </si>
  <si>
    <t>PN-1000896;PN-1000904;PN-1000918;PN-1000791;PN-1000251;PN-1000902;PN-1000897</t>
  </si>
  <si>
    <t>PN-1000896;PN-1000904;PN-1000918;PN-1000791;PN-1000251;PN-1000902;PN-1000898</t>
  </si>
  <si>
    <t>PN-1000896;PN-1000904;PN-1000918;PN-1000791;PN-1000251;PN-1000902;PN-1000899</t>
  </si>
  <si>
    <t>PN-1000896;PN-1000904;PN-1000918;PN-1000791;PN-1000251;PN-1000903;PN-1000894</t>
  </si>
  <si>
    <t>PN-1000896;PN-1000904;PN-1000918;PN-1000791;PN-1000251;PN-1000903;PN-1000897</t>
  </si>
  <si>
    <t>PN-1000896;PN-1000904;PN-1000918;PN-1000791;PN-1000251;PN-1000903;PN-1000898</t>
  </si>
  <si>
    <t>PN-1000896;PN-1000904;PN-1000918;PN-1000791;PN-1000251;PN-1000903;PN-1000899</t>
  </si>
  <si>
    <t>PN-1000896;PN-1000904;PN-1000918;PN-1000791;PN-1000251;PN-1000900;PN-1000894</t>
  </si>
  <si>
    <t>PN-1000896;PN-1000904;PN-1000918;PN-1000791;PN-1000251;PN-1000900;PN-1000897</t>
  </si>
  <si>
    <t>PN-1000896;PN-1000904;PN-1000918;PN-1000791;PN-1000251;PN-1000900;PN-1000898</t>
  </si>
  <si>
    <t>PN-1000896;PN-1000904;PN-1000918;PN-1000791;PN-1000251;PN-1000900;PN-1000899</t>
  </si>
  <si>
    <t>PN-1000896;PN-1000904;PN-1000918;PN-1000791;PN-1000251;PN-1000901;PN-1000894</t>
  </si>
  <si>
    <t>PN-1000896;PN-1000904;PN-1000918;PN-1000791;PN-1000251;PN-1000901;PN-1000897</t>
  </si>
  <si>
    <t>PN-1000896;PN-1000904;PN-1000918;PN-1000791;PN-1000251;PN-1000901;PN-1000898</t>
  </si>
  <si>
    <t>PN-1000896;PN-1000904;PN-1000918;PN-1000791;PN-1000251;PN-1000901;PN-1000899</t>
  </si>
  <si>
    <t>Vsample [µL]= (N * 29000)/(c[cells/µL]</t>
  </si>
  <si>
    <t>Vbuffer = 34.7 µL - Vsample</t>
  </si>
  <si>
    <t>Remove samples from barcode incubation and keep at RT for 10 min</t>
  </si>
  <si>
    <t>Preheat a heat block to 37°C</t>
  </si>
  <si>
    <t>Remove the supernatant without disturbing the pellet. Resuspend cell pellet in 1 mL Post- Hyb Wash Buffer B and transfer to 1.5 mL microcentrifuge tube.</t>
  </si>
  <si>
    <t>GEM-X Flex GEM &amp; Library Kit v2  LOT#:</t>
  </si>
  <si>
    <t>Barcode Oligo plate:</t>
  </si>
  <si>
    <t>GEM-X Flex Barcode Oligo Plate v2 LOT#:</t>
  </si>
  <si>
    <t>GEX-X Flex Gel Bead Kit v2 LOT#:</t>
  </si>
  <si>
    <t>GEM-X Flex Human/Mouse Transcirptome Probe kit v2 LOT#:</t>
  </si>
  <si>
    <t>GEM-X Flex Hybridization and Wash kit v2 LOT#:</t>
  </si>
  <si>
    <t>Probe Barcode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</si>
</sst>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 cells/µl&quot;"/>
    <numFmt numFmtId="165" formatCode="#\ \µ\l"/>
    <numFmt numFmtId="166" formatCode="#.0\ \µ\l"/>
    <numFmt numFmtId="167" formatCode="#,###&quot; cells/µL&quot;"/>
    <numFmt numFmtId="168" formatCode="#\ \µ\L"/>
    <numFmt numFmtId="169" formatCode="0.0"/>
    <numFmt numFmtId="170" formatCode="0.000"/>
  </numFmts>
  <fonts count="89">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Helvetica Neue"/>
      <family val="2"/>
    </font>
    <font>
      <i/>
      <sz val="12"/>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sz val="14"/>
      <color rgb="FF000000"/>
      <name val="Arial"/>
      <family val="2"/>
    </font>
    <font>
      <sz val="14"/>
      <color theme="0"/>
      <name val="Arial"/>
      <family val="2"/>
    </font>
    <font>
      <b/>
      <sz val="14"/>
      <color theme="0"/>
      <name val="Arial"/>
      <family val="2"/>
    </font>
    <font>
      <sz val="11"/>
      <color theme="0"/>
      <name val="Arial"/>
      <family val="2"/>
    </font>
    <font>
      <sz val="10"/>
      <color rgb="FF000000"/>
      <name val="Calibri"/>
      <family val="2"/>
      <scheme val="minor"/>
    </font>
    <font>
      <sz val="10"/>
      <color theme="1"/>
      <name val="Arial"/>
      <family val="2"/>
    </font>
    <font>
      <sz val="10"/>
      <color rgb="FF0071D9"/>
      <name val="Calibri"/>
      <family val="2"/>
      <scheme val="minor"/>
    </font>
    <font>
      <b/>
      <i/>
      <sz val="10"/>
      <color rgb="FF0071D9"/>
      <name val="Calibri"/>
      <family val="2"/>
      <scheme val="minor"/>
    </font>
    <font>
      <sz val="10"/>
      <color theme="1"/>
      <name val="Calibri"/>
      <family val="2"/>
      <scheme val="minor"/>
    </font>
    <font>
      <i/>
      <sz val="10"/>
      <color rgb="FF000000"/>
      <name val="Calibri"/>
      <family val="2"/>
      <scheme val="minor"/>
    </font>
    <font>
      <b/>
      <sz val="10"/>
      <color rgb="FF000000"/>
      <name val="Calibri"/>
      <family val="2"/>
      <scheme val="minor"/>
    </font>
    <font>
      <sz val="10"/>
      <color rgb="FF000000"/>
      <name val="Calibri"/>
      <family val="2"/>
      <scheme val="minor"/>
    </font>
    <font>
      <sz val="12"/>
      <color theme="1"/>
      <name val="Calibri"/>
      <family val="2"/>
      <scheme val="minor"/>
    </font>
    <font>
      <sz val="10"/>
      <name val="Calibri"/>
      <family val="2"/>
      <scheme val="minor"/>
    </font>
    <font>
      <b/>
      <sz val="10"/>
      <color theme="1"/>
      <name val="Calibri"/>
      <family val="2"/>
      <scheme val="minor"/>
    </font>
    <font>
      <b/>
      <sz val="12"/>
      <color rgb="FF0071D9"/>
      <name val="Arial"/>
      <family val="2"/>
    </font>
    <font>
      <b/>
      <sz val="10"/>
      <color theme="0"/>
      <name val="Arial"/>
      <family val="2"/>
    </font>
    <font>
      <b/>
      <sz val="10"/>
      <color theme="0"/>
      <name val="Calibri"/>
      <family val="2"/>
      <scheme val="minor"/>
    </font>
    <font>
      <sz val="8"/>
      <color theme="0"/>
      <name val="Calibri"/>
      <family val="2"/>
      <scheme val="minor"/>
    </font>
    <font>
      <sz val="8"/>
      <color theme="0"/>
      <name val="Arial"/>
      <family val="2"/>
    </font>
    <font>
      <b/>
      <sz val="10"/>
      <color theme="1" tint="0.249977111117893"/>
      <name val="Calibri"/>
      <family val="2"/>
      <scheme val="minor"/>
    </font>
    <font>
      <sz val="10"/>
      <color rgb="FF000000"/>
      <name val="Arial"/>
      <family val="2"/>
    </font>
    <font>
      <b/>
      <sz val="12"/>
      <color rgb="FF0071D9"/>
      <name val="Calibri"/>
      <family val="2"/>
      <scheme val="minor"/>
    </font>
    <font>
      <sz val="10"/>
      <color rgb="FFFF0000"/>
      <name val="Calibri"/>
      <family val="2"/>
      <scheme val="minor"/>
    </font>
    <font>
      <sz val="18"/>
      <color theme="1"/>
      <name val="Calibri"/>
      <family val="2"/>
      <scheme val="minor"/>
    </font>
    <font>
      <b/>
      <sz val="10"/>
      <color theme="2"/>
      <name val="Arial (Body)"/>
    </font>
    <font>
      <b/>
      <sz val="12"/>
      <color theme="1"/>
      <name val="Calibri"/>
      <family val="2"/>
      <scheme val="minor"/>
    </font>
    <font>
      <b/>
      <sz val="12"/>
      <color rgb="FFFF0000"/>
      <name val="Calibri"/>
      <family val="2"/>
      <scheme val="minor"/>
    </font>
    <font>
      <b/>
      <sz val="10"/>
      <color rgb="FFFF0000"/>
      <name val="Calibri"/>
      <family val="2"/>
      <scheme val="minor"/>
    </font>
    <font>
      <b/>
      <sz val="12"/>
      <name val="Calibri"/>
      <family val="2"/>
      <scheme val="minor"/>
    </font>
    <font>
      <sz val="12"/>
      <color rgb="FF000000"/>
      <name val="Calibri"/>
      <family val="2"/>
      <scheme val="minor"/>
    </font>
    <font>
      <sz val="12"/>
      <color rgb="FFFF0000"/>
      <name val="Calibri"/>
      <family val="2"/>
      <scheme val="minor"/>
    </font>
    <font>
      <sz val="16"/>
      <color theme="1"/>
      <name val="Calibri"/>
      <family val="2"/>
      <scheme val="minor"/>
    </font>
    <font>
      <sz val="12"/>
      <color theme="1"/>
      <name val="Arial"/>
      <family val="2"/>
    </font>
    <font>
      <sz val="8"/>
      <color rgb="FFFF0000"/>
      <name val="Calibri"/>
      <family val="2"/>
      <scheme val="minor"/>
    </font>
    <font>
      <sz val="11"/>
      <name val="Calibri"/>
      <family val="2"/>
      <scheme val="minor"/>
    </font>
    <font>
      <sz val="9"/>
      <color rgb="FFFF0000"/>
      <name val="Calibri"/>
      <family val="2"/>
      <scheme val="minor"/>
    </font>
    <font>
      <sz val="12"/>
      <color theme="1"/>
      <name val="Calibri (Body)"/>
    </font>
    <font>
      <sz val="12"/>
      <color rgb="FFFF0000"/>
      <name val="Calibri (Body)"/>
    </font>
    <font>
      <sz val="12"/>
      <name val="Calibri (Body)"/>
    </font>
    <font>
      <sz val="12"/>
      <name val="Calibri"/>
      <family val="2"/>
      <scheme val="minor"/>
    </font>
    <font>
      <sz val="8"/>
      <color theme="1"/>
      <name val="Calibri"/>
      <family val="2"/>
      <scheme val="minor"/>
    </font>
    <font>
      <sz val="9"/>
      <color theme="1"/>
      <name val="Calibri"/>
      <family val="2"/>
      <scheme val="minor"/>
    </font>
    <font>
      <b/>
      <sz val="16"/>
      <color theme="1"/>
      <name val="Calibri"/>
      <family val="2"/>
      <scheme val="minor"/>
    </font>
    <font>
      <sz val="12"/>
      <color theme="2" tint="-0.249977111117893"/>
      <name val="Calibri"/>
      <family val="2"/>
      <scheme val="minor"/>
    </font>
    <font>
      <sz val="11"/>
      <color theme="2" tint="-0.249977111117893"/>
      <name val="Calibri"/>
      <family val="2"/>
      <scheme val="minor"/>
    </font>
    <font>
      <i/>
      <sz val="12"/>
      <name val="Calibri"/>
      <family val="2"/>
      <scheme val="minor"/>
    </font>
    <font>
      <b/>
      <sz val="11"/>
      <color rgb="FFFF0000"/>
      <name val="Calibri"/>
      <family val="2"/>
      <scheme val="minor"/>
    </font>
    <font>
      <sz val="12"/>
      <color theme="1"/>
      <name val="Aptos"/>
      <family val="2"/>
    </font>
    <font>
      <sz val="11"/>
      <name val="Calibri"/>
      <family val="2"/>
    </font>
    <font>
      <b/>
      <sz val="8"/>
      <color rgb="FFFF0000"/>
      <name val="Calibri"/>
      <family val="2"/>
      <scheme val="minor"/>
    </font>
    <font>
      <sz val="12"/>
      <color rgb="FFCC99FF"/>
      <name val="Calibri"/>
      <family val="2"/>
      <scheme val="minor"/>
    </font>
    <font>
      <sz val="12"/>
      <color rgb="FFFFC000"/>
      <name val="Calibri"/>
      <family val="2"/>
      <scheme val="minor"/>
    </font>
    <font>
      <sz val="11"/>
      <color rgb="FFFF0000"/>
      <name val="Calibri (Body)"/>
    </font>
    <font>
      <sz val="11"/>
      <color rgb="FF000000"/>
      <name val="Aptos Narrow"/>
      <family val="2"/>
    </font>
    <font>
      <i/>
      <sz val="11"/>
      <color theme="1"/>
      <name val="Calibri"/>
      <family val="2"/>
      <scheme val="minor"/>
    </font>
    <font>
      <b/>
      <sz val="11"/>
      <color theme="2" tint="-0.499984740745262"/>
      <name val="Calibri"/>
      <family val="2"/>
      <scheme val="minor"/>
    </font>
    <font>
      <sz val="10"/>
      <color theme="2" tint="-0.499984740745262"/>
      <name val="Calibri"/>
      <family val="2"/>
      <scheme val="minor"/>
    </font>
    <font>
      <sz val="11"/>
      <color theme="2" tint="-0.499984740745262"/>
      <name val="Calibri"/>
      <family val="2"/>
      <scheme val="minor"/>
    </font>
    <font>
      <b/>
      <sz val="12"/>
      <color rgb="FFCC99FF"/>
      <name val="Calibri"/>
      <family val="2"/>
      <scheme val="minor"/>
    </font>
    <font>
      <b/>
      <sz val="12"/>
      <color rgb="FF00B0F0"/>
      <name val="Calibri"/>
      <family val="2"/>
      <scheme val="minor"/>
    </font>
    <font>
      <b/>
      <sz val="12"/>
      <color rgb="FFFFC000"/>
      <name val="Calibri"/>
      <family val="2"/>
      <scheme val="minor"/>
    </font>
    <font>
      <b/>
      <sz val="12"/>
      <color rgb="FF363636"/>
      <name val="Math"/>
    </font>
    <font>
      <sz val="12"/>
      <color rgb="FF0A0C0F"/>
      <name val="Courier New"/>
      <family val="3"/>
    </font>
    <font>
      <sz val="10"/>
      <color rgb="FF000000"/>
      <name val="Arial Unicode MS"/>
    </font>
  </fonts>
  <fills count="5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153057"/>
        <bgColor indexed="64"/>
      </patternFill>
    </fill>
    <fill>
      <patternFill patternType="solid">
        <fgColor theme="0" tint="-0.34998626667073579"/>
        <bgColor indexed="64"/>
      </patternFill>
    </fill>
    <fill>
      <patternFill patternType="solid">
        <fgColor theme="1" tint="0.34998626667073579"/>
        <bgColor rgb="FFEFEFEF"/>
      </patternFill>
    </fill>
    <fill>
      <patternFill patternType="solid">
        <fgColor rgb="FF153057"/>
        <bgColor rgb="FF000000"/>
      </patternFill>
    </fill>
    <fill>
      <patternFill patternType="solid">
        <fgColor theme="7"/>
        <bgColor rgb="FFEFEFEF"/>
      </patternFill>
    </fill>
    <fill>
      <patternFill patternType="solid">
        <fgColor rgb="FFE6EBF6"/>
        <bgColor rgb="FFFFFFFF"/>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B3C2E3"/>
        <bgColor rgb="FFE0F7FA"/>
      </patternFill>
    </fill>
    <fill>
      <patternFill patternType="solid">
        <fgColor theme="7" tint="0.59999389629810485"/>
        <bgColor indexed="64"/>
      </patternFill>
    </fill>
    <fill>
      <patternFill patternType="solid">
        <fgColor rgb="FFB3C2E3"/>
        <bgColor indexed="64"/>
      </patternFill>
    </fill>
    <fill>
      <patternFill patternType="solid">
        <fgColor theme="1" tint="0.34998626667073579"/>
        <bgColor indexed="64"/>
      </patternFill>
    </fill>
    <fill>
      <patternFill patternType="solid">
        <fgColor theme="2" tint="-4.9989318521683403E-2"/>
        <bgColor indexed="64"/>
      </patternFill>
    </fill>
    <fill>
      <patternFill patternType="solid">
        <fgColor rgb="FFFFABAB"/>
        <bgColor indexed="64"/>
      </patternFill>
    </fill>
    <fill>
      <patternFill patternType="solid">
        <fgColor rgb="FF00B0F0"/>
        <bgColor indexed="64"/>
      </patternFill>
    </fill>
    <fill>
      <patternFill patternType="solid">
        <fgColor rgb="FF92D050"/>
        <bgColor indexed="64"/>
      </patternFill>
    </fill>
    <fill>
      <patternFill patternType="solid">
        <fgColor rgb="FFCCCCFF"/>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ABAB"/>
        <bgColor rgb="FF000000"/>
      </patternFill>
    </fill>
    <fill>
      <patternFill patternType="solid">
        <fgColor theme="8" tint="0.59999389629810485"/>
        <bgColor indexed="64"/>
      </patternFill>
    </fill>
    <fill>
      <patternFill patternType="solid">
        <fgColor rgb="FF15DBCD"/>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1" tint="0.34998626667073579"/>
      </bottom>
      <diagonal/>
    </border>
    <border>
      <left style="medium">
        <color theme="1" tint="0.34998626667073579"/>
      </left>
      <right/>
      <top style="medium">
        <color theme="1" tint="0.34998626667073579"/>
      </top>
      <bottom style="thin">
        <color indexed="64"/>
      </bottom>
      <diagonal/>
    </border>
    <border>
      <left style="thin">
        <color theme="0"/>
      </left>
      <right/>
      <top style="medium">
        <color theme="1" tint="0.34998626667073579"/>
      </top>
      <bottom style="thin">
        <color indexed="64"/>
      </bottom>
      <diagonal/>
    </border>
    <border>
      <left/>
      <right style="thin">
        <color theme="0"/>
      </right>
      <top style="medium">
        <color theme="1" tint="0.34998626667073579"/>
      </top>
      <bottom style="thin">
        <color indexed="64"/>
      </bottom>
      <diagonal/>
    </border>
    <border>
      <left/>
      <right/>
      <top style="medium">
        <color theme="1" tint="0.34998626667073579"/>
      </top>
      <bottom style="thin">
        <color indexed="64"/>
      </bottom>
      <diagonal/>
    </border>
    <border>
      <left/>
      <right style="medium">
        <color theme="1" tint="0.34998626667073579"/>
      </right>
      <top style="medium">
        <color theme="1" tint="0.34998626667073579"/>
      </top>
      <bottom style="thin">
        <color indexed="64"/>
      </bottom>
      <diagonal/>
    </border>
    <border>
      <left style="medium">
        <color theme="1" tint="0.34998626667073579"/>
      </left>
      <right style="medium">
        <color theme="1" tint="0.34998626667073579"/>
      </right>
      <top style="medium">
        <color theme="1" tint="0.34998626667073579"/>
      </top>
      <bottom style="thin">
        <color indexed="64"/>
      </bottom>
      <diagonal/>
    </border>
    <border>
      <left style="medium">
        <color theme="1" tint="0.34998626667073579"/>
      </left>
      <right/>
      <top/>
      <bottom/>
      <diagonal/>
    </border>
    <border>
      <left style="thin">
        <color theme="1" tint="0.34998626667073579"/>
      </left>
      <right/>
      <top/>
      <bottom/>
      <diagonal/>
    </border>
    <border>
      <left/>
      <right style="thin">
        <color theme="1" tint="0.34998626667073579"/>
      </right>
      <top/>
      <bottom/>
      <diagonal/>
    </border>
    <border>
      <left/>
      <right style="medium">
        <color theme="1" tint="0.34998626667073579"/>
      </right>
      <top/>
      <bottom/>
      <diagonal/>
    </border>
    <border>
      <left style="medium">
        <color theme="1" tint="0.34998626667073579"/>
      </left>
      <right style="medium">
        <color theme="1" tint="0.34998626667073579"/>
      </right>
      <top/>
      <bottom/>
      <diagonal/>
    </border>
    <border>
      <left style="medium">
        <color theme="1" tint="0.34998626667073579"/>
      </left>
      <right/>
      <top/>
      <bottom style="medium">
        <color theme="1" tint="0.34998626667073579"/>
      </bottom>
      <diagonal/>
    </border>
    <border>
      <left/>
      <right style="thin">
        <color theme="1" tint="0.34998626667073579"/>
      </right>
      <top/>
      <bottom style="medium">
        <color theme="1" tint="0.34998626667073579"/>
      </bottom>
      <diagonal/>
    </border>
    <border>
      <left/>
      <right style="medium">
        <color theme="1" tint="0.34998626667073579"/>
      </right>
      <top/>
      <bottom style="medium">
        <color theme="1" tint="0.34998626667073579"/>
      </bottom>
      <diagonal/>
    </border>
    <border>
      <left style="medium">
        <color theme="1" tint="0.34998626667073579"/>
      </left>
      <right style="medium">
        <color theme="1" tint="0.34998626667073579"/>
      </right>
      <top/>
      <bottom style="medium">
        <color theme="1" tint="0.3499862666707357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medium">
        <color rgb="FFFF0000"/>
      </left>
      <right style="medium">
        <color rgb="FFFF0000"/>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indexed="64"/>
      </left>
      <right/>
      <top style="thin">
        <color indexed="64"/>
      </top>
      <bottom style="medium">
        <color rgb="FFFF0000"/>
      </bottom>
      <diagonal/>
    </border>
    <border>
      <left/>
      <right style="thin">
        <color indexed="64"/>
      </right>
      <top style="thin">
        <color indexed="64"/>
      </top>
      <bottom style="medium">
        <color rgb="FFFF0000"/>
      </bottom>
      <diagonal/>
    </border>
    <border>
      <left style="medium">
        <color rgb="FFFF0000"/>
      </left>
      <right/>
      <top style="medium">
        <color indexed="64"/>
      </top>
      <bottom style="medium">
        <color rgb="FFFF0000"/>
      </bottom>
      <diagonal/>
    </border>
    <border>
      <left/>
      <right/>
      <top style="medium">
        <color indexed="64"/>
      </top>
      <bottom style="medium">
        <color rgb="FFFF0000"/>
      </bottom>
      <diagonal/>
    </border>
    <border>
      <left/>
      <right style="medium">
        <color rgb="FFFF0000"/>
      </right>
      <top style="medium">
        <color indexed="64"/>
      </top>
      <bottom style="medium">
        <color rgb="FFFF0000"/>
      </bottom>
      <diagonal/>
    </border>
    <border>
      <left/>
      <right/>
      <top style="medium">
        <color rgb="FFFF0000"/>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s>
  <cellStyleXfs count="45">
    <xf numFmtId="0" fontId="0" fillId="0" borderId="0"/>
    <xf numFmtId="0" fontId="4" fillId="0" borderId="0" applyNumberFormat="0" applyFill="0" applyBorder="0" applyAlignment="0" applyProtection="0"/>
    <xf numFmtId="0" fontId="5" fillId="0" borderId="3" applyNumberFormat="0" applyFill="0" applyAlignment="0" applyProtection="0"/>
    <xf numFmtId="0" fontId="6" fillId="0" borderId="4" applyNumberFormat="0" applyFill="0" applyAlignment="0" applyProtection="0"/>
    <xf numFmtId="0" fontId="7" fillId="0" borderId="5"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6" applyNumberFormat="0" applyAlignment="0" applyProtection="0"/>
    <xf numFmtId="0" fontId="12" fillId="6" borderId="7" applyNumberFormat="0" applyAlignment="0" applyProtection="0"/>
    <xf numFmtId="0" fontId="13" fillId="6" borderId="6" applyNumberFormat="0" applyAlignment="0" applyProtection="0"/>
    <xf numFmtId="0" fontId="14" fillId="0" borderId="8" applyNumberFormat="0" applyFill="0" applyAlignment="0" applyProtection="0"/>
    <xf numFmtId="0" fontId="15" fillId="7" borderId="9" applyNumberFormat="0" applyAlignment="0" applyProtection="0"/>
    <xf numFmtId="0" fontId="16" fillId="0" borderId="0" applyNumberFormat="0" applyFill="0" applyBorder="0" applyAlignment="0" applyProtection="0"/>
    <xf numFmtId="0" fontId="3" fillId="8" borderId="10" applyNumberFormat="0" applyFont="0" applyAlignment="0" applyProtection="0"/>
    <xf numFmtId="0" fontId="17" fillId="0" borderId="0" applyNumberFormat="0" applyFill="0" applyBorder="0" applyAlignment="0" applyProtection="0"/>
    <xf numFmtId="0" fontId="2" fillId="0" borderId="11"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9" fillId="0" borderId="0" applyNumberFormat="0" applyFill="0" applyBorder="0" applyProtection="0">
      <alignment vertical="top" wrapText="1"/>
    </xf>
    <xf numFmtId="0" fontId="23" fillId="0" borderId="0"/>
    <xf numFmtId="0" fontId="28" fillId="0" borderId="0"/>
  </cellStyleXfs>
  <cellXfs count="476">
    <xf numFmtId="0" fontId="0" fillId="0" borderId="0" xfId="0"/>
    <xf numFmtId="0" fontId="0" fillId="0" borderId="1" xfId="0" applyBorder="1"/>
    <xf numFmtId="0" fontId="22" fillId="0" borderId="1" xfId="0" applyFont="1" applyBorder="1" applyAlignment="1">
      <alignment horizontal="center" vertical="center" wrapText="1"/>
    </xf>
    <xf numFmtId="0" fontId="0" fillId="0" borderId="0" xfId="0" applyAlignment="1">
      <alignment horizontal="center"/>
    </xf>
    <xf numFmtId="2" fontId="0" fillId="0" borderId="0" xfId="0" applyNumberFormat="1" applyAlignment="1">
      <alignment horizontal="center"/>
    </xf>
    <xf numFmtId="0" fontId="0" fillId="33" borderId="0" xfId="0" applyFill="1" applyAlignment="1">
      <alignment horizontal="center"/>
    </xf>
    <xf numFmtId="0" fontId="28" fillId="35" borderId="0" xfId="44" applyFill="1"/>
    <xf numFmtId="0" fontId="24" fillId="33" borderId="0" xfId="43" applyFont="1" applyFill="1" applyAlignment="1">
      <alignment horizontal="center" vertical="center"/>
    </xf>
    <xf numFmtId="0" fontId="25" fillId="33" borderId="0" xfId="43" applyFont="1" applyFill="1" applyAlignment="1">
      <alignment horizontal="left" vertical="center"/>
    </xf>
    <xf numFmtId="0" fontId="32" fillId="35" borderId="0" xfId="44" applyFont="1" applyFill="1" applyAlignment="1">
      <alignment horizontal="center" vertical="center" wrapText="1"/>
    </xf>
    <xf numFmtId="0" fontId="30" fillId="35" borderId="0" xfId="44" applyFont="1" applyFill="1" applyAlignment="1">
      <alignment horizontal="center" vertical="center"/>
    </xf>
    <xf numFmtId="0" fontId="30" fillId="35" borderId="0" xfId="44" applyFont="1" applyFill="1" applyAlignment="1">
      <alignment vertical="center"/>
    </xf>
    <xf numFmtId="0" fontId="32" fillId="35" borderId="0" xfId="44" applyFont="1" applyFill="1" applyAlignment="1">
      <alignment horizontal="center" vertical="center"/>
    </xf>
    <xf numFmtId="49" fontId="34" fillId="33" borderId="0" xfId="44" applyNumberFormat="1" applyFont="1" applyFill="1" applyAlignment="1">
      <alignment horizontal="right" vertical="center" indent="1"/>
    </xf>
    <xf numFmtId="0" fontId="36" fillId="35" borderId="0" xfId="44" applyFont="1" applyFill="1" applyAlignment="1">
      <alignment horizontal="center" vertical="center" wrapText="1"/>
    </xf>
    <xf numFmtId="0" fontId="28" fillId="35" borderId="0" xfId="44" applyFill="1" applyAlignment="1">
      <alignment vertical="center"/>
    </xf>
    <xf numFmtId="49" fontId="34" fillId="33" borderId="0" xfId="44" applyNumberFormat="1" applyFont="1" applyFill="1" applyAlignment="1">
      <alignment horizontal="right" vertical="top" indent="1"/>
    </xf>
    <xf numFmtId="0" fontId="38" fillId="33" borderId="0" xfId="44" applyFont="1" applyFill="1" applyAlignment="1">
      <alignment horizontal="left"/>
    </xf>
    <xf numFmtId="0" fontId="38" fillId="33" borderId="0" xfId="44" applyFont="1" applyFill="1" applyAlignment="1">
      <alignment horizontal="center" vertical="center" wrapText="1"/>
    </xf>
    <xf numFmtId="0" fontId="40" fillId="36" borderId="13" xfId="44" applyFont="1" applyFill="1" applyBorder="1" applyAlignment="1">
      <alignment horizontal="center" vertical="center"/>
    </xf>
    <xf numFmtId="0" fontId="41" fillId="37" borderId="14" xfId="44" applyFont="1" applyFill="1" applyBorder="1" applyAlignment="1">
      <alignment horizontal="center" vertical="center" wrapText="1"/>
    </xf>
    <xf numFmtId="0" fontId="40" fillId="34" borderId="15" xfId="44" applyFont="1" applyFill="1" applyBorder="1" applyAlignment="1">
      <alignment horizontal="center" vertical="center" wrapText="1"/>
    </xf>
    <xf numFmtId="0" fontId="40" fillId="36" borderId="14" xfId="44" applyFont="1" applyFill="1" applyBorder="1" applyAlignment="1">
      <alignment horizontal="center" vertical="center" wrapText="1"/>
    </xf>
    <xf numFmtId="0" fontId="41" fillId="36" borderId="16" xfId="44" applyFont="1" applyFill="1" applyBorder="1" applyAlignment="1">
      <alignment horizontal="center" vertical="center" wrapText="1"/>
    </xf>
    <xf numFmtId="0" fontId="40" fillId="36" borderId="16" xfId="44" applyFont="1" applyFill="1" applyBorder="1" applyAlignment="1">
      <alignment horizontal="center" vertical="center" wrapText="1"/>
    </xf>
    <xf numFmtId="0" fontId="40" fillId="38" borderId="16" xfId="44" applyFont="1" applyFill="1" applyBorder="1" applyAlignment="1">
      <alignment horizontal="center" vertical="center" wrapText="1"/>
    </xf>
    <xf numFmtId="0" fontId="40" fillId="36" borderId="17" xfId="44" applyFont="1" applyFill="1" applyBorder="1" applyAlignment="1">
      <alignment horizontal="center" vertical="center" wrapText="1"/>
    </xf>
    <xf numFmtId="0" fontId="44" fillId="0" borderId="18" xfId="44" applyFont="1" applyBorder="1" applyAlignment="1">
      <alignment horizontal="center" vertical="center" wrapText="1"/>
    </xf>
    <xf numFmtId="3" fontId="38" fillId="33" borderId="19" xfId="44" applyNumberFormat="1" applyFont="1" applyFill="1" applyBorder="1" applyAlignment="1">
      <alignment horizontal="center"/>
    </xf>
    <xf numFmtId="164" fontId="35" fillId="39" borderId="20" xfId="44" applyNumberFormat="1" applyFont="1" applyFill="1" applyBorder="1" applyAlignment="1" applyProtection="1">
      <alignment horizontal="center" vertical="center"/>
      <protection locked="0"/>
    </xf>
    <xf numFmtId="165" fontId="32" fillId="39" borderId="21" xfId="44" applyNumberFormat="1" applyFont="1" applyFill="1" applyBorder="1" applyAlignment="1" applyProtection="1">
      <alignment horizontal="center"/>
      <protection locked="0"/>
    </xf>
    <xf numFmtId="3" fontId="32" fillId="33" borderId="0" xfId="44" applyNumberFormat="1" applyFont="1" applyFill="1" applyAlignment="1">
      <alignment horizontal="center"/>
    </xf>
    <xf numFmtId="9" fontId="32" fillId="33" borderId="0" xfId="44" applyNumberFormat="1" applyFont="1" applyFill="1" applyAlignment="1">
      <alignment horizontal="center"/>
    </xf>
    <xf numFmtId="166" fontId="38" fillId="40" borderId="0" xfId="44" applyNumberFormat="1" applyFont="1" applyFill="1" applyAlignment="1">
      <alignment horizontal="center"/>
    </xf>
    <xf numFmtId="3" fontId="32" fillId="33" borderId="22" xfId="44" applyNumberFormat="1" applyFont="1" applyFill="1" applyBorder="1" applyAlignment="1">
      <alignment horizontal="center"/>
    </xf>
    <xf numFmtId="3" fontId="32" fillId="0" borderId="23" xfId="44" applyNumberFormat="1" applyFont="1" applyBorder="1" applyAlignment="1">
      <alignment horizontal="center"/>
    </xf>
    <xf numFmtId="3" fontId="38" fillId="41" borderId="19" xfId="44" applyNumberFormat="1" applyFont="1" applyFill="1" applyBorder="1" applyAlignment="1">
      <alignment horizontal="center"/>
    </xf>
    <xf numFmtId="164" fontId="35" fillId="42" borderId="20" xfId="44" applyNumberFormat="1" applyFont="1" applyFill="1" applyBorder="1" applyAlignment="1" applyProtection="1">
      <alignment horizontal="center" vertical="center"/>
      <protection locked="0"/>
    </xf>
    <xf numFmtId="165" fontId="32" fillId="42" borderId="21" xfId="44" applyNumberFormat="1" applyFont="1" applyFill="1" applyBorder="1" applyAlignment="1" applyProtection="1">
      <alignment horizontal="center"/>
      <protection locked="0"/>
    </xf>
    <xf numFmtId="3" fontId="32" fillId="41" borderId="0" xfId="44" applyNumberFormat="1" applyFont="1" applyFill="1" applyAlignment="1">
      <alignment horizontal="center"/>
    </xf>
    <xf numFmtId="9" fontId="32" fillId="41" borderId="0" xfId="44" applyNumberFormat="1" applyFont="1" applyFill="1" applyAlignment="1">
      <alignment horizontal="center"/>
    </xf>
    <xf numFmtId="166" fontId="38" fillId="43" borderId="0" xfId="44" applyNumberFormat="1" applyFont="1" applyFill="1" applyAlignment="1">
      <alignment horizontal="center"/>
    </xf>
    <xf numFmtId="3" fontId="32" fillId="41" borderId="22" xfId="44" applyNumberFormat="1" applyFont="1" applyFill="1" applyBorder="1" applyAlignment="1">
      <alignment horizontal="center"/>
    </xf>
    <xf numFmtId="166" fontId="34" fillId="40" borderId="0" xfId="44" applyNumberFormat="1" applyFont="1" applyFill="1" applyAlignment="1">
      <alignment horizontal="center"/>
    </xf>
    <xf numFmtId="3" fontId="38" fillId="41" borderId="24" xfId="44" applyNumberFormat="1" applyFont="1" applyFill="1" applyBorder="1" applyAlignment="1">
      <alignment horizontal="center"/>
    </xf>
    <xf numFmtId="164" fontId="45" fillId="44" borderId="12" xfId="44" applyNumberFormat="1" applyFont="1" applyFill="1" applyBorder="1" applyAlignment="1" applyProtection="1">
      <alignment horizontal="center" vertical="center"/>
      <protection locked="0"/>
    </xf>
    <xf numFmtId="165" fontId="29" fillId="44" borderId="25" xfId="44" applyNumberFormat="1" applyFont="1" applyFill="1" applyBorder="1" applyAlignment="1" applyProtection="1">
      <alignment horizontal="center"/>
      <protection locked="0"/>
    </xf>
    <xf numFmtId="3" fontId="32" fillId="41" borderId="12" xfId="44" applyNumberFormat="1" applyFont="1" applyFill="1" applyBorder="1" applyAlignment="1">
      <alignment horizontal="center"/>
    </xf>
    <xf numFmtId="9" fontId="32" fillId="41" borderId="12" xfId="44" applyNumberFormat="1" applyFont="1" applyFill="1" applyBorder="1" applyAlignment="1">
      <alignment horizontal="center"/>
    </xf>
    <xf numFmtId="166" fontId="38" fillId="43" borderId="12" xfId="44" applyNumberFormat="1" applyFont="1" applyFill="1" applyBorder="1" applyAlignment="1">
      <alignment horizontal="center"/>
    </xf>
    <xf numFmtId="3" fontId="32" fillId="41" borderId="26" xfId="44" applyNumberFormat="1" applyFont="1" applyFill="1" applyBorder="1" applyAlignment="1">
      <alignment horizontal="center"/>
    </xf>
    <xf numFmtId="3" fontId="32" fillId="0" borderId="27" xfId="44" applyNumberFormat="1" applyFont="1" applyBorder="1" applyAlignment="1">
      <alignment horizontal="center"/>
    </xf>
    <xf numFmtId="0" fontId="28" fillId="33" borderId="0" xfId="44" applyFill="1" applyAlignment="1">
      <alignment horizontal="left"/>
    </xf>
    <xf numFmtId="0" fontId="35" fillId="35" borderId="0" xfId="44" applyFont="1" applyFill="1"/>
    <xf numFmtId="0" fontId="46" fillId="33" borderId="0" xfId="44" applyFont="1" applyFill="1" applyAlignment="1">
      <alignment horizontal="left"/>
    </xf>
    <xf numFmtId="0" fontId="41" fillId="36" borderId="28" xfId="44" applyFont="1" applyFill="1" applyBorder="1" applyAlignment="1">
      <alignment horizontal="center" vertical="center" wrapText="1"/>
    </xf>
    <xf numFmtId="0" fontId="41" fillId="36" borderId="29" xfId="44" applyFont="1" applyFill="1" applyBorder="1" applyAlignment="1">
      <alignment horizontal="center" vertical="center" wrapText="1"/>
    </xf>
    <xf numFmtId="0" fontId="41" fillId="36" borderId="30" xfId="44" applyFont="1" applyFill="1" applyBorder="1" applyAlignment="1">
      <alignment horizontal="center" vertical="center" wrapText="1"/>
    </xf>
    <xf numFmtId="0" fontId="48" fillId="33" borderId="31" xfId="44" applyFont="1" applyFill="1" applyBorder="1" applyAlignment="1">
      <alignment horizontal="center" vertical="center"/>
    </xf>
    <xf numFmtId="3" fontId="48" fillId="33" borderId="32" xfId="44" applyNumberFormat="1" applyFont="1" applyFill="1" applyBorder="1" applyAlignment="1">
      <alignment horizontal="center" vertical="center"/>
    </xf>
    <xf numFmtId="3" fontId="48" fillId="33" borderId="33" xfId="44" applyNumberFormat="1" applyFont="1" applyFill="1" applyBorder="1" applyAlignment="1">
      <alignment horizontal="center" vertical="center"/>
    </xf>
    <xf numFmtId="0" fontId="28" fillId="33" borderId="0" xfId="44" applyFill="1"/>
    <xf numFmtId="167" fontId="45" fillId="33" borderId="0" xfId="44" applyNumberFormat="1" applyFont="1" applyFill="1" applyAlignment="1">
      <alignment horizontal="center" vertical="center"/>
    </xf>
    <xf numFmtId="168" fontId="29" fillId="33" borderId="0" xfId="44" applyNumberFormat="1" applyFont="1" applyFill="1" applyAlignment="1">
      <alignment horizontal="center"/>
    </xf>
    <xf numFmtId="0" fontId="32" fillId="33" borderId="0" xfId="44" applyFont="1" applyFill="1" applyAlignment="1">
      <alignment horizontal="center"/>
    </xf>
    <xf numFmtId="0" fontId="49" fillId="45" borderId="28" xfId="44" applyFont="1" applyFill="1" applyBorder="1" applyAlignment="1">
      <alignment horizontal="center" vertical="center"/>
    </xf>
    <xf numFmtId="0" fontId="49" fillId="45" borderId="29" xfId="44" applyFont="1" applyFill="1" applyBorder="1" applyAlignment="1">
      <alignment horizontal="center" vertical="center"/>
    </xf>
    <xf numFmtId="167" fontId="49" fillId="45" borderId="29" xfId="44" applyNumberFormat="1" applyFont="1" applyFill="1" applyBorder="1" applyAlignment="1">
      <alignment horizontal="center" vertical="center"/>
    </xf>
    <xf numFmtId="168" fontId="49" fillId="45" borderId="30" xfId="44" applyNumberFormat="1" applyFont="1" applyFill="1" applyBorder="1" applyAlignment="1">
      <alignment horizontal="center" vertical="center"/>
    </xf>
    <xf numFmtId="0" fontId="32" fillId="33" borderId="0" xfId="44" applyFont="1" applyFill="1" applyAlignment="1">
      <alignment wrapText="1"/>
    </xf>
    <xf numFmtId="0" fontId="35" fillId="33" borderId="34" xfId="44" applyFont="1" applyFill="1" applyBorder="1" applyAlignment="1">
      <alignment horizontal="center" vertical="center" wrapText="1"/>
    </xf>
    <xf numFmtId="0" fontId="35" fillId="33" borderId="0" xfId="44" applyFont="1" applyFill="1" applyAlignment="1">
      <alignment horizontal="center" vertical="center"/>
    </xf>
    <xf numFmtId="168" fontId="29" fillId="33" borderId="0" xfId="44" applyNumberFormat="1" applyFont="1" applyFill="1" applyAlignment="1">
      <alignment horizontal="center" vertical="center"/>
    </xf>
    <xf numFmtId="0" fontId="32" fillId="33" borderId="35" xfId="44" applyFont="1" applyFill="1" applyBorder="1" applyAlignment="1">
      <alignment horizontal="center" vertical="center" wrapText="1"/>
    </xf>
    <xf numFmtId="0" fontId="35" fillId="46" borderId="34" xfId="44" applyFont="1" applyFill="1" applyBorder="1" applyAlignment="1">
      <alignment horizontal="center" vertical="center" wrapText="1"/>
    </xf>
    <xf numFmtId="0" fontId="35" fillId="46" borderId="0" xfId="44" applyFont="1" applyFill="1" applyAlignment="1">
      <alignment horizontal="center" vertical="center"/>
    </xf>
    <xf numFmtId="168" fontId="29" fillId="46" borderId="0" xfId="44" applyNumberFormat="1" applyFont="1" applyFill="1" applyAlignment="1">
      <alignment horizontal="center" vertical="center"/>
    </xf>
    <xf numFmtId="0" fontId="32" fillId="46" borderId="35" xfId="44" applyFont="1" applyFill="1" applyBorder="1" applyAlignment="1">
      <alignment horizontal="center" vertical="center" wrapText="1"/>
    </xf>
    <xf numFmtId="0" fontId="28" fillId="33" borderId="0" xfId="44" applyFill="1" applyAlignment="1">
      <alignment horizontal="center" vertical="center"/>
    </xf>
    <xf numFmtId="0" fontId="28" fillId="46" borderId="0" xfId="44" applyFill="1" applyAlignment="1">
      <alignment horizontal="center" vertical="center"/>
    </xf>
    <xf numFmtId="0" fontId="28" fillId="33" borderId="34" xfId="44" applyFill="1" applyBorder="1" applyAlignment="1">
      <alignment horizontal="center" vertical="center" wrapText="1"/>
    </xf>
    <xf numFmtId="0" fontId="32" fillId="33" borderId="0" xfId="44" applyFont="1" applyFill="1" applyAlignment="1">
      <alignment horizontal="center" vertical="center"/>
    </xf>
    <xf numFmtId="0" fontId="28" fillId="46" borderId="34" xfId="44" applyFill="1" applyBorder="1" applyAlignment="1">
      <alignment horizontal="center" vertical="center" wrapText="1"/>
    </xf>
    <xf numFmtId="167" fontId="45" fillId="46" borderId="0" xfId="44" applyNumberFormat="1" applyFont="1" applyFill="1" applyAlignment="1">
      <alignment horizontal="center" vertical="center"/>
    </xf>
    <xf numFmtId="0" fontId="28" fillId="33" borderId="31" xfId="44" applyFill="1" applyBorder="1" applyAlignment="1">
      <alignment horizontal="center" vertical="center" wrapText="1"/>
    </xf>
    <xf numFmtId="0" fontId="28" fillId="33" borderId="32" xfId="44" applyFill="1" applyBorder="1" applyAlignment="1">
      <alignment horizontal="center" vertical="center"/>
    </xf>
    <xf numFmtId="0" fontId="32" fillId="33" borderId="33" xfId="44" applyFont="1" applyFill="1" applyBorder="1" applyAlignment="1">
      <alignment horizontal="center" vertical="center" wrapText="1"/>
    </xf>
    <xf numFmtId="0" fontId="32" fillId="35" borderId="0" xfId="44" applyFont="1" applyFill="1" applyAlignment="1">
      <alignment horizontal="center"/>
    </xf>
    <xf numFmtId="9" fontId="32" fillId="35" borderId="0" xfId="44" applyNumberFormat="1" applyFont="1" applyFill="1" applyAlignment="1">
      <alignment horizontal="center"/>
    </xf>
    <xf numFmtId="0" fontId="21" fillId="0" borderId="1" xfId="0" applyFont="1" applyBorder="1" applyAlignment="1">
      <alignment horizontal="center" vertical="center" wrapText="1"/>
    </xf>
    <xf numFmtId="0" fontId="50" fillId="0" borderId="0" xfId="0" applyFont="1"/>
    <xf numFmtId="0" fontId="32" fillId="47" borderId="1" xfId="0" applyFont="1" applyFill="1" applyBorder="1" applyAlignment="1">
      <alignment horizontal="center" vertical="center"/>
    </xf>
    <xf numFmtId="0" fontId="54" fillId="0" borderId="0" xfId="0" applyFont="1" applyAlignment="1">
      <alignment horizontal="center" vertical="center"/>
    </xf>
    <xf numFmtId="0" fontId="2" fillId="0" borderId="38" xfId="0" applyFont="1" applyBorder="1" applyAlignment="1">
      <alignment horizontal="center" vertical="center" wrapText="1"/>
    </xf>
    <xf numFmtId="0" fontId="20" fillId="0" borderId="0" xfId="0" applyFont="1" applyAlignment="1">
      <alignment vertical="center"/>
    </xf>
    <xf numFmtId="0" fontId="55" fillId="0" borderId="0" xfId="0" applyFont="1" applyAlignment="1">
      <alignment vertical="center"/>
    </xf>
    <xf numFmtId="0" fontId="0" fillId="0" borderId="0" xfId="0" applyAlignment="1">
      <alignment vertical="center"/>
    </xf>
    <xf numFmtId="0" fontId="55" fillId="0" borderId="0" xfId="0" applyFont="1"/>
    <xf numFmtId="0" fontId="32" fillId="0" borderId="1" xfId="0" applyFont="1" applyBorder="1" applyAlignment="1">
      <alignment horizontal="center" vertical="center" wrapText="1"/>
    </xf>
    <xf numFmtId="0" fontId="0" fillId="0" borderId="0" xfId="0" applyAlignment="1">
      <alignment horizontal="center" vertical="center"/>
    </xf>
    <xf numFmtId="0" fontId="20" fillId="0" borderId="0" xfId="0" applyFont="1" applyAlignment="1">
      <alignment horizontal="center" vertical="center"/>
    </xf>
    <xf numFmtId="0" fontId="20" fillId="0" borderId="1" xfId="0" applyFont="1" applyBorder="1" applyAlignment="1">
      <alignment horizontal="center" vertical="center"/>
    </xf>
    <xf numFmtId="0" fontId="0" fillId="0" borderId="40" xfId="0" applyBorder="1" applyAlignment="1">
      <alignment horizontal="center" vertical="center"/>
    </xf>
    <xf numFmtId="0" fontId="16" fillId="0" borderId="0" xfId="0" applyFont="1" applyAlignment="1">
      <alignment vertical="center"/>
    </xf>
    <xf numFmtId="0" fontId="50" fillId="0" borderId="0" xfId="0" applyFont="1" applyAlignment="1">
      <alignment horizontal="center"/>
    </xf>
    <xf numFmtId="0" fontId="50" fillId="0" borderId="0" xfId="0" applyFont="1" applyAlignment="1">
      <alignment horizontal="right"/>
    </xf>
    <xf numFmtId="0" fontId="54" fillId="0" borderId="1" xfId="0" applyFont="1" applyBorder="1" applyAlignment="1">
      <alignment horizontal="center" vertical="center"/>
    </xf>
    <xf numFmtId="0" fontId="20"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52" fillId="0" borderId="0" xfId="0" applyFont="1" applyAlignment="1">
      <alignment wrapText="1"/>
    </xf>
    <xf numFmtId="0" fontId="32" fillId="0" borderId="0" xfId="0" applyFont="1" applyAlignment="1">
      <alignment wrapText="1"/>
    </xf>
    <xf numFmtId="0" fontId="2" fillId="0" borderId="50" xfId="0" applyFont="1" applyBorder="1" applyAlignment="1">
      <alignment horizontal="center" vertical="center" wrapText="1"/>
    </xf>
    <xf numFmtId="0" fontId="0" fillId="0" borderId="40" xfId="0" applyBorder="1"/>
    <xf numFmtId="0" fontId="0" fillId="0" borderId="47" xfId="0" applyBorder="1" applyAlignment="1">
      <alignment vertical="center"/>
    </xf>
    <xf numFmtId="0" fontId="32" fillId="0" borderId="1" xfId="0" applyFont="1" applyBorder="1" applyAlignment="1">
      <alignment vertical="center" wrapText="1"/>
    </xf>
    <xf numFmtId="0" fontId="0" fillId="0" borderId="1" xfId="0" applyBorder="1" applyAlignment="1">
      <alignment vertical="center" wrapText="1"/>
    </xf>
    <xf numFmtId="0" fontId="57" fillId="0" borderId="0" xfId="0" applyFont="1"/>
    <xf numFmtId="0" fontId="32" fillId="0" borderId="47" xfId="0" applyFont="1" applyBorder="1" applyAlignment="1">
      <alignment vertical="center" wrapText="1"/>
    </xf>
    <xf numFmtId="0" fontId="0" fillId="0" borderId="40" xfId="0" applyBorder="1" applyAlignment="1">
      <alignment wrapText="1"/>
    </xf>
    <xf numFmtId="0" fontId="0" fillId="0" borderId="40" xfId="0" applyBorder="1" applyAlignment="1">
      <alignment vertical="center" wrapText="1"/>
    </xf>
    <xf numFmtId="0" fontId="38" fillId="0" borderId="32" xfId="0" applyFont="1" applyBorder="1" applyAlignment="1">
      <alignment horizontal="center" vertical="center" wrapText="1"/>
    </xf>
    <xf numFmtId="0" fontId="0" fillId="0" borderId="0" xfId="0" applyAlignment="1">
      <alignment vertical="center" wrapText="1"/>
    </xf>
    <xf numFmtId="0" fontId="0" fillId="0" borderId="34" xfId="0" applyBorder="1" applyAlignment="1">
      <alignment vertical="center"/>
    </xf>
    <xf numFmtId="0" fontId="0" fillId="0" borderId="44" xfId="0" applyBorder="1"/>
    <xf numFmtId="0" fontId="16" fillId="0" borderId="0" xfId="0" applyFont="1"/>
    <xf numFmtId="0" fontId="56" fillId="0" borderId="0" xfId="0" applyFont="1" applyAlignment="1">
      <alignment horizontal="center" vertical="center"/>
    </xf>
    <xf numFmtId="0" fontId="50" fillId="0" borderId="0" xfId="0" applyFont="1" applyAlignment="1">
      <alignment horizontal="center" vertical="center"/>
    </xf>
    <xf numFmtId="0" fontId="59" fillId="0" borderId="0" xfId="0" applyFont="1"/>
    <xf numFmtId="0" fontId="59" fillId="0" borderId="0" xfId="0" applyFont="1" applyAlignment="1">
      <alignment vertical="center"/>
    </xf>
    <xf numFmtId="0" fontId="60" fillId="0" borderId="47" xfId="0" applyFont="1" applyBorder="1" applyAlignment="1">
      <alignment vertical="center" wrapText="1"/>
    </xf>
    <xf numFmtId="0" fontId="0" fillId="0" borderId="47" xfId="0" applyBorder="1" applyAlignment="1">
      <alignment horizontal="center" vertical="center" wrapText="1"/>
    </xf>
    <xf numFmtId="0" fontId="32" fillId="0" borderId="40" xfId="0" applyFont="1" applyBorder="1" applyAlignment="1">
      <alignment wrapText="1"/>
    </xf>
    <xf numFmtId="0" fontId="38" fillId="0" borderId="38" xfId="0" applyFont="1" applyBorder="1" applyAlignment="1">
      <alignment horizontal="center" vertical="center" wrapText="1"/>
    </xf>
    <xf numFmtId="0" fontId="61" fillId="0" borderId="0" xfId="0" applyFont="1" applyAlignment="1">
      <alignment vertical="center"/>
    </xf>
    <xf numFmtId="0" fontId="32" fillId="0" borderId="40" xfId="0" applyFont="1" applyBorder="1" applyAlignment="1">
      <alignment horizontal="center" vertical="center" wrapText="1"/>
    </xf>
    <xf numFmtId="0" fontId="32" fillId="0" borderId="47" xfId="0" applyFont="1" applyBorder="1" applyAlignment="1">
      <alignment vertical="center"/>
    </xf>
    <xf numFmtId="0" fontId="2" fillId="0" borderId="1" xfId="0" applyFont="1" applyBorder="1" applyAlignment="1">
      <alignment horizontal="center" vertical="center" wrapText="1"/>
    </xf>
    <xf numFmtId="0" fontId="2" fillId="0" borderId="47" xfId="0" applyFont="1" applyBorder="1" applyAlignment="1">
      <alignment horizontal="center" vertical="center" wrapText="1"/>
    </xf>
    <xf numFmtId="0" fontId="0" fillId="0" borderId="1" xfId="0" applyBorder="1" applyAlignment="1">
      <alignment horizontal="center"/>
    </xf>
    <xf numFmtId="169" fontId="0" fillId="0" borderId="0" xfId="0" applyNumberFormat="1" applyAlignment="1">
      <alignment horizontal="center" vertical="center"/>
    </xf>
    <xf numFmtId="0" fontId="1" fillId="0" borderId="0" xfId="0" applyFont="1"/>
    <xf numFmtId="0" fontId="1" fillId="0" borderId="0" xfId="0" applyFont="1" applyAlignment="1">
      <alignment horizontal="center" vertical="center"/>
    </xf>
    <xf numFmtId="0" fontId="1" fillId="0" borderId="1" xfId="0" applyFont="1" applyBorder="1" applyAlignment="1">
      <alignment horizontal="left" vertical="center"/>
    </xf>
    <xf numFmtId="0" fontId="1" fillId="47" borderId="1" xfId="0" applyFont="1" applyFill="1" applyBorder="1" applyAlignment="1">
      <alignment horizontal="center" vertical="center"/>
    </xf>
    <xf numFmtId="0" fontId="1" fillId="0" borderId="0" xfId="0" applyFont="1" applyAlignment="1">
      <alignment horizontal="right"/>
    </xf>
    <xf numFmtId="0" fontId="1" fillId="0" borderId="0" xfId="0" applyFont="1" applyAlignment="1">
      <alignment horizontal="right" vertical="center"/>
    </xf>
    <xf numFmtId="0" fontId="1" fillId="0" borderId="0" xfId="0" applyFont="1" applyAlignment="1">
      <alignment wrapText="1"/>
    </xf>
    <xf numFmtId="0" fontId="1" fillId="47" borderId="40" xfId="0" applyFont="1" applyFill="1" applyBorder="1"/>
    <xf numFmtId="0" fontId="1" fillId="0" borderId="0" xfId="0" applyFont="1" applyAlignment="1">
      <alignment horizontal="left"/>
    </xf>
    <xf numFmtId="0" fontId="1" fillId="0" borderId="44" xfId="0" applyFont="1" applyBorder="1" applyAlignment="1">
      <alignment horizontal="left"/>
    </xf>
    <xf numFmtId="0" fontId="1" fillId="0" borderId="0" xfId="0" applyFont="1" applyAlignment="1">
      <alignment vertical="center"/>
    </xf>
    <xf numFmtId="0" fontId="1" fillId="0" borderId="0" xfId="0" applyFont="1" applyAlignment="1">
      <alignment horizontal="center" vertical="center" wrapText="1"/>
    </xf>
    <xf numFmtId="0" fontId="1" fillId="0" borderId="55" xfId="0" applyFont="1" applyBorder="1"/>
    <xf numFmtId="0" fontId="50" fillId="0" borderId="45" xfId="0" applyFont="1" applyBorder="1" applyAlignment="1">
      <alignment horizontal="center" vertical="center" wrapText="1"/>
    </xf>
    <xf numFmtId="0" fontId="1" fillId="0" borderId="38" xfId="0" applyFont="1" applyBorder="1" applyAlignment="1">
      <alignment horizontal="center" vertical="center"/>
    </xf>
    <xf numFmtId="0" fontId="1" fillId="0" borderId="1" xfId="0" applyFont="1" applyBorder="1" applyAlignment="1">
      <alignment horizontal="center" vertical="center"/>
    </xf>
    <xf numFmtId="0" fontId="1" fillId="0" borderId="56" xfId="0" applyFont="1" applyBorder="1"/>
    <xf numFmtId="0" fontId="38" fillId="0" borderId="39" xfId="0" applyFont="1" applyBorder="1" applyAlignment="1">
      <alignment horizontal="center" vertical="center" wrapText="1"/>
    </xf>
    <xf numFmtId="0" fontId="1" fillId="0" borderId="45" xfId="0" applyFont="1" applyBorder="1" applyAlignment="1">
      <alignment horizontal="center" vertical="center"/>
    </xf>
    <xf numFmtId="0" fontId="50" fillId="0" borderId="39" xfId="0" applyFont="1" applyBorder="1" applyAlignment="1">
      <alignment horizontal="center" vertical="center" wrapText="1"/>
    </xf>
    <xf numFmtId="0" fontId="1" fillId="0" borderId="46" xfId="0" applyFont="1" applyBorder="1"/>
    <xf numFmtId="0" fontId="50" fillId="0" borderId="32" xfId="0" applyFont="1" applyBorder="1" applyAlignment="1">
      <alignment horizontal="center" vertical="center"/>
    </xf>
    <xf numFmtId="0" fontId="1" fillId="0" borderId="47" xfId="0" applyFont="1" applyBorder="1" applyAlignment="1">
      <alignment horizontal="center" vertical="center"/>
    </xf>
    <xf numFmtId="0" fontId="1" fillId="0" borderId="47" xfId="0" applyFont="1" applyBorder="1" applyAlignment="1">
      <alignment horizontal="left" vertical="center"/>
    </xf>
    <xf numFmtId="0" fontId="1" fillId="0" borderId="39" xfId="0" applyFont="1" applyBorder="1" applyAlignment="1">
      <alignment vertical="center"/>
    </xf>
    <xf numFmtId="0" fontId="1" fillId="0" borderId="48" xfId="0" applyFont="1" applyBorder="1" applyAlignment="1">
      <alignment horizontal="center" vertical="center"/>
    </xf>
    <xf numFmtId="0" fontId="1" fillId="0" borderId="40" xfId="0" applyFont="1" applyBorder="1" applyAlignment="1">
      <alignment horizontal="left" vertical="center"/>
    </xf>
    <xf numFmtId="0" fontId="1" fillId="0" borderId="32" xfId="0" applyFont="1" applyBorder="1" applyAlignment="1">
      <alignment vertical="center"/>
    </xf>
    <xf numFmtId="0" fontId="32" fillId="0" borderId="47" xfId="0" applyFont="1" applyBorder="1" applyAlignment="1">
      <alignment horizontal="center" vertical="center"/>
    </xf>
    <xf numFmtId="0" fontId="0" fillId="0" borderId="47" xfId="0" applyBorder="1" applyAlignment="1">
      <alignment horizontal="center" vertical="center"/>
    </xf>
    <xf numFmtId="0" fontId="1" fillId="0" borderId="40" xfId="0" applyFont="1" applyBorder="1"/>
    <xf numFmtId="0" fontId="1" fillId="0" borderId="40" xfId="0" applyFont="1" applyBorder="1" applyAlignment="1">
      <alignment horizontal="center" vertical="center"/>
    </xf>
    <xf numFmtId="0" fontId="1" fillId="0" borderId="1" xfId="0" applyFont="1" applyBorder="1"/>
    <xf numFmtId="0" fontId="1" fillId="0" borderId="53" xfId="0" applyFont="1" applyBorder="1" applyAlignment="1">
      <alignment horizontal="left"/>
    </xf>
    <xf numFmtId="0" fontId="1" fillId="0" borderId="44" xfId="0" applyFont="1" applyBorder="1" applyAlignment="1">
      <alignment horizontal="left"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50" xfId="0" applyFont="1" applyBorder="1" applyAlignment="1">
      <alignment horizontal="center" vertical="center"/>
    </xf>
    <xf numFmtId="0" fontId="1" fillId="0" borderId="0" xfId="0" applyFont="1" applyAlignment="1">
      <alignment horizontal="left" vertical="center"/>
    </xf>
    <xf numFmtId="0" fontId="1" fillId="0" borderId="38" xfId="0" applyFont="1" applyBorder="1" applyAlignment="1">
      <alignment horizontal="right"/>
    </xf>
    <xf numFmtId="0" fontId="38" fillId="0" borderId="50" xfId="0" applyFont="1" applyBorder="1" applyAlignment="1">
      <alignment horizontal="center" vertical="center" wrapText="1"/>
    </xf>
    <xf numFmtId="0" fontId="1" fillId="0" borderId="50" xfId="0" applyFont="1" applyBorder="1" applyAlignment="1">
      <alignment horizontal="right"/>
    </xf>
    <xf numFmtId="0" fontId="1" fillId="0" borderId="47" xfId="0" applyFont="1" applyBorder="1"/>
    <xf numFmtId="0" fontId="1" fillId="0" borderId="57" xfId="0" applyFont="1" applyBorder="1" applyAlignment="1">
      <alignment vertical="center"/>
    </xf>
    <xf numFmtId="0" fontId="1" fillId="47" borderId="0" xfId="0" applyFont="1" applyFill="1"/>
    <xf numFmtId="0" fontId="0" fillId="0" borderId="36" xfId="0" applyBorder="1"/>
    <xf numFmtId="0" fontId="0" fillId="0" borderId="49" xfId="0" applyBorder="1"/>
    <xf numFmtId="0" fontId="1" fillId="0" borderId="44" xfId="0" applyFont="1" applyBorder="1"/>
    <xf numFmtId="0" fontId="1" fillId="0" borderId="0" xfId="0" applyFont="1" applyAlignment="1">
      <alignment horizontal="center"/>
    </xf>
    <xf numFmtId="0" fontId="20" fillId="0" borderId="0" xfId="0" applyFont="1"/>
    <xf numFmtId="0" fontId="20" fillId="0" borderId="1" xfId="0" applyFont="1" applyBorder="1"/>
    <xf numFmtId="0" fontId="1" fillId="47" borderId="56" xfId="0" applyFont="1" applyFill="1" applyBorder="1" applyAlignment="1">
      <alignment vertical="center"/>
    </xf>
    <xf numFmtId="0" fontId="1" fillId="47" borderId="55" xfId="0" applyFont="1" applyFill="1" applyBorder="1" applyAlignment="1">
      <alignment horizontal="center" vertical="center"/>
    </xf>
    <xf numFmtId="0" fontId="51" fillId="0" borderId="58" xfId="0" applyFont="1" applyBorder="1" applyAlignment="1">
      <alignment horizontal="left"/>
    </xf>
    <xf numFmtId="0" fontId="1" fillId="47" borderId="59" xfId="0" applyFont="1" applyFill="1" applyBorder="1" applyAlignment="1">
      <alignment horizontal="center" vertical="center"/>
    </xf>
    <xf numFmtId="0" fontId="65" fillId="0" borderId="1" xfId="0" applyFont="1" applyBorder="1" applyAlignment="1">
      <alignment horizontal="center" vertical="center" wrapText="1"/>
    </xf>
    <xf numFmtId="0" fontId="1" fillId="0" borderId="36" xfId="0" applyFont="1" applyBorder="1"/>
    <xf numFmtId="0" fontId="2" fillId="0" borderId="32" xfId="0" applyFont="1" applyBorder="1" applyAlignment="1">
      <alignment horizontal="center" vertical="center"/>
    </xf>
    <xf numFmtId="2" fontId="1" fillId="0" borderId="40" xfId="0" applyNumberFormat="1" applyFont="1" applyBorder="1" applyAlignment="1">
      <alignment horizontal="center"/>
    </xf>
    <xf numFmtId="2" fontId="1" fillId="0" borderId="1" xfId="0" applyNumberFormat="1" applyFont="1" applyBorder="1" applyAlignment="1">
      <alignment horizontal="center"/>
    </xf>
    <xf numFmtId="0" fontId="0" fillId="0" borderId="0" xfId="0" applyAlignment="1">
      <alignment vertical="center" wrapText="1" shrinkToFit="1"/>
    </xf>
    <xf numFmtId="0" fontId="0" fillId="0" borderId="39" xfId="0" applyBorder="1" applyAlignment="1">
      <alignment vertical="center"/>
    </xf>
    <xf numFmtId="0" fontId="66" fillId="0" borderId="1" xfId="0" applyFont="1" applyBorder="1" applyAlignment="1">
      <alignment horizontal="center" vertical="center" wrapText="1"/>
    </xf>
    <xf numFmtId="0" fontId="32" fillId="0" borderId="0" xfId="0" applyFont="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applyAlignment="1">
      <alignment horizontal="center" vertical="center" wrapText="1"/>
    </xf>
    <xf numFmtId="0" fontId="68" fillId="0" borderId="66" xfId="0" applyFont="1" applyBorder="1"/>
    <xf numFmtId="0" fontId="69" fillId="0" borderId="66" xfId="0" applyFont="1" applyBorder="1"/>
    <xf numFmtId="0" fontId="68" fillId="0" borderId="0" xfId="0" applyFont="1"/>
    <xf numFmtId="0" fontId="70" fillId="0" borderId="1" xfId="0" applyFont="1" applyBorder="1" applyAlignment="1">
      <alignment horizontal="center" vertical="center"/>
    </xf>
    <xf numFmtId="0" fontId="71" fillId="0" borderId="0" xfId="0" applyFont="1" applyAlignment="1">
      <alignment vertical="center"/>
    </xf>
    <xf numFmtId="2" fontId="0" fillId="0" borderId="0" xfId="0" applyNumberFormat="1"/>
    <xf numFmtId="0" fontId="0" fillId="33" borderId="52" xfId="0" applyFill="1" applyBorder="1"/>
    <xf numFmtId="0" fontId="0" fillId="33" borderId="38" xfId="0" applyFill="1" applyBorder="1"/>
    <xf numFmtId="0" fontId="0" fillId="33" borderId="51" xfId="0" applyFill="1" applyBorder="1" applyAlignment="1">
      <alignment horizontal="right"/>
    </xf>
    <xf numFmtId="0" fontId="0" fillId="33" borderId="36" xfId="0" applyFill="1" applyBorder="1" applyAlignment="1">
      <alignment horizontal="right"/>
    </xf>
    <xf numFmtId="0" fontId="0" fillId="33" borderId="38" xfId="0" applyFill="1" applyBorder="1" applyAlignment="1">
      <alignment horizontal="right"/>
    </xf>
    <xf numFmtId="0" fontId="72" fillId="0" borderId="0" xfId="0" applyFont="1"/>
    <xf numFmtId="0" fontId="53" fillId="0" borderId="1" xfId="0" applyFont="1" applyBorder="1" applyAlignment="1">
      <alignment horizontal="center" vertical="center"/>
    </xf>
    <xf numFmtId="0" fontId="53" fillId="0" borderId="1" xfId="0" applyFont="1" applyBorder="1" applyAlignment="1">
      <alignment horizontal="center" vertical="center" wrapText="1"/>
    </xf>
    <xf numFmtId="0" fontId="0" fillId="49" borderId="1" xfId="0" applyFill="1" applyBorder="1" applyAlignment="1">
      <alignment horizontal="center" vertical="center"/>
    </xf>
    <xf numFmtId="1" fontId="0" fillId="49" borderId="1" xfId="0" applyNumberFormat="1" applyFill="1" applyBorder="1" applyAlignment="1">
      <alignment horizontal="center" vertical="center"/>
    </xf>
    <xf numFmtId="0" fontId="0" fillId="40" borderId="1" xfId="0" applyFill="1" applyBorder="1" applyAlignment="1">
      <alignment horizontal="center" vertical="center"/>
    </xf>
    <xf numFmtId="2" fontId="0" fillId="40" borderId="1" xfId="0" applyNumberFormat="1" applyFill="1" applyBorder="1" applyAlignment="1">
      <alignment horizontal="center" vertical="center"/>
    </xf>
    <xf numFmtId="0" fontId="73" fillId="40" borderId="1" xfId="0" applyFont="1" applyFill="1" applyBorder="1" applyAlignment="1">
      <alignment horizontal="center" vertical="center"/>
    </xf>
    <xf numFmtId="2" fontId="0" fillId="49" borderId="1" xfId="0" applyNumberFormat="1" applyFill="1" applyBorder="1" applyAlignment="1">
      <alignment horizontal="center" vertical="center"/>
    </xf>
    <xf numFmtId="0" fontId="50" fillId="53" borderId="0" xfId="0" applyFont="1" applyFill="1" applyAlignment="1">
      <alignment horizontal="center" vertical="center"/>
    </xf>
    <xf numFmtId="2" fontId="50" fillId="53" borderId="0" xfId="0" applyNumberFormat="1" applyFont="1" applyFill="1" applyAlignment="1">
      <alignment horizontal="center" vertical="center"/>
    </xf>
    <xf numFmtId="2" fontId="59" fillId="40" borderId="1" xfId="0" applyNumberFormat="1" applyFont="1" applyFill="1" applyBorder="1" applyAlignment="1">
      <alignment horizontal="center" vertical="center"/>
    </xf>
    <xf numFmtId="0" fontId="53" fillId="40" borderId="1" xfId="0" applyFont="1" applyFill="1" applyBorder="1" applyAlignment="1">
      <alignment horizontal="center" vertical="center"/>
    </xf>
    <xf numFmtId="2" fontId="0" fillId="0" borderId="0" xfId="0" applyNumberFormat="1" applyAlignment="1">
      <alignment horizontal="center" vertical="center"/>
    </xf>
    <xf numFmtId="170" fontId="0" fillId="0" borderId="1" xfId="0" applyNumberFormat="1" applyBorder="1" applyAlignment="1">
      <alignment horizontal="center" vertical="center"/>
    </xf>
    <xf numFmtId="2" fontId="1" fillId="0" borderId="1" xfId="0" applyNumberFormat="1" applyFont="1" applyBorder="1" applyAlignment="1">
      <alignment horizontal="center" vertical="center"/>
    </xf>
    <xf numFmtId="2" fontId="1" fillId="0" borderId="47" xfId="0" applyNumberFormat="1" applyFont="1" applyBorder="1" applyAlignment="1">
      <alignment horizontal="center" vertical="center"/>
    </xf>
    <xf numFmtId="2" fontId="1" fillId="0" borderId="48" xfId="0" applyNumberFormat="1" applyFont="1" applyBorder="1" applyAlignment="1">
      <alignment horizontal="center" vertical="center"/>
    </xf>
    <xf numFmtId="0" fontId="2" fillId="0" borderId="45" xfId="0" applyFont="1" applyBorder="1" applyAlignment="1">
      <alignment horizontal="center" vertical="center" wrapText="1"/>
    </xf>
    <xf numFmtId="0" fontId="75" fillId="0" borderId="0" xfId="0" applyFont="1"/>
    <xf numFmtId="0" fontId="76" fillId="0" borderId="0" xfId="0" applyFont="1"/>
    <xf numFmtId="0" fontId="20" fillId="0" borderId="0" xfId="0" applyFont="1" applyAlignment="1">
      <alignment horizontal="left" vertical="center"/>
    </xf>
    <xf numFmtId="0" fontId="20" fillId="0" borderId="1" xfId="0" applyFont="1" applyBorder="1" applyAlignment="1">
      <alignment horizontal="left" vertical="center"/>
    </xf>
    <xf numFmtId="0" fontId="78" fillId="0" borderId="0" xfId="0" applyFont="1"/>
    <xf numFmtId="0" fontId="78" fillId="0" borderId="0" xfId="0" applyFont="1" applyAlignment="1">
      <alignment wrapText="1"/>
    </xf>
    <xf numFmtId="0" fontId="78" fillId="0" borderId="0" xfId="0" applyFont="1" applyAlignment="1">
      <alignment vertical="center"/>
    </xf>
    <xf numFmtId="169" fontId="1" fillId="0" borderId="48" xfId="0" applyNumberFormat="1" applyFont="1" applyBorder="1" applyAlignment="1">
      <alignment horizontal="center" vertical="center"/>
    </xf>
    <xf numFmtId="0" fontId="79" fillId="0" borderId="1" xfId="0" applyFont="1" applyBorder="1" applyAlignment="1">
      <alignment horizontal="center" vertical="center"/>
    </xf>
    <xf numFmtId="0" fontId="32" fillId="0" borderId="1" xfId="0" applyFont="1" applyBorder="1" applyAlignment="1">
      <alignment horizontal="center" vertical="center"/>
    </xf>
    <xf numFmtId="0" fontId="65" fillId="0" borderId="1" xfId="0" applyFont="1" applyBorder="1" applyAlignment="1">
      <alignment horizontal="right" vertical="center"/>
    </xf>
    <xf numFmtId="0" fontId="32" fillId="0" borderId="0" xfId="0" applyFont="1" applyAlignment="1">
      <alignment horizontal="center" vertical="center"/>
    </xf>
    <xf numFmtId="0" fontId="32" fillId="0" borderId="47" xfId="0" applyFont="1" applyBorder="1" applyAlignment="1">
      <alignment horizontal="center" vertical="center" wrapText="1"/>
    </xf>
    <xf numFmtId="0" fontId="0" fillId="0" borderId="38" xfId="0" applyBorder="1"/>
    <xf numFmtId="0" fontId="32" fillId="0" borderId="47" xfId="0" applyFont="1" applyBorder="1" applyAlignment="1">
      <alignment horizontal="left" vertical="center" wrapText="1"/>
    </xf>
    <xf numFmtId="0" fontId="51" fillId="0" borderId="0" xfId="0" applyFont="1" applyAlignment="1">
      <alignment horizontal="left" vertical="center"/>
    </xf>
    <xf numFmtId="0" fontId="1" fillId="0" borderId="49" xfId="0" applyFont="1" applyBorder="1"/>
    <xf numFmtId="169" fontId="1" fillId="0" borderId="47" xfId="0" applyNumberFormat="1" applyFont="1" applyBorder="1" applyAlignment="1">
      <alignment horizontal="center" vertical="center"/>
    </xf>
    <xf numFmtId="169" fontId="1" fillId="0" borderId="45" xfId="0" applyNumberFormat="1" applyFont="1" applyBorder="1" applyAlignment="1">
      <alignment horizontal="center" vertical="center"/>
    </xf>
    <xf numFmtId="169" fontId="1" fillId="0" borderId="38" xfId="0" applyNumberFormat="1" applyFont="1" applyBorder="1" applyAlignment="1">
      <alignment horizontal="center" vertical="center"/>
    </xf>
    <xf numFmtId="0" fontId="1" fillId="0" borderId="40" xfId="0" applyFont="1" applyBorder="1" applyAlignment="1">
      <alignment horizontal="center" vertical="center" wrapText="1"/>
    </xf>
    <xf numFmtId="0" fontId="1" fillId="0" borderId="40" xfId="0" applyFont="1" applyBorder="1" applyAlignment="1">
      <alignment vertical="center" wrapText="1"/>
    </xf>
    <xf numFmtId="0" fontId="1" fillId="0" borderId="47" xfId="0" applyFont="1" applyBorder="1" applyAlignment="1">
      <alignment horizontal="center" vertical="center" wrapText="1"/>
    </xf>
    <xf numFmtId="0" fontId="1" fillId="0" borderId="1" xfId="0" applyFont="1" applyBorder="1" applyAlignment="1">
      <alignment vertical="center" wrapText="1"/>
    </xf>
    <xf numFmtId="1" fontId="1" fillId="0" borderId="47" xfId="0" applyNumberFormat="1" applyFont="1" applyBorder="1" applyAlignment="1">
      <alignment horizontal="center" vertical="center" wrapText="1"/>
    </xf>
    <xf numFmtId="0" fontId="1" fillId="0" borderId="47" xfId="0" applyFont="1" applyBorder="1" applyAlignment="1">
      <alignment vertical="center" wrapText="1"/>
    </xf>
    <xf numFmtId="1" fontId="1" fillId="0" borderId="1" xfId="0" applyNumberFormat="1" applyFont="1" applyBorder="1" applyAlignment="1">
      <alignment horizontal="center" vertical="center" wrapText="1"/>
    </xf>
    <xf numFmtId="169" fontId="1" fillId="0" borderId="50" xfId="0" applyNumberFormat="1" applyFont="1" applyBorder="1" applyAlignment="1">
      <alignment horizontal="center" vertical="center"/>
    </xf>
    <xf numFmtId="169" fontId="1" fillId="0" borderId="1" xfId="0" applyNumberFormat="1" applyFont="1" applyBorder="1" applyAlignment="1">
      <alignment horizontal="center" vertical="center"/>
    </xf>
    <xf numFmtId="0" fontId="1" fillId="47" borderId="1" xfId="0" applyFont="1" applyFill="1" applyBorder="1"/>
    <xf numFmtId="0" fontId="86" fillId="0" borderId="0" xfId="0" applyFont="1"/>
    <xf numFmtId="0" fontId="21" fillId="0" borderId="48"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67" xfId="0" applyFont="1" applyBorder="1" applyAlignment="1">
      <alignment horizontal="center" vertical="center" wrapText="1"/>
    </xf>
    <xf numFmtId="0" fontId="0" fillId="0" borderId="45" xfId="0" applyBorder="1"/>
    <xf numFmtId="0" fontId="0" fillId="0" borderId="2" xfId="0" applyBorder="1"/>
    <xf numFmtId="0" fontId="0" fillId="0" borderId="55" xfId="0" applyBorder="1"/>
    <xf numFmtId="0" fontId="87" fillId="0" borderId="0" xfId="0" applyFont="1"/>
    <xf numFmtId="0" fontId="0" fillId="0" borderId="0" xfId="0" applyAlignment="1">
      <alignment wrapText="1"/>
    </xf>
    <xf numFmtId="0" fontId="65" fillId="0" borderId="0" xfId="0" applyFont="1" applyAlignment="1">
      <alignment wrapText="1"/>
    </xf>
    <xf numFmtId="0" fontId="88" fillId="0" borderId="0" xfId="0" applyFont="1" applyAlignment="1">
      <alignment vertical="center"/>
    </xf>
    <xf numFmtId="0" fontId="38" fillId="0" borderId="0" xfId="0" applyFont="1" applyAlignment="1">
      <alignment horizontal="left" vertical="center" wrapText="1"/>
    </xf>
    <xf numFmtId="0" fontId="32" fillId="0" borderId="0" xfId="0" applyFont="1" applyAlignment="1">
      <alignment horizontal="left" vertical="center"/>
    </xf>
    <xf numFmtId="11" fontId="1" fillId="0" borderId="0" xfId="0" applyNumberFormat="1" applyFont="1"/>
    <xf numFmtId="0" fontId="1" fillId="0" borderId="1" xfId="0" applyFont="1" applyBorder="1" applyAlignment="1">
      <alignment horizontal="center" vertical="center"/>
    </xf>
    <xf numFmtId="0" fontId="0" fillId="0" borderId="1" xfId="0" applyBorder="1" applyAlignment="1">
      <alignment horizontal="center" vertical="center"/>
    </xf>
    <xf numFmtId="0" fontId="65" fillId="0" borderId="1" xfId="0" applyFont="1" applyBorder="1" applyAlignment="1">
      <alignment horizontal="center" vertical="center" wrapText="1"/>
    </xf>
    <xf numFmtId="0" fontId="55" fillId="0" borderId="0" xfId="0" applyFont="1" applyAlignment="1">
      <alignment horizontal="center" vertical="center" wrapText="1"/>
    </xf>
    <xf numFmtId="0" fontId="1" fillId="0" borderId="1" xfId="0" applyFont="1" applyBorder="1" applyAlignment="1">
      <alignment horizontal="left" vertical="center"/>
    </xf>
    <xf numFmtId="0" fontId="1" fillId="47" borderId="1" xfId="0" applyFont="1" applyFill="1" applyBorder="1" applyAlignment="1">
      <alignment horizontal="center" vertical="center"/>
    </xf>
    <xf numFmtId="0" fontId="1" fillId="47" borderId="36" xfId="0" applyFont="1" applyFill="1" applyBorder="1" applyAlignment="1">
      <alignment horizontal="center"/>
    </xf>
    <xf numFmtId="0" fontId="1" fillId="47" borderId="37" xfId="0" applyFont="1" applyFill="1" applyBorder="1" applyAlignment="1">
      <alignment horizontal="center"/>
    </xf>
    <xf numFmtId="0" fontId="1" fillId="47" borderId="45" xfId="0" applyFont="1" applyFill="1" applyBorder="1" applyAlignment="1">
      <alignment horizontal="center"/>
    </xf>
    <xf numFmtId="0" fontId="1" fillId="0" borderId="1" xfId="0" applyFont="1" applyBorder="1" applyAlignment="1">
      <alignment horizontal="left" vertical="center" wrapText="1"/>
    </xf>
    <xf numFmtId="0" fontId="59" fillId="0" borderId="1" xfId="0" applyFont="1" applyBorder="1" applyAlignment="1">
      <alignment horizontal="left"/>
    </xf>
    <xf numFmtId="0" fontId="53" fillId="48" borderId="41" xfId="0" applyFont="1" applyFill="1" applyBorder="1" applyAlignment="1">
      <alignment horizontal="center" vertical="center"/>
    </xf>
    <xf numFmtId="0" fontId="53" fillId="48" borderId="42" xfId="0" applyFont="1" applyFill="1" applyBorder="1" applyAlignment="1">
      <alignment horizontal="center" vertical="center"/>
    </xf>
    <xf numFmtId="0" fontId="53" fillId="48" borderId="32" xfId="0" applyFont="1" applyFill="1" applyBorder="1" applyAlignment="1">
      <alignment horizontal="center" vertical="center"/>
    </xf>
    <xf numFmtId="0" fontId="53" fillId="48" borderId="43" xfId="0" applyFont="1" applyFill="1" applyBorder="1" applyAlignment="1">
      <alignment horizontal="center" vertical="center"/>
    </xf>
    <xf numFmtId="0" fontId="0" fillId="0" borderId="47" xfId="0" applyBorder="1" applyAlignment="1">
      <alignment horizontal="center" vertical="center" wrapText="1"/>
    </xf>
    <xf numFmtId="0" fontId="0" fillId="0" borderId="50" xfId="0" applyBorder="1"/>
    <xf numFmtId="0" fontId="1" fillId="0" borderId="68" xfId="0" applyFont="1" applyBorder="1" applyAlignment="1">
      <alignment horizontal="center" vertical="center"/>
    </xf>
    <xf numFmtId="0" fontId="0" fillId="0" borderId="52" xfId="0" applyBorder="1"/>
    <xf numFmtId="0" fontId="1" fillId="47" borderId="1" xfId="0" applyFont="1" applyFill="1" applyBorder="1" applyAlignment="1">
      <alignment horizontal="center" vertical="center" wrapText="1"/>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53" fillId="52" borderId="41" xfId="0" applyFont="1" applyFill="1" applyBorder="1" applyAlignment="1">
      <alignment horizontal="center" vertical="center"/>
    </xf>
    <xf numFmtId="0" fontId="53" fillId="52" borderId="42" xfId="0" applyFont="1" applyFill="1" applyBorder="1" applyAlignment="1">
      <alignment horizontal="center" vertical="center"/>
    </xf>
    <xf numFmtId="0" fontId="53" fillId="52" borderId="43" xfId="0" applyFont="1" applyFill="1" applyBorder="1" applyAlignment="1">
      <alignment horizontal="center" vertical="center"/>
    </xf>
    <xf numFmtId="0" fontId="0" fillId="0" borderId="36" xfId="0" applyBorder="1" applyAlignment="1">
      <alignment horizontal="center"/>
    </xf>
    <xf numFmtId="0" fontId="0" fillId="0" borderId="38" xfId="0" applyBorder="1" applyAlignment="1">
      <alignment horizontal="center"/>
    </xf>
    <xf numFmtId="0" fontId="60" fillId="0" borderId="0" xfId="0" applyFont="1" applyAlignment="1">
      <alignment horizontal="center" vertical="center" wrapText="1"/>
    </xf>
    <xf numFmtId="0" fontId="1" fillId="0" borderId="0" xfId="0" applyFont="1" applyAlignment="1">
      <alignment horizontal="center" vertical="center"/>
    </xf>
    <xf numFmtId="0" fontId="51" fillId="0" borderId="36" xfId="0" applyFont="1" applyBorder="1" applyAlignment="1">
      <alignment horizontal="left" vertical="center"/>
    </xf>
    <xf numFmtId="0" fontId="51" fillId="0" borderId="37" xfId="0" applyFont="1" applyBorder="1" applyAlignment="1">
      <alignment horizontal="left" vertical="center"/>
    </xf>
    <xf numFmtId="0" fontId="51" fillId="0" borderId="38" xfId="0" applyFont="1" applyBorder="1" applyAlignment="1">
      <alignment horizontal="left" vertical="center"/>
    </xf>
    <xf numFmtId="0" fontId="1" fillId="47" borderId="36" xfId="0" applyFont="1" applyFill="1" applyBorder="1" applyAlignment="1">
      <alignment horizontal="center" vertical="center"/>
    </xf>
    <xf numFmtId="0" fontId="1" fillId="47" borderId="37" xfId="0" applyFont="1" applyFill="1" applyBorder="1" applyAlignment="1">
      <alignment horizontal="center" vertical="center"/>
    </xf>
    <xf numFmtId="0" fontId="1" fillId="47" borderId="38" xfId="0" applyFont="1" applyFill="1" applyBorder="1" applyAlignment="1">
      <alignment horizontal="center" vertical="center"/>
    </xf>
    <xf numFmtId="0" fontId="32" fillId="0" borderId="1" xfId="0" applyFont="1" applyBorder="1" applyAlignment="1">
      <alignment horizontal="left" vertical="center" wrapText="1"/>
    </xf>
    <xf numFmtId="0" fontId="1" fillId="0" borderId="0" xfId="0" applyFont="1" applyAlignment="1">
      <alignment horizontal="right" vertical="center"/>
    </xf>
    <xf numFmtId="0" fontId="1" fillId="0" borderId="39" xfId="0" applyFont="1" applyBorder="1" applyAlignment="1">
      <alignment horizontal="right" vertical="center"/>
    </xf>
    <xf numFmtId="0" fontId="66" fillId="0" borderId="0" xfId="0" applyFont="1" applyAlignment="1">
      <alignment horizontal="center" vertical="center" wrapText="1"/>
    </xf>
    <xf numFmtId="0" fontId="66" fillId="0" borderId="39"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56" fillId="50" borderId="41" xfId="0" applyFont="1" applyFill="1" applyBorder="1" applyAlignment="1">
      <alignment horizontal="center" vertical="center"/>
    </xf>
    <xf numFmtId="0" fontId="56" fillId="50" borderId="42" xfId="0" applyFont="1" applyFill="1" applyBorder="1" applyAlignment="1">
      <alignment horizontal="center" vertical="center"/>
    </xf>
    <xf numFmtId="0" fontId="56" fillId="50" borderId="43" xfId="0" applyFont="1" applyFill="1" applyBorder="1" applyAlignment="1">
      <alignment horizontal="center" vertical="center"/>
    </xf>
    <xf numFmtId="0" fontId="32" fillId="0" borderId="36" xfId="0" applyFont="1" applyBorder="1" applyAlignment="1">
      <alignment horizontal="center" vertical="center" wrapText="1"/>
    </xf>
    <xf numFmtId="0" fontId="32" fillId="0" borderId="38" xfId="0" applyFont="1" applyBorder="1" applyAlignment="1">
      <alignment horizontal="center" vertical="center" wrapText="1"/>
    </xf>
    <xf numFmtId="0" fontId="58" fillId="0" borderId="0" xfId="0" applyFont="1" applyAlignment="1">
      <alignment horizontal="center" vertical="center" wrapText="1"/>
    </xf>
    <xf numFmtId="0" fontId="53" fillId="56" borderId="41" xfId="0" applyFont="1" applyFill="1" applyBorder="1" applyAlignment="1">
      <alignment horizontal="center" vertical="center"/>
    </xf>
    <xf numFmtId="0" fontId="53" fillId="56" borderId="42" xfId="0" applyFont="1" applyFill="1" applyBorder="1" applyAlignment="1">
      <alignment horizontal="center" vertical="center"/>
    </xf>
    <xf numFmtId="0" fontId="53" fillId="56" borderId="43" xfId="0" applyFont="1" applyFill="1" applyBorder="1" applyAlignment="1">
      <alignment horizontal="center" vertical="center"/>
    </xf>
    <xf numFmtId="0" fontId="32" fillId="0" borderId="49" xfId="0" applyFont="1" applyBorder="1" applyAlignment="1">
      <alignment horizontal="center" vertical="center" wrapText="1"/>
    </xf>
    <xf numFmtId="0" fontId="32" fillId="0" borderId="50" xfId="0" applyFont="1" applyBorder="1" applyAlignment="1">
      <alignment horizontal="center" vertical="center" wrapText="1"/>
    </xf>
    <xf numFmtId="0" fontId="0" fillId="0" borderId="51" xfId="0" applyBorder="1" applyAlignment="1">
      <alignment horizontal="center"/>
    </xf>
    <xf numFmtId="0" fontId="0" fillId="0" borderId="52" xfId="0" applyBorder="1" applyAlignment="1">
      <alignment horizontal="center"/>
    </xf>
    <xf numFmtId="0" fontId="71" fillId="0" borderId="0" xfId="0" applyFont="1" applyAlignment="1">
      <alignment horizontal="center" vertical="center" wrapText="1"/>
    </xf>
    <xf numFmtId="0" fontId="47" fillId="0" borderId="36" xfId="0" applyFont="1" applyBorder="1" applyAlignment="1">
      <alignment horizontal="center" vertical="center" wrapText="1"/>
    </xf>
    <xf numFmtId="0" fontId="47" fillId="0" borderId="38" xfId="0" applyFont="1" applyBorder="1" applyAlignment="1">
      <alignment horizontal="center" vertical="center" wrapText="1"/>
    </xf>
    <xf numFmtId="0" fontId="32" fillId="0" borderId="36" xfId="0" applyFont="1" applyBorder="1" applyAlignment="1">
      <alignment horizontal="center" vertical="center"/>
    </xf>
    <xf numFmtId="0" fontId="32" fillId="0" borderId="38" xfId="0" applyFont="1"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2" fillId="0" borderId="36" xfId="0" applyFont="1" applyBorder="1" applyAlignment="1">
      <alignment horizontal="center" vertical="center"/>
    </xf>
    <xf numFmtId="0" fontId="2" fillId="0" borderId="38" xfId="0" applyFont="1" applyBorder="1" applyAlignment="1">
      <alignment horizontal="center" vertical="center"/>
    </xf>
    <xf numFmtId="0" fontId="2" fillId="0" borderId="49" xfId="0" applyFont="1" applyBorder="1" applyAlignment="1">
      <alignment horizontal="center" vertical="center"/>
    </xf>
    <xf numFmtId="0" fontId="2" fillId="0" borderId="50" xfId="0" applyFont="1" applyBorder="1" applyAlignment="1">
      <alignment horizontal="center" vertical="center"/>
    </xf>
    <xf numFmtId="0" fontId="0" fillId="0" borderId="2" xfId="0" applyBorder="1" applyAlignment="1">
      <alignment horizontal="center" vertical="center"/>
    </xf>
    <xf numFmtId="0" fontId="0" fillId="0" borderId="54" xfId="0" applyBorder="1" applyAlignment="1">
      <alignment horizontal="center" vertical="center"/>
    </xf>
    <xf numFmtId="0" fontId="0" fillId="0" borderId="40" xfId="0" applyBorder="1" applyAlignment="1">
      <alignment horizontal="center" vertical="center"/>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51" borderId="41" xfId="0" applyFont="1" applyFill="1" applyBorder="1" applyAlignment="1">
      <alignment horizontal="center" vertical="center"/>
    </xf>
    <xf numFmtId="0" fontId="1" fillId="51" borderId="42" xfId="0" applyFont="1" applyFill="1" applyBorder="1" applyAlignment="1">
      <alignment horizontal="center" vertical="center"/>
    </xf>
    <xf numFmtId="0" fontId="1" fillId="51" borderId="43" xfId="0" applyFont="1" applyFill="1" applyBorder="1" applyAlignment="1">
      <alignment horizontal="center" vertical="center"/>
    </xf>
    <xf numFmtId="0" fontId="38" fillId="0" borderId="0" xfId="0" applyFont="1" applyAlignment="1">
      <alignment horizontal="left" vertical="center" wrapText="1"/>
    </xf>
    <xf numFmtId="0" fontId="38" fillId="0" borderId="57" xfId="0" applyFont="1" applyBorder="1" applyAlignment="1">
      <alignment horizontal="left" vertical="center" wrapText="1"/>
    </xf>
    <xf numFmtId="1" fontId="1" fillId="0" borderId="36" xfId="0" applyNumberFormat="1" applyFont="1" applyBorder="1" applyAlignment="1">
      <alignment horizontal="center" vertical="center" wrapText="1"/>
    </xf>
    <xf numFmtId="1" fontId="1" fillId="0" borderId="37" xfId="0" applyNumberFormat="1" applyFont="1" applyBorder="1" applyAlignment="1">
      <alignment horizontal="center" vertical="center" wrapText="1"/>
    </xf>
    <xf numFmtId="1" fontId="1" fillId="0" borderId="38" xfId="0" applyNumberFormat="1" applyFont="1" applyBorder="1" applyAlignment="1">
      <alignment horizontal="center" vertical="center" wrapText="1"/>
    </xf>
    <xf numFmtId="0" fontId="1" fillId="0" borderId="34" xfId="0" applyFont="1" applyBorder="1" applyAlignment="1">
      <alignment horizontal="lef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wrapText="1"/>
    </xf>
    <xf numFmtId="0" fontId="50" fillId="49" borderId="41" xfId="0" applyFont="1" applyFill="1" applyBorder="1" applyAlignment="1">
      <alignment horizontal="center" vertical="center"/>
    </xf>
    <xf numFmtId="0" fontId="50" fillId="49" borderId="42" xfId="0" applyFont="1" applyFill="1" applyBorder="1" applyAlignment="1">
      <alignment horizontal="center" vertical="center"/>
    </xf>
    <xf numFmtId="0" fontId="50" fillId="49" borderId="43" xfId="0" applyFont="1" applyFill="1" applyBorder="1" applyAlignment="1">
      <alignment horizontal="center" vertical="center"/>
    </xf>
    <xf numFmtId="0" fontId="1" fillId="0" borderId="37" xfId="0" applyFont="1" applyBorder="1" applyAlignment="1">
      <alignment horizontal="center" vertical="center"/>
    </xf>
    <xf numFmtId="0" fontId="54" fillId="54" borderId="36" xfId="0" applyFont="1" applyFill="1" applyBorder="1" applyAlignment="1">
      <alignment horizontal="center" vertical="center"/>
    </xf>
    <xf numFmtId="0" fontId="54" fillId="54" borderId="37" xfId="0" applyFont="1" applyFill="1" applyBorder="1" applyAlignment="1">
      <alignment horizontal="center" vertical="center"/>
    </xf>
    <xf numFmtId="0" fontId="54" fillId="54" borderId="38" xfId="0" applyFont="1" applyFill="1" applyBorder="1" applyAlignment="1">
      <alignment horizontal="center" vertical="center"/>
    </xf>
    <xf numFmtId="0" fontId="36" fillId="0" borderId="1" xfId="0" applyFont="1" applyBorder="1" applyAlignment="1">
      <alignment horizontal="center" vertical="center"/>
    </xf>
    <xf numFmtId="0" fontId="1" fillId="0" borderId="36" xfId="0" applyFont="1" applyBorder="1" applyAlignment="1">
      <alignment horizontal="left" vertical="center"/>
    </xf>
    <xf numFmtId="0" fontId="1" fillId="0" borderId="37" xfId="0" applyFont="1" applyBorder="1" applyAlignment="1">
      <alignment horizontal="left" vertical="center"/>
    </xf>
    <xf numFmtId="0" fontId="1" fillId="0" borderId="38" xfId="0" applyFont="1" applyBorder="1" applyAlignment="1">
      <alignment horizontal="left" vertical="center"/>
    </xf>
    <xf numFmtId="0" fontId="64" fillId="0" borderId="36" xfId="0" applyFont="1" applyBorder="1" applyAlignment="1">
      <alignment horizontal="left" vertical="center"/>
    </xf>
    <xf numFmtId="0" fontId="55" fillId="0" borderId="37" xfId="0" applyFont="1" applyBorder="1" applyAlignment="1">
      <alignment horizontal="left" vertical="center"/>
    </xf>
    <xf numFmtId="0" fontId="55" fillId="0" borderId="38" xfId="0" applyFont="1" applyBorder="1" applyAlignment="1">
      <alignment horizontal="left" vertical="center"/>
    </xf>
    <xf numFmtId="0" fontId="32" fillId="47" borderId="36" xfId="0" applyFont="1" applyFill="1" applyBorder="1" applyAlignment="1">
      <alignment horizontal="center" wrapText="1"/>
    </xf>
    <xf numFmtId="0" fontId="32" fillId="47" borderId="37" xfId="0" applyFont="1" applyFill="1" applyBorder="1" applyAlignment="1">
      <alignment horizontal="center" wrapText="1"/>
    </xf>
    <xf numFmtId="0" fontId="32" fillId="47" borderId="38" xfId="0" applyFont="1" applyFill="1" applyBorder="1" applyAlignment="1">
      <alignment horizontal="center" wrapText="1"/>
    </xf>
    <xf numFmtId="0" fontId="0" fillId="0" borderId="1" xfId="0" applyBorder="1" applyAlignment="1">
      <alignment horizontal="center" vertical="center" wrapText="1"/>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38" fillId="0" borderId="47" xfId="0" applyFont="1" applyBorder="1" applyAlignment="1">
      <alignment horizontal="center" vertical="center" wrapText="1"/>
    </xf>
    <xf numFmtId="0" fontId="0" fillId="0" borderId="34" xfId="0" applyBorder="1" applyAlignment="1">
      <alignment horizontal="left" vertical="center" wrapText="1"/>
    </xf>
    <xf numFmtId="0" fontId="0" fillId="0" borderId="0" xfId="0" applyAlignment="1">
      <alignment horizontal="left" vertical="center" wrapText="1"/>
    </xf>
    <xf numFmtId="0" fontId="50" fillId="0" borderId="1" xfId="0" applyFont="1" applyBorder="1" applyAlignment="1">
      <alignment horizontal="center" vertical="center"/>
    </xf>
    <xf numFmtId="0" fontId="16" fillId="0" borderId="0" xfId="0" applyFont="1" applyAlignment="1">
      <alignment horizontal="center" vertical="center" wrapText="1" shrinkToFit="1"/>
    </xf>
    <xf numFmtId="0" fontId="38" fillId="0" borderId="1" xfId="0" applyFont="1" applyBorder="1" applyAlignment="1">
      <alignment horizontal="center" vertical="center" wrapText="1"/>
    </xf>
    <xf numFmtId="0" fontId="50" fillId="0" borderId="36" xfId="0" applyFont="1" applyBorder="1" applyAlignment="1">
      <alignment horizontal="center" vertical="center"/>
    </xf>
    <xf numFmtId="0" fontId="50" fillId="0" borderId="38" xfId="0" applyFont="1" applyBorder="1" applyAlignment="1">
      <alignment horizontal="center" vertical="center"/>
    </xf>
    <xf numFmtId="0" fontId="38" fillId="0" borderId="49" xfId="0" applyFont="1" applyBorder="1" applyAlignment="1">
      <alignment horizontal="center" vertical="center" wrapText="1"/>
    </xf>
    <xf numFmtId="0" fontId="38" fillId="0" borderId="50" xfId="0" applyFont="1" applyBorder="1" applyAlignment="1">
      <alignment horizontal="center" vertical="center" wrapText="1"/>
    </xf>
    <xf numFmtId="0" fontId="57" fillId="0" borderId="1" xfId="0" applyFont="1" applyBorder="1" applyAlignment="1">
      <alignment horizontal="center" vertical="center"/>
    </xf>
    <xf numFmtId="0" fontId="57" fillId="0" borderId="36" xfId="0" applyFont="1" applyBorder="1" applyAlignment="1">
      <alignment horizontal="center" vertical="center" wrapText="1"/>
    </xf>
    <xf numFmtId="0" fontId="57" fillId="0" borderId="37" xfId="0" applyFont="1" applyBorder="1" applyAlignment="1">
      <alignment horizontal="center" vertical="center" wrapText="1"/>
    </xf>
    <xf numFmtId="0" fontId="57" fillId="0" borderId="38" xfId="0" applyFont="1" applyBorder="1" applyAlignment="1">
      <alignment horizontal="center" vertical="center" wrapText="1"/>
    </xf>
    <xf numFmtId="0" fontId="57" fillId="0" borderId="1" xfId="0" applyFont="1" applyBorder="1" applyAlignment="1">
      <alignment horizontal="center" vertical="center" wrapText="1"/>
    </xf>
    <xf numFmtId="14" fontId="57" fillId="0" borderId="36" xfId="0" applyNumberFormat="1" applyFont="1" applyBorder="1" applyAlignment="1">
      <alignment horizontal="center" vertical="center" wrapText="1"/>
    </xf>
    <xf numFmtId="1" fontId="57" fillId="0" borderId="36" xfId="0" applyNumberFormat="1" applyFont="1" applyBorder="1" applyAlignment="1">
      <alignment horizontal="center" vertical="center" wrapText="1"/>
    </xf>
    <xf numFmtId="1" fontId="57" fillId="0" borderId="37" xfId="0" applyNumberFormat="1" applyFont="1" applyBorder="1" applyAlignment="1">
      <alignment horizontal="center" vertical="center" wrapText="1"/>
    </xf>
    <xf numFmtId="1" fontId="57" fillId="0" borderId="38" xfId="0" applyNumberFormat="1" applyFont="1" applyBorder="1" applyAlignment="1">
      <alignment horizontal="center" vertical="center" wrapText="1"/>
    </xf>
    <xf numFmtId="0" fontId="0" fillId="0" borderId="37" xfId="0" applyBorder="1"/>
    <xf numFmtId="0" fontId="0" fillId="0" borderId="38" xfId="0" applyBorder="1"/>
    <xf numFmtId="0" fontId="0" fillId="0" borderId="39" xfId="0" applyBorder="1"/>
    <xf numFmtId="0" fontId="1" fillId="0" borderId="0" xfId="0" applyFont="1"/>
    <xf numFmtId="0" fontId="51" fillId="0" borderId="1" xfId="0" applyFont="1" applyBorder="1" applyAlignment="1">
      <alignment horizontal="left" vertical="center"/>
    </xf>
    <xf numFmtId="0" fontId="53" fillId="48" borderId="44" xfId="0" applyFont="1" applyFill="1" applyBorder="1" applyAlignment="1">
      <alignment horizontal="center" vertical="center"/>
    </xf>
    <xf numFmtId="0" fontId="0" fillId="0" borderId="42" xfId="0" applyBorder="1"/>
    <xf numFmtId="0" fontId="0" fillId="0" borderId="43" xfId="0" applyBorder="1"/>
    <xf numFmtId="0" fontId="0" fillId="0" borderId="47" xfId="0" applyBorder="1" applyAlignment="1">
      <alignment horizontal="center" vertical="center"/>
    </xf>
    <xf numFmtId="0" fontId="16" fillId="0" borderId="0" xfId="0" applyFont="1" applyAlignment="1">
      <alignment horizontal="center" vertical="center"/>
    </xf>
    <xf numFmtId="0" fontId="64" fillId="0" borderId="1" xfId="0" applyFont="1" applyBorder="1" applyAlignment="1">
      <alignment horizontal="left" vertical="center"/>
    </xf>
    <xf numFmtId="0" fontId="1" fillId="47" borderId="1" xfId="0" applyFont="1" applyFill="1" applyBorder="1" applyAlignment="1">
      <alignment horizontal="center"/>
    </xf>
    <xf numFmtId="0" fontId="50" fillId="49" borderId="44" xfId="0" applyFont="1" applyFill="1" applyBorder="1" applyAlignment="1">
      <alignment horizontal="center" vertical="center"/>
    </xf>
    <xf numFmtId="0" fontId="0" fillId="0" borderId="69" xfId="0" applyBorder="1"/>
    <xf numFmtId="0" fontId="1" fillId="51" borderId="44" xfId="0" applyFont="1" applyFill="1" applyBorder="1" applyAlignment="1">
      <alignment horizontal="center" vertical="center"/>
    </xf>
    <xf numFmtId="0" fontId="0" fillId="0" borderId="34" xfId="0" applyBorder="1"/>
    <xf numFmtId="0" fontId="0" fillId="0" borderId="54" xfId="0" applyBorder="1"/>
    <xf numFmtId="0" fontId="0" fillId="0" borderId="40" xfId="0" applyBorder="1"/>
    <xf numFmtId="0" fontId="56" fillId="50" borderId="44" xfId="0" applyFont="1" applyFill="1" applyBorder="1" applyAlignment="1">
      <alignment horizontal="center" vertical="center"/>
    </xf>
    <xf numFmtId="14" fontId="57" fillId="0" borderId="1" xfId="0" quotePrefix="1" applyNumberFormat="1" applyFont="1" applyBorder="1" applyAlignment="1">
      <alignment horizontal="center" vertical="center" wrapText="1"/>
    </xf>
    <xf numFmtId="1" fontId="57" fillId="0" borderId="1" xfId="0" applyNumberFormat="1" applyFont="1" applyBorder="1" applyAlignment="1">
      <alignment horizontal="center" vertical="center" wrapText="1"/>
    </xf>
    <xf numFmtId="0" fontId="74" fillId="0" borderId="56" xfId="0" applyFont="1" applyBorder="1" applyAlignment="1">
      <alignment horizontal="center" wrapText="1"/>
    </xf>
    <xf numFmtId="0" fontId="74" fillId="0" borderId="0" xfId="0" applyFont="1" applyAlignment="1">
      <alignment horizontal="center" wrapText="1"/>
    </xf>
    <xf numFmtId="0" fontId="32" fillId="0" borderId="49" xfId="0" applyFont="1" applyBorder="1" applyAlignment="1">
      <alignment horizontal="center" vertical="center"/>
    </xf>
    <xf numFmtId="0" fontId="32" fillId="0" borderId="50" xfId="0" applyFont="1" applyBorder="1" applyAlignment="1">
      <alignment horizontal="center" vertical="center"/>
    </xf>
    <xf numFmtId="2" fontId="1" fillId="0" borderId="51" xfId="0" applyNumberFormat="1" applyFont="1" applyBorder="1" applyAlignment="1">
      <alignment horizontal="center" vertical="center"/>
    </xf>
    <xf numFmtId="2" fontId="1" fillId="0" borderId="52" xfId="0" applyNumberFormat="1" applyFont="1" applyBorder="1" applyAlignment="1">
      <alignment horizontal="center" vertical="center"/>
    </xf>
    <xf numFmtId="0" fontId="1" fillId="47" borderId="38" xfId="0" applyFont="1" applyFill="1" applyBorder="1" applyAlignment="1">
      <alignment horizontal="center"/>
    </xf>
    <xf numFmtId="2" fontId="1" fillId="0" borderId="36" xfId="0" applyNumberFormat="1" applyFont="1" applyBorder="1" applyAlignment="1">
      <alignment horizontal="center" vertical="center"/>
    </xf>
    <xf numFmtId="2" fontId="1" fillId="0" borderId="38" xfId="0" applyNumberFormat="1" applyFont="1" applyBorder="1" applyAlignment="1">
      <alignment horizontal="center" vertical="center"/>
    </xf>
    <xf numFmtId="0" fontId="58" fillId="0" borderId="60" xfId="0" applyFont="1" applyBorder="1" applyAlignment="1">
      <alignment horizontal="center" vertical="center"/>
    </xf>
    <xf numFmtId="0" fontId="58" fillId="0" borderId="61" xfId="0" applyFont="1" applyBorder="1" applyAlignment="1">
      <alignment horizontal="center" vertical="center"/>
    </xf>
    <xf numFmtId="0" fontId="0" fillId="0" borderId="0" xfId="0" applyAlignment="1">
      <alignment horizontal="center" vertical="center"/>
    </xf>
    <xf numFmtId="0" fontId="52" fillId="0" borderId="62" xfId="0" applyFont="1" applyBorder="1" applyAlignment="1">
      <alignment horizontal="center" vertical="center" wrapText="1"/>
    </xf>
    <xf numFmtId="0" fontId="52" fillId="0" borderId="63" xfId="0" applyFont="1" applyBorder="1" applyAlignment="1">
      <alignment horizontal="center" vertical="center" wrapText="1"/>
    </xf>
    <xf numFmtId="0" fontId="52" fillId="0" borderId="64" xfId="0" applyFont="1" applyBorder="1" applyAlignment="1">
      <alignment horizontal="center" vertical="center" wrapText="1"/>
    </xf>
    <xf numFmtId="0" fontId="2" fillId="0" borderId="65" xfId="0" applyFont="1" applyBorder="1" applyAlignment="1">
      <alignment horizontal="center" vertical="center"/>
    </xf>
    <xf numFmtId="0" fontId="32" fillId="0" borderId="0" xfId="0" applyFont="1" applyAlignment="1">
      <alignment horizontal="center" vertical="center"/>
    </xf>
    <xf numFmtId="0" fontId="0" fillId="0" borderId="0" xfId="0" applyAlignment="1">
      <alignment horizontal="center"/>
    </xf>
    <xf numFmtId="0" fontId="67" fillId="43" borderId="41" xfId="0" applyFont="1" applyFill="1" applyBorder="1" applyAlignment="1">
      <alignment horizontal="center" vertical="center"/>
    </xf>
    <xf numFmtId="0" fontId="67" fillId="43" borderId="42" xfId="0" applyFont="1" applyFill="1" applyBorder="1" applyAlignment="1">
      <alignment horizontal="center" vertical="center"/>
    </xf>
    <xf numFmtId="0" fontId="67" fillId="43" borderId="43" xfId="0" applyFont="1" applyFill="1" applyBorder="1" applyAlignment="1">
      <alignment horizontal="center" vertical="center"/>
    </xf>
    <xf numFmtId="0" fontId="16" fillId="0" borderId="0" xfId="0" applyFont="1" applyAlignment="1">
      <alignment horizontal="center" vertical="center" wrapText="1"/>
    </xf>
    <xf numFmtId="0" fontId="1" fillId="51" borderId="29" xfId="0" applyFont="1" applyFill="1" applyBorder="1" applyAlignment="1">
      <alignment horizontal="center" vertical="center"/>
    </xf>
    <xf numFmtId="0" fontId="82" fillId="0" borderId="0" xfId="0" applyFont="1" applyAlignment="1">
      <alignment horizontal="center" vertical="center"/>
    </xf>
    <xf numFmtId="0" fontId="2" fillId="55" borderId="55" xfId="0" applyFont="1" applyFill="1" applyBorder="1" applyAlignment="1">
      <alignment horizontal="center" vertical="center" wrapText="1"/>
    </xf>
    <xf numFmtId="0" fontId="2" fillId="55" borderId="45" xfId="0" applyFont="1" applyFill="1" applyBorder="1" applyAlignment="1">
      <alignment horizontal="center" vertical="center" wrapText="1"/>
    </xf>
    <xf numFmtId="0" fontId="2" fillId="55" borderId="56" xfId="0" applyFont="1" applyFill="1" applyBorder="1" applyAlignment="1">
      <alignment horizontal="center" vertical="center" wrapText="1"/>
    </xf>
    <xf numFmtId="0" fontId="2" fillId="55" borderId="39" xfId="0" applyFont="1" applyFill="1" applyBorder="1" applyAlignment="1">
      <alignment horizontal="center" vertical="center" wrapText="1"/>
    </xf>
    <xf numFmtId="0" fontId="2" fillId="0" borderId="56" xfId="0" applyFont="1" applyBorder="1" applyAlignment="1">
      <alignment horizontal="center" vertical="center" wrapText="1"/>
    </xf>
    <xf numFmtId="0" fontId="2" fillId="0" borderId="39" xfId="0" applyFont="1" applyBorder="1" applyAlignment="1">
      <alignment horizontal="center" vertical="center" wrapText="1"/>
    </xf>
    <xf numFmtId="0" fontId="2" fillId="55" borderId="46" xfId="0" applyFont="1" applyFill="1" applyBorder="1" applyAlignment="1">
      <alignment horizontal="center" vertical="center"/>
    </xf>
    <xf numFmtId="0" fontId="2" fillId="55" borderId="70" xfId="0" applyFont="1" applyFill="1" applyBorder="1" applyAlignment="1">
      <alignment horizontal="center" vertical="center"/>
    </xf>
    <xf numFmtId="0" fontId="80" fillId="0" borderId="65" xfId="0" applyFont="1" applyBorder="1" applyAlignment="1">
      <alignment horizontal="center" vertical="center"/>
    </xf>
    <xf numFmtId="0" fontId="81" fillId="0" borderId="0" xfId="0" applyFont="1" applyAlignment="1">
      <alignment horizontal="center" vertical="center"/>
    </xf>
    <xf numFmtId="0" fontId="47" fillId="33" borderId="0" xfId="44" applyFont="1" applyFill="1" applyAlignment="1">
      <alignment horizontal="left" vertical="center" wrapText="1" indent="2"/>
    </xf>
    <xf numFmtId="0" fontId="30" fillId="33" borderId="0" xfId="44" applyFont="1" applyFill="1" applyAlignment="1">
      <alignment horizontal="center" vertical="center"/>
    </xf>
    <xf numFmtId="0" fontId="31" fillId="33" borderId="0" xfId="44" applyFont="1" applyFill="1" applyAlignment="1">
      <alignment horizontal="left" vertical="center"/>
    </xf>
    <xf numFmtId="0" fontId="32" fillId="35" borderId="0" xfId="44" applyFont="1" applyFill="1" applyAlignment="1">
      <alignment horizontal="center" vertical="center" wrapText="1"/>
    </xf>
    <xf numFmtId="0" fontId="33" fillId="33" borderId="0" xfId="44" applyFont="1" applyFill="1" applyAlignment="1">
      <alignment horizontal="left"/>
    </xf>
    <xf numFmtId="0" fontId="3" fillId="35" borderId="0" xfId="44" applyFont="1" applyFill="1" applyAlignment="1">
      <alignment horizontal="center" vertical="center"/>
    </xf>
    <xf numFmtId="0" fontId="35" fillId="33" borderId="0" xfId="44" applyFont="1" applyFill="1" applyAlignment="1">
      <alignment horizontal="left" vertical="center"/>
    </xf>
    <xf numFmtId="0" fontId="28" fillId="33" borderId="0" xfId="44" applyFill="1" applyAlignment="1">
      <alignment horizontal="left" vertical="center"/>
    </xf>
    <xf numFmtId="0" fontId="3" fillId="35" borderId="0" xfId="44" applyFont="1" applyFill="1" applyAlignment="1">
      <alignment horizontal="center" vertical="center" wrapText="1"/>
    </xf>
    <xf numFmtId="0" fontId="37" fillId="33" borderId="0" xfId="44" applyFont="1" applyFill="1" applyAlignment="1">
      <alignment horizontal="left" vertical="top" wrapText="1"/>
    </xf>
    <xf numFmtId="0" fontId="38" fillId="33" borderId="0" xfId="44" applyFont="1" applyFill="1" applyAlignment="1">
      <alignment horizontal="left"/>
    </xf>
    <xf numFmtId="0" fontId="39" fillId="33" borderId="12" xfId="44" applyFont="1" applyFill="1" applyBorder="1" applyAlignment="1">
      <alignment horizontal="left" vertical="center"/>
    </xf>
    <xf numFmtId="0" fontId="29" fillId="33" borderId="0" xfId="43" applyFont="1" applyFill="1" applyAlignment="1">
      <alignment horizontal="left" vertical="center"/>
    </xf>
    <xf numFmtId="0" fontId="25" fillId="33" borderId="0" xfId="43" applyFont="1" applyFill="1" applyAlignment="1">
      <alignment horizontal="left" vertical="center"/>
    </xf>
    <xf numFmtId="0" fontId="24" fillId="34" borderId="0" xfId="43" applyFont="1" applyFill="1" applyAlignment="1">
      <alignment horizontal="center" vertical="center"/>
    </xf>
    <xf numFmtId="0" fontId="25" fillId="34" borderId="0" xfId="43" applyFont="1" applyFill="1" applyAlignment="1">
      <alignment horizontal="left" vertical="center"/>
    </xf>
    <xf numFmtId="0" fontId="29" fillId="33" borderId="0" xfId="43" applyFont="1" applyFill="1" applyAlignment="1">
      <alignment horizontal="left" vertic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A54C125-9312-47AA-ABF8-648F8CB78BE8}"/>
    <cellStyle name="Normal 3" xfId="43" xr:uid="{54B5A4EC-D212-4D47-8744-24AAA6086A12}"/>
    <cellStyle name="Normal 4" xfId="44" xr:uid="{F45F9FB7-C014-489F-9CC6-40D9C33BB16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numFmt numFmtId="0" formatCode="General"/>
      <border diagonalUp="0" diagonalDown="0">
        <left style="thin">
          <color indexed="64"/>
        </left>
        <right style="thin">
          <color indexed="64"/>
        </right>
        <top style="thin">
          <color indexed="64"/>
        </top>
        <bottom style="thin">
          <color indexed="64"/>
        </bottom>
        <vertical/>
        <horizontal/>
      </border>
    </dxf>
    <dxf>
      <font>
        <color theme="0"/>
      </font>
      <fill>
        <patternFill patternType="solid">
          <fgColor indexed="64"/>
          <bgColor theme="0"/>
        </patternFill>
      </fill>
      <border>
        <right style="thin">
          <color theme="0"/>
        </right>
        <top style="thin">
          <color theme="0"/>
        </top>
        <bottom style="thin">
          <color theme="0"/>
        </bottom>
      </border>
    </dxf>
    <dxf>
      <font>
        <color rgb="FFC00000"/>
      </font>
      <fill>
        <patternFill>
          <bgColor theme="6" tint="0.79998168889431442"/>
        </patternFill>
      </fill>
    </dxf>
    <dxf>
      <fill>
        <patternFill patternType="solid">
          <fgColor rgb="FFFFF2CC"/>
          <bgColor rgb="FFFFF2CC"/>
        </patternFill>
      </fill>
    </dxf>
    <dxf>
      <font>
        <color rgb="FFC00000"/>
      </font>
    </dxf>
    <dxf>
      <font>
        <b/>
        <color rgb="FFFF0000"/>
      </font>
      <fill>
        <patternFill patternType="solid">
          <fgColor rgb="FFFFF2CC"/>
          <bgColor rgb="FFFFF2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amily val="2"/>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medium">
          <color theme="1" tint="0.34998626667073579"/>
        </left>
        <right style="medium">
          <color theme="1" tint="0.34998626667073579"/>
        </right>
        <top/>
        <bottom/>
        <vertical/>
        <horizontal/>
      </border>
      <protection locked="1" hidden="0"/>
    </dxf>
    <dxf>
      <font>
        <strike val="0"/>
        <outline val="0"/>
        <shadow val="0"/>
        <u val="none"/>
        <vertAlign val="baseline"/>
        <sz val="10"/>
        <name val="Calibri"/>
        <family val="2"/>
        <scheme val="minor"/>
      </font>
      <numFmt numFmtId="3" formatCode="#,##0"/>
      <fill>
        <patternFill patternType="solid">
          <bgColor theme="0"/>
        </patternFill>
      </fill>
      <border diagonalUp="0" diagonalDown="0">
        <left/>
        <right style="medium">
          <color theme="1" tint="0.34998626667073579"/>
        </right>
        <top/>
        <bottom/>
      </border>
      <protection locked="1" hidden="0"/>
    </dxf>
    <dxf>
      <font>
        <b/>
        <strike val="0"/>
        <outline val="0"/>
        <shadow val="0"/>
        <u val="none"/>
        <vertAlign val="baseline"/>
        <sz val="10"/>
        <color theme="1"/>
        <name val="Calibri"/>
        <family val="2"/>
        <scheme val="minor"/>
      </font>
      <numFmt numFmtId="171" formatCode="#.0\ \µ\L"/>
      <fill>
        <patternFill patternType="solid">
          <bgColor theme="7" tint="0.79998168889431442"/>
        </patternFill>
      </fill>
      <alignment horizontal="center" vertical="bottom" textRotation="0" wrapText="0" indent="0" justifyLastLine="0" shrinkToFit="0" readingOrder="0"/>
      <protection locked="1" hidden="0"/>
    </dxf>
    <dxf>
      <font>
        <strike val="0"/>
        <outline val="0"/>
        <shadow val="0"/>
        <u val="none"/>
        <vertAlign val="baseline"/>
        <sz val="10"/>
        <name val="Calibri"/>
        <family val="2"/>
        <scheme val="minor"/>
      </font>
      <numFmt numFmtId="3" formatCode="#,##0"/>
      <fill>
        <patternFill patternType="solid">
          <bgColor theme="0"/>
        </patternFill>
      </fill>
      <protection locked="1" hidden="0"/>
    </dxf>
    <dxf>
      <font>
        <strike val="0"/>
        <outline val="0"/>
        <shadow val="0"/>
        <u val="none"/>
        <vertAlign val="baseline"/>
        <sz val="10"/>
        <name val="Calibri"/>
        <family val="2"/>
        <scheme val="minor"/>
      </font>
      <numFmt numFmtId="13" formatCode="0%"/>
      <fill>
        <patternFill patternType="solid">
          <bgColor theme="0"/>
        </patternFill>
      </fill>
      <protection locked="1" hidden="0"/>
    </dxf>
    <dxf>
      <font>
        <strike val="0"/>
        <outline val="0"/>
        <shadow val="0"/>
        <u val="none"/>
        <vertAlign val="baseline"/>
        <sz val="10"/>
        <name val="Calibri"/>
        <family val="2"/>
        <scheme val="minor"/>
      </font>
      <numFmt numFmtId="3" formatCode="#,##0"/>
      <fill>
        <patternFill patternType="solid">
          <bgColor theme="0"/>
        </patternFill>
      </fill>
      <protection locked="1" hidden="0"/>
    </dxf>
    <dxf>
      <fill>
        <patternFill patternType="solid">
          <bgColor theme="0"/>
        </patternFill>
      </fill>
      <protection locked="1" hidden="0"/>
    </dxf>
    <dxf>
      <fill>
        <patternFill patternType="solid">
          <bgColor theme="0"/>
        </patternFill>
      </fill>
      <protection locked="1" hidden="0"/>
    </dxf>
    <dxf>
      <fill>
        <patternFill patternType="solid">
          <bgColor theme="0"/>
        </patternFill>
      </fill>
      <protection locked="1" hidden="0"/>
    </dxf>
    <dxf>
      <font>
        <b/>
        <i val="0"/>
        <strike val="0"/>
        <condense val="0"/>
        <extend val="0"/>
        <outline val="0"/>
        <shadow val="0"/>
        <u val="none"/>
        <vertAlign val="baseline"/>
        <sz val="10"/>
        <color theme="1"/>
        <name val="Calibri"/>
        <family val="2"/>
        <scheme val="minor"/>
      </font>
      <numFmt numFmtId="3" formatCode="#,##0"/>
      <fill>
        <patternFill patternType="solid">
          <bgColor theme="0"/>
        </patternFill>
      </fill>
      <alignment horizontal="center" vertical="bottom" textRotation="0" wrapText="0" indent="0" justifyLastLine="0" shrinkToFit="0" readingOrder="0"/>
      <protection locked="1" hidden="0"/>
    </dxf>
    <dxf>
      <fill>
        <patternFill patternType="solid">
          <bgColor theme="0"/>
        </patternFill>
      </fill>
      <protection locked="1" hidden="0"/>
    </dxf>
    <dxf>
      <font>
        <b/>
        <i val="0"/>
        <strike val="0"/>
        <condense val="0"/>
        <extend val="0"/>
        <outline val="0"/>
        <shadow val="0"/>
        <u val="none"/>
        <vertAlign val="baseline"/>
        <sz val="10"/>
        <color theme="1"/>
        <name val="Calibri"/>
        <family val="2"/>
        <scheme val="minor"/>
      </font>
      <fill>
        <patternFill patternType="solid">
          <bgColor theme="0"/>
        </patternFill>
      </fill>
      <alignment horizontal="center" vertical="bottom" textRotation="0" wrapText="0" indent="0" justifyLastLine="0" shrinkToFit="0" readingOrder="0"/>
      <protection locked="1" hidden="0"/>
    </dxf>
    <dxf>
      <border>
        <bottom style="thin">
          <color indexed="64"/>
        </bottom>
      </border>
    </dxf>
    <dxf>
      <font>
        <strike val="0"/>
        <outline val="0"/>
        <shadow val="0"/>
        <u val="none"/>
        <vertAlign val="baseline"/>
        <color theme="0"/>
        <name val="Arial"/>
        <family val="2"/>
      </font>
      <fill>
        <patternFill patternType="solid">
          <bgColor theme="1" tint="0.34998626667073579"/>
        </patternFill>
      </fill>
      <border diagonalUp="0" diagonalDown="0">
        <left/>
        <right/>
        <top/>
        <bottom/>
        <vertical/>
        <horizontal/>
      </border>
      <protection locked="1" hidden="0"/>
    </dxf>
    <dxf>
      <font>
        <strike val="0"/>
        <outline val="0"/>
        <shadow val="0"/>
        <u val="none"/>
        <vertAlign val="baseline"/>
        <sz val="10"/>
        <color theme="1"/>
        <name val="Calibri"/>
        <family val="2"/>
        <scheme val="minor"/>
      </font>
      <numFmt numFmtId="168" formatCode="#\ \µ\L"/>
      <fill>
        <patternFill patternType="solid">
          <fgColor rgb="FFE0F7FA"/>
          <bgColor theme="0"/>
        </patternFill>
      </fill>
      <alignment horizontal="center" vertical="bottom" textRotation="0" wrapText="0" indent="0" justifyLastLine="0" shrinkToFit="0" readingOrder="0"/>
      <border diagonalUp="0" diagonalDown="0">
        <left/>
        <right style="thin">
          <color theme="1" tint="0.34998626667073579"/>
        </right>
        <top/>
        <bottom/>
        <vertical/>
        <horizontal/>
      </border>
      <protection locked="0" hidden="0"/>
    </dxf>
    <dxf>
      <font>
        <strike val="0"/>
        <outline val="0"/>
        <shadow val="0"/>
        <u val="none"/>
        <vertAlign val="baseline"/>
        <sz val="10"/>
        <name val="Calibri"/>
        <family val="2"/>
        <scheme val="minor"/>
      </font>
      <numFmt numFmtId="164" formatCode="#,###&quot; cells/µl&quot;"/>
      <fill>
        <patternFill patternType="solid">
          <fgColor rgb="FFE0F7FA"/>
          <bgColor theme="0"/>
        </patternFill>
      </fill>
      <alignment horizontal="center" vertical="center" textRotation="0" wrapText="0" indent="0" justifyLastLine="0" shrinkToFit="0" readingOrder="0"/>
      <border diagonalUp="0" diagonalDown="0">
        <left style="thin">
          <color theme="1" tint="0.34998626667073579"/>
        </left>
        <right/>
        <top/>
        <bottom/>
        <vertical/>
        <horizontal/>
      </border>
      <protection locked="0" hidden="0"/>
    </dxf>
    <dxf>
      <fill>
        <patternFill patternType="solid">
          <bgColor theme="0"/>
        </patternFill>
      </fill>
      <protection locked="1" hidden="0"/>
    </dxf>
    <dxf>
      <fill>
        <patternFill patternType="solid">
          <bgColor theme="0"/>
        </patternFill>
      </fill>
      <protection locked="0" hidden="0"/>
    </dxf>
    <dxf>
      <border>
        <bottom style="thin">
          <color indexed="64"/>
        </bottom>
      </border>
    </dxf>
    <dxf>
      <font>
        <b/>
        <i val="0"/>
        <strike val="0"/>
        <condense val="0"/>
        <extend val="0"/>
        <outline val="0"/>
        <shadow val="0"/>
        <u val="none"/>
        <vertAlign val="baseline"/>
        <sz val="10"/>
        <color theme="0"/>
        <name val="Calibri"/>
        <family val="2"/>
        <scheme val="minor"/>
      </font>
      <fill>
        <patternFill patternType="solid">
          <fgColor rgb="FF000000"/>
          <bgColor rgb="FF153057"/>
        </patternFill>
      </fill>
      <alignment horizontal="center" vertical="center" textRotation="0" wrapText="1" indent="0" justifyLastLine="0" shrinkToFit="0" readingOrder="0"/>
      <border diagonalUp="0" diagonalDown="0">
        <left/>
        <right/>
        <top/>
        <bottom/>
      </border>
      <protection locked="1" hidden="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000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3" defaultTableStyle="TableStyleMedium2" defaultPivotStyle="PivotStyleLight16">
    <tableStyle name="1-style 2" pivot="0" count="3" xr9:uid="{8F6D1B4C-5D72-47CF-BA98-1B359C51DCE7}">
      <tableStyleElement type="headerRow" dxfId="50"/>
      <tableStyleElement type="firstRowStripe" dxfId="49"/>
      <tableStyleElement type="secondRowStripe" dxfId="48"/>
    </tableStyle>
    <tableStyle name="1-style 3" pivot="0" count="3" xr9:uid="{FC3B064F-7C44-4945-9BAA-123806505FCE}">
      <tableStyleElement type="headerRow" dxfId="47"/>
      <tableStyleElement type="firstRowStripe" dxfId="46"/>
      <tableStyleElement type="secondRowStripe" dxfId="45"/>
    </tableStyle>
    <tableStyle name="1-style 5" pivot="0" count="3" xr9:uid="{4AE296A7-512B-4069-87E5-675F2B96642A}">
      <tableStyleElement type="headerRow" dxfId="44"/>
      <tableStyleElement type="firstRowStripe" dxfId="43"/>
      <tableStyleElement type="secondRowStripe" dxfId="42"/>
    </tableStyle>
  </tableStyles>
  <colors>
    <mruColors>
      <color rgb="FF15D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40</xdr:row>
          <xdr:rowOff>47625</xdr:rowOff>
        </xdr:from>
        <xdr:to>
          <xdr:col>1</xdr:col>
          <xdr:colOff>76200</xdr:colOff>
          <xdr:row>40</xdr:row>
          <xdr:rowOff>276225</xdr:rowOff>
        </xdr:to>
        <xdr:sp macro="" textlink="">
          <xdr:nvSpPr>
            <xdr:cNvPr id="18433" name="Check Box 1" hidden="1">
              <a:extLst>
                <a:ext uri="{63B3BB69-23CF-44E3-9099-C40C66FF867C}">
                  <a14:compatExt spid="_x0000_s18433"/>
                </a:ext>
                <a:ext uri="{FF2B5EF4-FFF2-40B4-BE49-F238E27FC236}">
                  <a16:creationId xmlns:a16="http://schemas.microsoft.com/office/drawing/2014/main" id="{00000000-0008-0000-0300-00000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39</xdr:row>
          <xdr:rowOff>47625</xdr:rowOff>
        </xdr:from>
        <xdr:to>
          <xdr:col>1</xdr:col>
          <xdr:colOff>76200</xdr:colOff>
          <xdr:row>39</xdr:row>
          <xdr:rowOff>276225</xdr:rowOff>
        </xdr:to>
        <xdr:sp macro="" textlink="">
          <xdr:nvSpPr>
            <xdr:cNvPr id="18434" name="Check Box 2" hidden="1">
              <a:extLst>
                <a:ext uri="{63B3BB69-23CF-44E3-9099-C40C66FF867C}">
                  <a14:compatExt spid="_x0000_s18434"/>
                </a:ext>
                <a:ext uri="{FF2B5EF4-FFF2-40B4-BE49-F238E27FC236}">
                  <a16:creationId xmlns:a16="http://schemas.microsoft.com/office/drawing/2014/main" id="{00000000-0008-0000-0300-000002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35</xdr:row>
          <xdr:rowOff>47625</xdr:rowOff>
        </xdr:from>
        <xdr:to>
          <xdr:col>1</xdr:col>
          <xdr:colOff>76200</xdr:colOff>
          <xdr:row>35</xdr:row>
          <xdr:rowOff>276225</xdr:rowOff>
        </xdr:to>
        <xdr:sp macro="" textlink="">
          <xdr:nvSpPr>
            <xdr:cNvPr id="18435" name="Check Box 3" hidden="1">
              <a:extLst>
                <a:ext uri="{63B3BB69-23CF-44E3-9099-C40C66FF867C}">
                  <a14:compatExt spid="_x0000_s18435"/>
                </a:ext>
                <a:ext uri="{FF2B5EF4-FFF2-40B4-BE49-F238E27FC236}">
                  <a16:creationId xmlns:a16="http://schemas.microsoft.com/office/drawing/2014/main" id="{00000000-0008-0000-0300-00000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33</xdr:row>
          <xdr:rowOff>47625</xdr:rowOff>
        </xdr:from>
        <xdr:to>
          <xdr:col>1</xdr:col>
          <xdr:colOff>76200</xdr:colOff>
          <xdr:row>33</xdr:row>
          <xdr:rowOff>276225</xdr:rowOff>
        </xdr:to>
        <xdr:sp macro="" textlink="">
          <xdr:nvSpPr>
            <xdr:cNvPr id="18436" name="Check Box 4" hidden="1">
              <a:extLst>
                <a:ext uri="{63B3BB69-23CF-44E3-9099-C40C66FF867C}">
                  <a14:compatExt spid="_x0000_s18436"/>
                </a:ext>
                <a:ext uri="{FF2B5EF4-FFF2-40B4-BE49-F238E27FC236}">
                  <a16:creationId xmlns:a16="http://schemas.microsoft.com/office/drawing/2014/main" id="{00000000-0008-0000-0300-00000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32</xdr:row>
          <xdr:rowOff>47625</xdr:rowOff>
        </xdr:from>
        <xdr:to>
          <xdr:col>1</xdr:col>
          <xdr:colOff>76200</xdr:colOff>
          <xdr:row>32</xdr:row>
          <xdr:rowOff>276225</xdr:rowOff>
        </xdr:to>
        <xdr:sp macro="" textlink="">
          <xdr:nvSpPr>
            <xdr:cNvPr id="18437" name="Check Box 5" hidden="1">
              <a:extLst>
                <a:ext uri="{63B3BB69-23CF-44E3-9099-C40C66FF867C}">
                  <a14:compatExt spid="_x0000_s18437"/>
                </a:ext>
                <a:ext uri="{FF2B5EF4-FFF2-40B4-BE49-F238E27FC236}">
                  <a16:creationId xmlns:a16="http://schemas.microsoft.com/office/drawing/2014/main" id="{00000000-0008-0000-0300-00000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22</xdr:row>
          <xdr:rowOff>47625</xdr:rowOff>
        </xdr:from>
        <xdr:to>
          <xdr:col>1</xdr:col>
          <xdr:colOff>76200</xdr:colOff>
          <xdr:row>22</xdr:row>
          <xdr:rowOff>276225</xdr:rowOff>
        </xdr:to>
        <xdr:sp macro="" textlink="">
          <xdr:nvSpPr>
            <xdr:cNvPr id="18438" name="Check Box 6" hidden="1">
              <a:extLst>
                <a:ext uri="{63B3BB69-23CF-44E3-9099-C40C66FF867C}">
                  <a14:compatExt spid="_x0000_s18438"/>
                </a:ext>
                <a:ext uri="{FF2B5EF4-FFF2-40B4-BE49-F238E27FC236}">
                  <a16:creationId xmlns:a16="http://schemas.microsoft.com/office/drawing/2014/main" id="{00000000-0008-0000-0300-00000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20</xdr:row>
          <xdr:rowOff>47625</xdr:rowOff>
        </xdr:from>
        <xdr:to>
          <xdr:col>1</xdr:col>
          <xdr:colOff>76200</xdr:colOff>
          <xdr:row>20</xdr:row>
          <xdr:rowOff>276225</xdr:rowOff>
        </xdr:to>
        <xdr:sp macro="" textlink="">
          <xdr:nvSpPr>
            <xdr:cNvPr id="18439" name="Check Box 7" hidden="1">
              <a:extLst>
                <a:ext uri="{63B3BB69-23CF-44E3-9099-C40C66FF867C}">
                  <a14:compatExt spid="_x0000_s18439"/>
                </a:ext>
                <a:ext uri="{FF2B5EF4-FFF2-40B4-BE49-F238E27FC236}">
                  <a16:creationId xmlns:a16="http://schemas.microsoft.com/office/drawing/2014/main" id="{00000000-0008-0000-0300-00000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xdr:row>
          <xdr:rowOff>47625</xdr:rowOff>
        </xdr:from>
        <xdr:to>
          <xdr:col>1</xdr:col>
          <xdr:colOff>76200</xdr:colOff>
          <xdr:row>15</xdr:row>
          <xdr:rowOff>276225</xdr:rowOff>
        </xdr:to>
        <xdr:sp macro="" textlink="">
          <xdr:nvSpPr>
            <xdr:cNvPr id="18440" name="Check Box 8" hidden="1">
              <a:extLst>
                <a:ext uri="{63B3BB69-23CF-44E3-9099-C40C66FF867C}">
                  <a14:compatExt spid="_x0000_s18440"/>
                </a:ext>
                <a:ext uri="{FF2B5EF4-FFF2-40B4-BE49-F238E27FC236}">
                  <a16:creationId xmlns:a16="http://schemas.microsoft.com/office/drawing/2014/main" id="{00000000-0008-0000-0300-00000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13</xdr:row>
          <xdr:rowOff>47625</xdr:rowOff>
        </xdr:from>
        <xdr:to>
          <xdr:col>1</xdr:col>
          <xdr:colOff>76200</xdr:colOff>
          <xdr:row>13</xdr:row>
          <xdr:rowOff>276225</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300-00000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349249</xdr:colOff>
      <xdr:row>117</xdr:row>
      <xdr:rowOff>30163</xdr:rowOff>
    </xdr:from>
    <xdr:to>
      <xdr:col>5</xdr:col>
      <xdr:colOff>50799</xdr:colOff>
      <xdr:row>118</xdr:row>
      <xdr:rowOff>185738</xdr:rowOff>
    </xdr:to>
    <xdr:pic>
      <xdr:nvPicPr>
        <xdr:cNvPr id="2" name="Picture 3">
          <a:extLst>
            <a:ext uri="{FF2B5EF4-FFF2-40B4-BE49-F238E27FC236}">
              <a16:creationId xmlns:a16="http://schemas.microsoft.com/office/drawing/2014/main" id="{E54E24E1-32BE-4391-947D-35ACC1511F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4524" y="34758313"/>
          <a:ext cx="2378075"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38100</xdr:colOff>
          <xdr:row>12</xdr:row>
          <xdr:rowOff>47625</xdr:rowOff>
        </xdr:from>
        <xdr:to>
          <xdr:col>1</xdr:col>
          <xdr:colOff>76200</xdr:colOff>
          <xdr:row>12</xdr:row>
          <xdr:rowOff>276225</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300-00000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36</xdr:row>
          <xdr:rowOff>47625</xdr:rowOff>
        </xdr:from>
        <xdr:to>
          <xdr:col>1</xdr:col>
          <xdr:colOff>76200</xdr:colOff>
          <xdr:row>36</xdr:row>
          <xdr:rowOff>276225</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300-00000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111125</xdr:colOff>
      <xdr:row>16</xdr:row>
      <xdr:rowOff>104775</xdr:rowOff>
    </xdr:from>
    <xdr:to>
      <xdr:col>2</xdr:col>
      <xdr:colOff>248285</xdr:colOff>
      <xdr:row>16</xdr:row>
      <xdr:rowOff>238125</xdr:rowOff>
    </xdr:to>
    <xdr:sp macro="" textlink="">
      <xdr:nvSpPr>
        <xdr:cNvPr id="3" name="Oval 2">
          <a:extLst>
            <a:ext uri="{FF2B5EF4-FFF2-40B4-BE49-F238E27FC236}">
              <a16:creationId xmlns:a16="http://schemas.microsoft.com/office/drawing/2014/main" id="{FB9D4D2A-7FEB-432F-B8B2-508EA9938833}"/>
            </a:ext>
          </a:extLst>
        </xdr:cNvPr>
        <xdr:cNvSpPr/>
      </xdr:nvSpPr>
      <xdr:spPr>
        <a:xfrm>
          <a:off x="815975" y="5429250"/>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18</xdr:row>
      <xdr:rowOff>76200</xdr:rowOff>
    </xdr:from>
    <xdr:to>
      <xdr:col>2</xdr:col>
      <xdr:colOff>248285</xdr:colOff>
      <xdr:row>18</xdr:row>
      <xdr:rowOff>209550</xdr:rowOff>
    </xdr:to>
    <xdr:sp macro="" textlink="">
      <xdr:nvSpPr>
        <xdr:cNvPr id="4" name="Oval 3">
          <a:extLst>
            <a:ext uri="{FF2B5EF4-FFF2-40B4-BE49-F238E27FC236}">
              <a16:creationId xmlns:a16="http://schemas.microsoft.com/office/drawing/2014/main" id="{11E7253A-941B-4B78-9C2A-4DFEB5450FF9}"/>
            </a:ext>
          </a:extLst>
        </xdr:cNvPr>
        <xdr:cNvSpPr/>
      </xdr:nvSpPr>
      <xdr:spPr>
        <a:xfrm>
          <a:off x="815975" y="6096000"/>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17</xdr:row>
      <xdr:rowOff>101600</xdr:rowOff>
    </xdr:from>
    <xdr:to>
      <xdr:col>2</xdr:col>
      <xdr:colOff>254635</xdr:colOff>
      <xdr:row>17</xdr:row>
      <xdr:rowOff>234950</xdr:rowOff>
    </xdr:to>
    <xdr:sp macro="" textlink="">
      <xdr:nvSpPr>
        <xdr:cNvPr id="5" name="Oval 4">
          <a:extLst>
            <a:ext uri="{FF2B5EF4-FFF2-40B4-BE49-F238E27FC236}">
              <a16:creationId xmlns:a16="http://schemas.microsoft.com/office/drawing/2014/main" id="{0E0A93BE-28AF-41EC-868C-1B396FAA76B1}"/>
            </a:ext>
          </a:extLst>
        </xdr:cNvPr>
        <xdr:cNvSpPr/>
      </xdr:nvSpPr>
      <xdr:spPr>
        <a:xfrm>
          <a:off x="815975" y="5759450"/>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15</xdr:row>
      <xdr:rowOff>101600</xdr:rowOff>
    </xdr:from>
    <xdr:to>
      <xdr:col>2</xdr:col>
      <xdr:colOff>248285</xdr:colOff>
      <xdr:row>15</xdr:row>
      <xdr:rowOff>234950</xdr:rowOff>
    </xdr:to>
    <xdr:sp macro="" textlink="">
      <xdr:nvSpPr>
        <xdr:cNvPr id="6" name="Oval 5">
          <a:extLst>
            <a:ext uri="{FF2B5EF4-FFF2-40B4-BE49-F238E27FC236}">
              <a16:creationId xmlns:a16="http://schemas.microsoft.com/office/drawing/2014/main" id="{16A67842-57D0-49E7-B61D-4BC039B19674}"/>
            </a:ext>
          </a:extLst>
        </xdr:cNvPr>
        <xdr:cNvSpPr/>
      </xdr:nvSpPr>
      <xdr:spPr>
        <a:xfrm>
          <a:off x="815975" y="5092700"/>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41</xdr:row>
          <xdr:rowOff>47625</xdr:rowOff>
        </xdr:from>
        <xdr:to>
          <xdr:col>1</xdr:col>
          <xdr:colOff>76200</xdr:colOff>
          <xdr:row>41</xdr:row>
          <xdr:rowOff>276225</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300-00000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xdr:col>
      <xdr:colOff>53975</xdr:colOff>
      <xdr:row>42</xdr:row>
      <xdr:rowOff>104775</xdr:rowOff>
    </xdr:from>
    <xdr:to>
      <xdr:col>6</xdr:col>
      <xdr:colOff>197485</xdr:colOff>
      <xdr:row>42</xdr:row>
      <xdr:rowOff>238125</xdr:rowOff>
    </xdr:to>
    <xdr:sp macro="" textlink="">
      <xdr:nvSpPr>
        <xdr:cNvPr id="7" name="Oval 6">
          <a:extLst>
            <a:ext uri="{FF2B5EF4-FFF2-40B4-BE49-F238E27FC236}">
              <a16:creationId xmlns:a16="http://schemas.microsoft.com/office/drawing/2014/main" id="{C37206A4-C173-44C6-AD6A-2E683180F9C7}"/>
            </a:ext>
          </a:extLst>
        </xdr:cNvPr>
        <xdr:cNvSpPr/>
      </xdr:nvSpPr>
      <xdr:spPr>
        <a:xfrm>
          <a:off x="3883025" y="12725400"/>
          <a:ext cx="143510" cy="13335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xdr:colOff>
      <xdr:row>44</xdr:row>
      <xdr:rowOff>82550</xdr:rowOff>
    </xdr:from>
    <xdr:to>
      <xdr:col>6</xdr:col>
      <xdr:colOff>200660</xdr:colOff>
      <xdr:row>44</xdr:row>
      <xdr:rowOff>215900</xdr:rowOff>
    </xdr:to>
    <xdr:sp macro="" textlink="">
      <xdr:nvSpPr>
        <xdr:cNvPr id="8" name="Oval 7">
          <a:extLst>
            <a:ext uri="{FF2B5EF4-FFF2-40B4-BE49-F238E27FC236}">
              <a16:creationId xmlns:a16="http://schemas.microsoft.com/office/drawing/2014/main" id="{344D93B7-CEE1-4CB3-B53B-E05FEF3AD17E}"/>
            </a:ext>
          </a:extLst>
        </xdr:cNvPr>
        <xdr:cNvSpPr/>
      </xdr:nvSpPr>
      <xdr:spPr>
        <a:xfrm>
          <a:off x="3886200" y="13274675"/>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47</xdr:row>
          <xdr:rowOff>47625</xdr:rowOff>
        </xdr:from>
        <xdr:to>
          <xdr:col>1</xdr:col>
          <xdr:colOff>76200</xdr:colOff>
          <xdr:row>47</xdr:row>
          <xdr:rowOff>276225</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300-00000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52</xdr:row>
          <xdr:rowOff>47625</xdr:rowOff>
        </xdr:from>
        <xdr:to>
          <xdr:col>1</xdr:col>
          <xdr:colOff>76200</xdr:colOff>
          <xdr:row>52</xdr:row>
          <xdr:rowOff>276225</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300-00000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53</xdr:row>
          <xdr:rowOff>47625</xdr:rowOff>
        </xdr:from>
        <xdr:to>
          <xdr:col>1</xdr:col>
          <xdr:colOff>76200</xdr:colOff>
          <xdr:row>53</xdr:row>
          <xdr:rowOff>276225</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300-00000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6</xdr:col>
      <xdr:colOff>57150</xdr:colOff>
      <xdr:row>54</xdr:row>
      <xdr:rowOff>85725</xdr:rowOff>
    </xdr:from>
    <xdr:to>
      <xdr:col>6</xdr:col>
      <xdr:colOff>200660</xdr:colOff>
      <xdr:row>54</xdr:row>
      <xdr:rowOff>219075</xdr:rowOff>
    </xdr:to>
    <xdr:sp macro="" textlink="">
      <xdr:nvSpPr>
        <xdr:cNvPr id="9" name="Oval 8">
          <a:extLst>
            <a:ext uri="{FF2B5EF4-FFF2-40B4-BE49-F238E27FC236}">
              <a16:creationId xmlns:a16="http://schemas.microsoft.com/office/drawing/2014/main" id="{A6731A62-3212-4E9C-9563-48640F2B61F9}"/>
            </a:ext>
          </a:extLst>
        </xdr:cNvPr>
        <xdr:cNvSpPr/>
      </xdr:nvSpPr>
      <xdr:spPr>
        <a:xfrm>
          <a:off x="3886200" y="16563975"/>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47625</xdr:colOff>
      <xdr:row>55</xdr:row>
      <xdr:rowOff>101600</xdr:rowOff>
    </xdr:from>
    <xdr:to>
      <xdr:col>6</xdr:col>
      <xdr:colOff>191135</xdr:colOff>
      <xdr:row>55</xdr:row>
      <xdr:rowOff>234950</xdr:rowOff>
    </xdr:to>
    <xdr:sp macro="" textlink="">
      <xdr:nvSpPr>
        <xdr:cNvPr id="10" name="Oval 9">
          <a:extLst>
            <a:ext uri="{FF2B5EF4-FFF2-40B4-BE49-F238E27FC236}">
              <a16:creationId xmlns:a16="http://schemas.microsoft.com/office/drawing/2014/main" id="{C0A1EE7F-196A-4131-A61F-4D691195759F}"/>
            </a:ext>
          </a:extLst>
        </xdr:cNvPr>
        <xdr:cNvSpPr/>
      </xdr:nvSpPr>
      <xdr:spPr>
        <a:xfrm>
          <a:off x="3876675" y="16846550"/>
          <a:ext cx="143510" cy="133350"/>
        </a:xfrm>
        <a:prstGeom prst="ellipse">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92D05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57</xdr:row>
          <xdr:rowOff>47625</xdr:rowOff>
        </xdr:from>
        <xdr:to>
          <xdr:col>1</xdr:col>
          <xdr:colOff>76200</xdr:colOff>
          <xdr:row>58</xdr:row>
          <xdr:rowOff>38100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300-00001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47625</xdr:rowOff>
        </xdr:from>
        <xdr:to>
          <xdr:col>1</xdr:col>
          <xdr:colOff>76200</xdr:colOff>
          <xdr:row>63</xdr:row>
          <xdr:rowOff>276225</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300-00001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65</xdr:row>
          <xdr:rowOff>47625</xdr:rowOff>
        </xdr:from>
        <xdr:to>
          <xdr:col>1</xdr:col>
          <xdr:colOff>76200</xdr:colOff>
          <xdr:row>65</xdr:row>
          <xdr:rowOff>276225</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300-000012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66</xdr:row>
          <xdr:rowOff>47625</xdr:rowOff>
        </xdr:from>
        <xdr:to>
          <xdr:col>1</xdr:col>
          <xdr:colOff>76200</xdr:colOff>
          <xdr:row>66</xdr:row>
          <xdr:rowOff>276225</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300-00001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133350</xdr:colOff>
      <xdr:row>68</xdr:row>
      <xdr:rowOff>104775</xdr:rowOff>
    </xdr:from>
    <xdr:to>
      <xdr:col>2</xdr:col>
      <xdr:colOff>276860</xdr:colOff>
      <xdr:row>68</xdr:row>
      <xdr:rowOff>238125</xdr:rowOff>
    </xdr:to>
    <xdr:sp macro="" textlink="">
      <xdr:nvSpPr>
        <xdr:cNvPr id="11" name="Oval 10">
          <a:extLst>
            <a:ext uri="{FF2B5EF4-FFF2-40B4-BE49-F238E27FC236}">
              <a16:creationId xmlns:a16="http://schemas.microsoft.com/office/drawing/2014/main" id="{13E220A8-86D5-449A-9FFF-7BCED1D20624}"/>
            </a:ext>
          </a:extLst>
        </xdr:cNvPr>
        <xdr:cNvSpPr/>
      </xdr:nvSpPr>
      <xdr:spPr>
        <a:xfrm>
          <a:off x="838200" y="20612100"/>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00FF"/>
            </a:solidFill>
          </a:endParaRPr>
        </a:p>
      </xdr:txBody>
    </xdr:sp>
    <xdr:clientData/>
  </xdr:twoCellAnchor>
  <xdr:twoCellAnchor>
    <xdr:from>
      <xdr:col>2</xdr:col>
      <xdr:colOff>123825</xdr:colOff>
      <xdr:row>69</xdr:row>
      <xdr:rowOff>95250</xdr:rowOff>
    </xdr:from>
    <xdr:to>
      <xdr:col>2</xdr:col>
      <xdr:colOff>267335</xdr:colOff>
      <xdr:row>69</xdr:row>
      <xdr:rowOff>228600</xdr:rowOff>
    </xdr:to>
    <xdr:sp macro="" textlink="">
      <xdr:nvSpPr>
        <xdr:cNvPr id="12" name="Oval 11">
          <a:extLst>
            <a:ext uri="{FF2B5EF4-FFF2-40B4-BE49-F238E27FC236}">
              <a16:creationId xmlns:a16="http://schemas.microsoft.com/office/drawing/2014/main" id="{35969422-B0A6-41F0-903A-4578E01232D5}"/>
            </a:ext>
          </a:extLst>
        </xdr:cNvPr>
        <xdr:cNvSpPr/>
      </xdr:nvSpPr>
      <xdr:spPr>
        <a:xfrm>
          <a:off x="828675" y="20926425"/>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CC00FF"/>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68</xdr:row>
          <xdr:rowOff>47625</xdr:rowOff>
        </xdr:from>
        <xdr:to>
          <xdr:col>1</xdr:col>
          <xdr:colOff>76200</xdr:colOff>
          <xdr:row>68</xdr:row>
          <xdr:rowOff>276225</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300-00001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71</xdr:row>
          <xdr:rowOff>47625</xdr:rowOff>
        </xdr:from>
        <xdr:to>
          <xdr:col>1</xdr:col>
          <xdr:colOff>76200</xdr:colOff>
          <xdr:row>72</xdr:row>
          <xdr:rowOff>9525</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300-00001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75</xdr:row>
          <xdr:rowOff>47625</xdr:rowOff>
        </xdr:from>
        <xdr:to>
          <xdr:col>1</xdr:col>
          <xdr:colOff>76200</xdr:colOff>
          <xdr:row>75</xdr:row>
          <xdr:rowOff>276225</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300-000016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77</xdr:row>
          <xdr:rowOff>47625</xdr:rowOff>
        </xdr:from>
        <xdr:to>
          <xdr:col>1</xdr:col>
          <xdr:colOff>76200</xdr:colOff>
          <xdr:row>77</xdr:row>
          <xdr:rowOff>276225</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300-000017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133350</xdr:colOff>
      <xdr:row>79</xdr:row>
      <xdr:rowOff>101600</xdr:rowOff>
    </xdr:from>
    <xdr:to>
      <xdr:col>2</xdr:col>
      <xdr:colOff>273685</xdr:colOff>
      <xdr:row>79</xdr:row>
      <xdr:rowOff>234950</xdr:rowOff>
    </xdr:to>
    <xdr:sp macro="" textlink="">
      <xdr:nvSpPr>
        <xdr:cNvPr id="13" name="Oval 12">
          <a:extLst>
            <a:ext uri="{FF2B5EF4-FFF2-40B4-BE49-F238E27FC236}">
              <a16:creationId xmlns:a16="http://schemas.microsoft.com/office/drawing/2014/main" id="{D878483F-F776-4EA5-8BC7-F58491B0A3DE}"/>
            </a:ext>
          </a:extLst>
        </xdr:cNvPr>
        <xdr:cNvSpPr/>
      </xdr:nvSpPr>
      <xdr:spPr>
        <a:xfrm>
          <a:off x="838200" y="2385695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79</xdr:row>
          <xdr:rowOff>47625</xdr:rowOff>
        </xdr:from>
        <xdr:to>
          <xdr:col>1</xdr:col>
          <xdr:colOff>76200</xdr:colOff>
          <xdr:row>79</xdr:row>
          <xdr:rowOff>276225</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300-000018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133350</xdr:colOff>
      <xdr:row>80</xdr:row>
      <xdr:rowOff>101600</xdr:rowOff>
    </xdr:from>
    <xdr:to>
      <xdr:col>2</xdr:col>
      <xdr:colOff>273685</xdr:colOff>
      <xdr:row>80</xdr:row>
      <xdr:rowOff>234950</xdr:rowOff>
    </xdr:to>
    <xdr:sp macro="" textlink="">
      <xdr:nvSpPr>
        <xdr:cNvPr id="14" name="Oval 13">
          <a:extLst>
            <a:ext uri="{FF2B5EF4-FFF2-40B4-BE49-F238E27FC236}">
              <a16:creationId xmlns:a16="http://schemas.microsoft.com/office/drawing/2014/main" id="{F9203944-15BE-417F-904A-7FF1C08E53D2}"/>
            </a:ext>
          </a:extLst>
        </xdr:cNvPr>
        <xdr:cNvSpPr/>
      </xdr:nvSpPr>
      <xdr:spPr>
        <a:xfrm>
          <a:off x="838200" y="2418080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82</xdr:row>
          <xdr:rowOff>47625</xdr:rowOff>
        </xdr:from>
        <xdr:to>
          <xdr:col>1</xdr:col>
          <xdr:colOff>76200</xdr:colOff>
          <xdr:row>83</xdr:row>
          <xdr:rowOff>28575</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300-000019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84</xdr:row>
          <xdr:rowOff>47625</xdr:rowOff>
        </xdr:from>
        <xdr:to>
          <xdr:col>1</xdr:col>
          <xdr:colOff>76200</xdr:colOff>
          <xdr:row>84</xdr:row>
          <xdr:rowOff>276225</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300-00001A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86</xdr:row>
          <xdr:rowOff>47625</xdr:rowOff>
        </xdr:from>
        <xdr:to>
          <xdr:col>1</xdr:col>
          <xdr:colOff>76200</xdr:colOff>
          <xdr:row>86</xdr:row>
          <xdr:rowOff>276225</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300-00001B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85</xdr:row>
          <xdr:rowOff>47625</xdr:rowOff>
        </xdr:from>
        <xdr:to>
          <xdr:col>1</xdr:col>
          <xdr:colOff>76200</xdr:colOff>
          <xdr:row>85</xdr:row>
          <xdr:rowOff>276225</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300-00001C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97</xdr:row>
          <xdr:rowOff>47625</xdr:rowOff>
        </xdr:from>
        <xdr:to>
          <xdr:col>1</xdr:col>
          <xdr:colOff>76200</xdr:colOff>
          <xdr:row>97</xdr:row>
          <xdr:rowOff>276225</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300-00001D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103</xdr:row>
          <xdr:rowOff>47625</xdr:rowOff>
        </xdr:from>
        <xdr:to>
          <xdr:col>1</xdr:col>
          <xdr:colOff>76200</xdr:colOff>
          <xdr:row>103</xdr:row>
          <xdr:rowOff>276225</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300-00001E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103</xdr:row>
          <xdr:rowOff>47625</xdr:rowOff>
        </xdr:from>
        <xdr:to>
          <xdr:col>1</xdr:col>
          <xdr:colOff>76200</xdr:colOff>
          <xdr:row>103</xdr:row>
          <xdr:rowOff>276225</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300-00001F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105</xdr:row>
          <xdr:rowOff>47625</xdr:rowOff>
        </xdr:from>
        <xdr:to>
          <xdr:col>1</xdr:col>
          <xdr:colOff>76200</xdr:colOff>
          <xdr:row>105</xdr:row>
          <xdr:rowOff>276225</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300-000020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87</xdr:row>
          <xdr:rowOff>47625</xdr:rowOff>
        </xdr:from>
        <xdr:to>
          <xdr:col>1</xdr:col>
          <xdr:colOff>76200</xdr:colOff>
          <xdr:row>87</xdr:row>
          <xdr:rowOff>304800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300-000021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34</xdr:row>
          <xdr:rowOff>47625</xdr:rowOff>
        </xdr:from>
        <xdr:to>
          <xdr:col>1</xdr:col>
          <xdr:colOff>76200</xdr:colOff>
          <xdr:row>34</xdr:row>
          <xdr:rowOff>276225</xdr:rowOff>
        </xdr:to>
        <xdr:sp macro="" textlink="">
          <xdr:nvSpPr>
            <xdr:cNvPr id="18466" name="Check Box 34" hidden="1">
              <a:extLst>
                <a:ext uri="{63B3BB69-23CF-44E3-9099-C40C66FF867C}">
                  <a14:compatExt spid="_x0000_s18466"/>
                </a:ext>
                <a:ext uri="{FF2B5EF4-FFF2-40B4-BE49-F238E27FC236}">
                  <a16:creationId xmlns:a16="http://schemas.microsoft.com/office/drawing/2014/main" id="{00000000-0008-0000-0300-000022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107</xdr:row>
          <xdr:rowOff>0</xdr:rowOff>
        </xdr:from>
        <xdr:to>
          <xdr:col>1</xdr:col>
          <xdr:colOff>76200</xdr:colOff>
          <xdr:row>108</xdr:row>
          <xdr:rowOff>47625</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300-000023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107</xdr:row>
          <xdr:rowOff>304800</xdr:rowOff>
        </xdr:from>
        <xdr:to>
          <xdr:col>1</xdr:col>
          <xdr:colOff>76200</xdr:colOff>
          <xdr:row>109</xdr:row>
          <xdr:rowOff>28575</xdr:rowOff>
        </xdr:to>
        <xdr:sp macro="" textlink="">
          <xdr:nvSpPr>
            <xdr:cNvPr id="18468" name="Check Box 36" hidden="1">
              <a:extLst>
                <a:ext uri="{63B3BB69-23CF-44E3-9099-C40C66FF867C}">
                  <a14:compatExt spid="_x0000_s18468"/>
                </a:ext>
                <a:ext uri="{FF2B5EF4-FFF2-40B4-BE49-F238E27FC236}">
                  <a16:creationId xmlns:a16="http://schemas.microsoft.com/office/drawing/2014/main" id="{00000000-0008-0000-0300-000024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7</xdr:col>
      <xdr:colOff>476249</xdr:colOff>
      <xdr:row>24</xdr:row>
      <xdr:rowOff>19050</xdr:rowOff>
    </xdr:from>
    <xdr:to>
      <xdr:col>15</xdr:col>
      <xdr:colOff>504824</xdr:colOff>
      <xdr:row>31</xdr:row>
      <xdr:rowOff>30956</xdr:rowOff>
    </xdr:to>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9E46FA71-71AA-4738-9996-7B469C137338}"/>
                </a:ext>
              </a:extLst>
            </xdr:cNvPr>
            <xdr:cNvSpPr txBox="1"/>
          </xdr:nvSpPr>
          <xdr:spPr>
            <a:xfrm>
              <a:off x="4829174" y="7810500"/>
              <a:ext cx="4657725" cy="127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
                    <m:sSub>
                      <m:sSubPr>
                        <m:ctrlPr>
                          <a:rPr lang="en-US" sz="1600" b="0" i="1" kern="1200">
                            <a:latin typeface="Cambria Math" panose="02040503050406030204" pitchFamily="18" charset="0"/>
                          </a:rPr>
                        </m:ctrlPr>
                      </m:sSubPr>
                      <m:e>
                        <m:r>
                          <a:rPr lang="en-US" sz="1600" b="0" i="1" kern="1200">
                            <a:latin typeface="Cambria Math" panose="02040503050406030204" pitchFamily="18" charset="0"/>
                          </a:rPr>
                          <m:t>𝑉</m:t>
                        </m:r>
                      </m:e>
                      <m:sub>
                        <m:r>
                          <a:rPr lang="en-US" sz="1600" b="0" i="1" kern="1200">
                            <a:latin typeface="Cambria Math" panose="02040503050406030204" pitchFamily="18" charset="0"/>
                          </a:rPr>
                          <m:t>𝑠𝑎𝑚𝑝𝑙𝑒</m:t>
                        </m:r>
                      </m:sub>
                    </m:sSub>
                    <m:d>
                      <m:dPr>
                        <m:begChr m:val="["/>
                        <m:endChr m:val="]"/>
                        <m:ctrlPr>
                          <a:rPr lang="en-US" sz="1600" b="0" i="1" kern="1200">
                            <a:latin typeface="Cambria Math" panose="02040503050406030204" pitchFamily="18" charset="0"/>
                          </a:rPr>
                        </m:ctrlPr>
                      </m:dPr>
                      <m:e>
                        <m:r>
                          <a:rPr lang="en-US" sz="1600" b="0" i="1" kern="1200">
                            <a:latin typeface="Cambria Math" panose="02040503050406030204" pitchFamily="18" charset="0"/>
                          </a:rPr>
                          <m:t>µ</m:t>
                        </m:r>
                        <m:r>
                          <a:rPr lang="en-US" sz="1600" b="0" i="1" kern="1200">
                            <a:latin typeface="Cambria Math" panose="02040503050406030204" pitchFamily="18" charset="0"/>
                          </a:rPr>
                          <m:t>𝐿</m:t>
                        </m:r>
                      </m:e>
                    </m:d>
                    <m:r>
                      <a:rPr lang="en-US" sz="1600" i="1" kern="1200">
                        <a:latin typeface="Cambria Math" panose="02040503050406030204" pitchFamily="18" charset="0"/>
                      </a:rPr>
                      <m:t>=</m:t>
                    </m:r>
                    <m:r>
                      <a:rPr lang="en-US" sz="1600" b="0" i="1" kern="1200">
                        <a:latin typeface="Cambria Math" panose="02040503050406030204" pitchFamily="18" charset="0"/>
                      </a:rPr>
                      <m:t> </m:t>
                    </m:r>
                    <m:f>
                      <m:fPr>
                        <m:ctrlPr>
                          <a:rPr lang="en-US" sz="1600" b="0" i="1" kern="1200">
                            <a:latin typeface="Cambria Math" panose="02040503050406030204" pitchFamily="18" charset="0"/>
                          </a:rPr>
                        </m:ctrlPr>
                      </m:fPr>
                      <m:num>
                        <m:r>
                          <a:rPr lang="en-US" sz="1600" b="0" i="1" kern="1200">
                            <a:latin typeface="Cambria Math" panose="02040503050406030204" pitchFamily="18" charset="0"/>
                          </a:rPr>
                          <m:t>𝑡𝑎𝑟𝑔𝑒𝑡𝑒𝑑</m:t>
                        </m:r>
                        <m:r>
                          <a:rPr lang="en-US" sz="1600" b="0" i="1" kern="1200">
                            <a:latin typeface="Cambria Math" panose="02040503050406030204" pitchFamily="18" charset="0"/>
                          </a:rPr>
                          <m:t> </m:t>
                        </m:r>
                        <m:r>
                          <a:rPr lang="en-US" sz="1600" b="0" i="1" kern="1200">
                            <a:latin typeface="Cambria Math" panose="02040503050406030204" pitchFamily="18" charset="0"/>
                          </a:rPr>
                          <m:t>𝑐𝑒𝑙𝑙</m:t>
                        </m:r>
                        <m:r>
                          <a:rPr lang="en-US" sz="1600" b="0" i="1" kern="1200">
                            <a:latin typeface="Cambria Math" panose="02040503050406030204" pitchFamily="18" charset="0"/>
                          </a:rPr>
                          <m:t> </m:t>
                        </m:r>
                        <m:r>
                          <a:rPr lang="en-US" sz="1600" b="0" i="1" kern="1200">
                            <a:latin typeface="Cambria Math" panose="02040503050406030204" pitchFamily="18" charset="0"/>
                          </a:rPr>
                          <m:t>𝑛𝑢𝑚𝑏𝑒𝑟</m:t>
                        </m:r>
                      </m:num>
                      <m:den>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𝐶</m:t>
                            </m:r>
                          </m:e>
                          <m:sub>
                            <m:r>
                              <a:rPr lang="en-US" sz="1600" b="0" i="1">
                                <a:solidFill>
                                  <a:schemeClr val="dk1"/>
                                </a:solidFill>
                                <a:effectLst/>
                                <a:latin typeface="Cambria Math" panose="02040503050406030204" pitchFamily="18" charset="0"/>
                                <a:ea typeface="+mn-ea"/>
                                <a:cs typeface="+mn-cs"/>
                              </a:rPr>
                              <m:t>𝑐𝑒𝑙𝑙𝑠</m:t>
                            </m:r>
                            <m:r>
                              <a:rPr lang="en-US" sz="1600" b="0" i="1">
                                <a:solidFill>
                                  <a:schemeClr val="dk1"/>
                                </a:solidFill>
                                <a:effectLst/>
                                <a:latin typeface="Cambria Math" panose="02040503050406030204" pitchFamily="18" charset="0"/>
                                <a:ea typeface="+mn-ea"/>
                                <a:cs typeface="+mn-cs"/>
                              </a:rPr>
                              <m:t>/</m:t>
                            </m:r>
                            <m:r>
                              <a:rPr lang="en-US" sz="1600" b="0" i="1">
                                <a:solidFill>
                                  <a:schemeClr val="dk1"/>
                                </a:solidFill>
                                <a:effectLst/>
                                <a:latin typeface="Cambria Math" panose="02040503050406030204" pitchFamily="18" charset="0"/>
                                <a:ea typeface="+mn-ea"/>
                                <a:cs typeface="+mn-cs"/>
                              </a:rPr>
                              <m:t>𝑚𝐿</m:t>
                            </m:r>
                          </m:sub>
                        </m:sSub>
                      </m:den>
                    </m:f>
                    <m:r>
                      <a:rPr lang="en-US" sz="1600" b="0" i="1" kern="1200">
                        <a:latin typeface="Cambria Math" panose="02040503050406030204" pitchFamily="18" charset="0"/>
                      </a:rPr>
                      <m:t>∗</m:t>
                    </m:r>
                    <m:sSup>
                      <m:sSupPr>
                        <m:ctrlPr>
                          <a:rPr lang="en-US" sz="1600" b="0" i="1" kern="1200">
                            <a:latin typeface="Cambria Math" panose="02040503050406030204" pitchFamily="18" charset="0"/>
                          </a:rPr>
                        </m:ctrlPr>
                      </m:sSupPr>
                      <m:e>
                        <m:r>
                          <a:rPr lang="en-US" sz="1600" b="0" i="1" kern="1200">
                            <a:latin typeface="Cambria Math" panose="02040503050406030204" pitchFamily="18" charset="0"/>
                          </a:rPr>
                          <m:t>10</m:t>
                        </m:r>
                      </m:e>
                      <m:sup>
                        <m:r>
                          <a:rPr lang="en-US" sz="1600" b="0" i="1" kern="1200">
                            <a:latin typeface="Cambria Math" panose="02040503050406030204" pitchFamily="18" charset="0"/>
                          </a:rPr>
                          <m:t>3</m:t>
                        </m:r>
                      </m:sup>
                    </m:sSup>
                  </m:oMath>
                </m:oMathPara>
              </a14:m>
              <a:endParaRPr lang="en-US" sz="1100" kern="1200"/>
            </a:p>
            <a:p>
              <a:endParaRPr lang="en-US" sz="1100" kern="1200"/>
            </a:p>
            <a:p>
              <a:pPr/>
              <a14:m>
                <m:oMathPara xmlns:m="http://schemas.openxmlformats.org/officeDocument/2006/math">
                  <m:oMath>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𝑉</m:t>
                        </m:r>
                      </m:e>
                      <m:sub>
                        <m:r>
                          <a:rPr lang="en-US" sz="1600" b="0" i="1">
                            <a:solidFill>
                              <a:schemeClr val="dk1"/>
                            </a:solidFill>
                            <a:effectLst/>
                            <a:latin typeface="Cambria Math" panose="02040503050406030204" pitchFamily="18" charset="0"/>
                            <a:ea typeface="+mn-ea"/>
                            <a:cs typeface="+mn-cs"/>
                          </a:rPr>
                          <m:t>𝑃𝐵𝑆</m:t>
                        </m:r>
                      </m:sub>
                    </m:sSub>
                    <m:r>
                      <a:rPr lang="en-US" sz="1600" b="0" i="1">
                        <a:solidFill>
                          <a:schemeClr val="dk1"/>
                        </a:solidFill>
                        <a:effectLst/>
                        <a:latin typeface="Cambria Math" panose="02040503050406030204" pitchFamily="18" charset="0"/>
                        <a:ea typeface="+mn-ea"/>
                        <a:cs typeface="+mn-cs"/>
                      </a:rPr>
                      <m:t>=36,6 − </m:t>
                    </m:r>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𝑉</m:t>
                        </m:r>
                      </m:e>
                      <m:sub>
                        <m:r>
                          <a:rPr lang="en-US" sz="1600" b="0" i="1">
                            <a:solidFill>
                              <a:schemeClr val="dk1"/>
                            </a:solidFill>
                            <a:effectLst/>
                            <a:latin typeface="Cambria Math" panose="02040503050406030204" pitchFamily="18" charset="0"/>
                            <a:ea typeface="+mn-ea"/>
                            <a:cs typeface="+mn-cs"/>
                          </a:rPr>
                          <m:t>𝑠𝑎𝑚𝑝𝑙𝑒</m:t>
                        </m:r>
                      </m:sub>
                    </m:sSub>
                  </m:oMath>
                </m:oMathPara>
              </a14:m>
              <a:endParaRPr lang="en-US" sz="1100" kern="1200"/>
            </a:p>
          </xdr:txBody>
        </xdr:sp>
      </mc:Choice>
      <mc:Fallback xmlns="">
        <xdr:sp macro="" textlink="">
          <xdr:nvSpPr>
            <xdr:cNvPr id="15" name="TextBox 14">
              <a:extLst>
                <a:ext uri="{FF2B5EF4-FFF2-40B4-BE49-F238E27FC236}">
                  <a16:creationId xmlns:a16="http://schemas.microsoft.com/office/drawing/2014/main" id="{9E46FA71-71AA-4738-9996-7B469C137338}"/>
                </a:ext>
              </a:extLst>
            </xdr:cNvPr>
            <xdr:cNvSpPr txBox="1"/>
          </xdr:nvSpPr>
          <xdr:spPr>
            <a:xfrm>
              <a:off x="4829174" y="7810500"/>
              <a:ext cx="4657725" cy="1278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600" b="0" i="0" kern="1200">
                  <a:latin typeface="Cambria Math" panose="02040503050406030204" pitchFamily="18" charset="0"/>
                </a:rPr>
                <a:t>𝑉_𝑠𝑎𝑚𝑝𝑙𝑒 [µ𝐿]</a:t>
              </a:r>
              <a:r>
                <a:rPr lang="en-US" sz="1600" i="0" kern="1200">
                  <a:latin typeface="Cambria Math" panose="02040503050406030204" pitchFamily="18" charset="0"/>
                </a:rPr>
                <a:t>=</a:t>
              </a:r>
              <a:r>
                <a:rPr lang="en-US" sz="1600" b="0" i="0" kern="1200">
                  <a:latin typeface="Cambria Math" panose="02040503050406030204" pitchFamily="18" charset="0"/>
                </a:rPr>
                <a:t>  (𝑡𝑎𝑟𝑔𝑒𝑡𝑒𝑑 𝑐𝑒𝑙𝑙 𝑛𝑢𝑚𝑏𝑒𝑟)/</a:t>
              </a:r>
              <a:r>
                <a:rPr lang="en-US" sz="1600" b="0" i="0">
                  <a:solidFill>
                    <a:schemeClr val="dk1"/>
                  </a:solidFill>
                  <a:effectLst/>
                  <a:latin typeface="Cambria Math" panose="02040503050406030204" pitchFamily="18" charset="0"/>
                  <a:ea typeface="+mn-ea"/>
                  <a:cs typeface="+mn-cs"/>
                </a:rPr>
                <a:t>𝐶_(𝑐𝑒𝑙𝑙𝑠/𝑚𝐿) </a:t>
              </a:r>
              <a:r>
                <a:rPr lang="en-US" sz="1600" b="0" i="0" kern="1200">
                  <a:latin typeface="Cambria Math" panose="02040503050406030204" pitchFamily="18" charset="0"/>
                </a:rPr>
                <a:t>∗10^3</a:t>
              </a:r>
              <a:endParaRPr lang="en-US" sz="1100" kern="1200"/>
            </a:p>
            <a:p>
              <a:endParaRPr lang="en-US" sz="1100" kern="1200"/>
            </a:p>
            <a:p>
              <a:pPr/>
              <a:r>
                <a:rPr lang="en-US" sz="1600" b="0" i="0">
                  <a:solidFill>
                    <a:schemeClr val="dk1"/>
                  </a:solidFill>
                  <a:effectLst/>
                  <a:latin typeface="Cambria Math" panose="02040503050406030204" pitchFamily="18" charset="0"/>
                  <a:ea typeface="+mn-ea"/>
                  <a:cs typeface="+mn-cs"/>
                </a:rPr>
                <a:t>𝑉_𝑃𝐵𝑆=36,6 − 𝑉_𝑠𝑎𝑚𝑝𝑙𝑒</a:t>
              </a:r>
              <a:endParaRPr lang="en-US" sz="1100" kern="1200"/>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38100</xdr:colOff>
          <xdr:row>21</xdr:row>
          <xdr:rowOff>47625</xdr:rowOff>
        </xdr:from>
        <xdr:to>
          <xdr:col>1</xdr:col>
          <xdr:colOff>76200</xdr:colOff>
          <xdr:row>21</xdr:row>
          <xdr:rowOff>276225</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300-0000254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361950</xdr:colOff>
      <xdr:row>111</xdr:row>
      <xdr:rowOff>142875</xdr:rowOff>
    </xdr:from>
    <xdr:to>
      <xdr:col>5</xdr:col>
      <xdr:colOff>170656</xdr:colOff>
      <xdr:row>112</xdr:row>
      <xdr:rowOff>286544</xdr:rowOff>
    </xdr:to>
    <xdr:pic>
      <xdr:nvPicPr>
        <xdr:cNvPr id="2" name="Picture 3">
          <a:extLst>
            <a:ext uri="{FF2B5EF4-FFF2-40B4-BE49-F238E27FC236}">
              <a16:creationId xmlns:a16="http://schemas.microsoft.com/office/drawing/2014/main" id="{B18BD39A-92DE-453C-AEC1-DA2D748928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33947100"/>
          <a:ext cx="2142331" cy="477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38100</xdr:colOff>
          <xdr:row>135</xdr:row>
          <xdr:rowOff>47625</xdr:rowOff>
        </xdr:from>
        <xdr:to>
          <xdr:col>1</xdr:col>
          <xdr:colOff>76200</xdr:colOff>
          <xdr:row>135</xdr:row>
          <xdr:rowOff>276225</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500-000001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134</xdr:row>
          <xdr:rowOff>47625</xdr:rowOff>
        </xdr:from>
        <xdr:to>
          <xdr:col>1</xdr:col>
          <xdr:colOff>76200</xdr:colOff>
          <xdr:row>134</xdr:row>
          <xdr:rowOff>276225</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500-000002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128</xdr:row>
          <xdr:rowOff>47625</xdr:rowOff>
        </xdr:from>
        <xdr:to>
          <xdr:col>1</xdr:col>
          <xdr:colOff>76200</xdr:colOff>
          <xdr:row>128</xdr:row>
          <xdr:rowOff>276225</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500-000003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126</xdr:row>
          <xdr:rowOff>47625</xdr:rowOff>
        </xdr:from>
        <xdr:to>
          <xdr:col>1</xdr:col>
          <xdr:colOff>76200</xdr:colOff>
          <xdr:row>126</xdr:row>
          <xdr:rowOff>276225</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500-000004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125</xdr:row>
          <xdr:rowOff>47625</xdr:rowOff>
        </xdr:from>
        <xdr:to>
          <xdr:col>1</xdr:col>
          <xdr:colOff>76200</xdr:colOff>
          <xdr:row>125</xdr:row>
          <xdr:rowOff>276225</xdr:rowOff>
        </xdr:to>
        <xdr:sp macro="" textlink="">
          <xdr:nvSpPr>
            <xdr:cNvPr id="40965" name="Check Box 5" hidden="1">
              <a:extLst>
                <a:ext uri="{63B3BB69-23CF-44E3-9099-C40C66FF867C}">
                  <a14:compatExt spid="_x0000_s40965"/>
                </a:ext>
                <a:ext uri="{FF2B5EF4-FFF2-40B4-BE49-F238E27FC236}">
                  <a16:creationId xmlns:a16="http://schemas.microsoft.com/office/drawing/2014/main" id="{00000000-0008-0000-0500-000005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124</xdr:row>
          <xdr:rowOff>47625</xdr:rowOff>
        </xdr:from>
        <xdr:to>
          <xdr:col>1</xdr:col>
          <xdr:colOff>76200</xdr:colOff>
          <xdr:row>124</xdr:row>
          <xdr:rowOff>276225</xdr:rowOff>
        </xdr:to>
        <xdr:sp macro="" textlink="">
          <xdr:nvSpPr>
            <xdr:cNvPr id="40966" name="Check Box 6" hidden="1">
              <a:extLst>
                <a:ext uri="{63B3BB69-23CF-44E3-9099-C40C66FF867C}">
                  <a14:compatExt spid="_x0000_s40966"/>
                </a:ext>
                <a:ext uri="{FF2B5EF4-FFF2-40B4-BE49-F238E27FC236}">
                  <a16:creationId xmlns:a16="http://schemas.microsoft.com/office/drawing/2014/main" id="{00000000-0008-0000-0500-000006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120</xdr:row>
          <xdr:rowOff>47625</xdr:rowOff>
        </xdr:from>
        <xdr:to>
          <xdr:col>1</xdr:col>
          <xdr:colOff>76200</xdr:colOff>
          <xdr:row>120</xdr:row>
          <xdr:rowOff>276225</xdr:rowOff>
        </xdr:to>
        <xdr:sp macro="" textlink="">
          <xdr:nvSpPr>
            <xdr:cNvPr id="40967" name="Check Box 7" hidden="1">
              <a:extLst>
                <a:ext uri="{63B3BB69-23CF-44E3-9099-C40C66FF867C}">
                  <a14:compatExt spid="_x0000_s40967"/>
                </a:ext>
                <a:ext uri="{FF2B5EF4-FFF2-40B4-BE49-F238E27FC236}">
                  <a16:creationId xmlns:a16="http://schemas.microsoft.com/office/drawing/2014/main" id="{00000000-0008-0000-0500-000007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118</xdr:row>
          <xdr:rowOff>47625</xdr:rowOff>
        </xdr:from>
        <xdr:to>
          <xdr:col>1</xdr:col>
          <xdr:colOff>76200</xdr:colOff>
          <xdr:row>118</xdr:row>
          <xdr:rowOff>276225</xdr:rowOff>
        </xdr:to>
        <xdr:sp macro="" textlink="">
          <xdr:nvSpPr>
            <xdr:cNvPr id="40968" name="Check Box 8" hidden="1">
              <a:extLst>
                <a:ext uri="{63B3BB69-23CF-44E3-9099-C40C66FF867C}">
                  <a14:compatExt spid="_x0000_s40968"/>
                </a:ext>
                <a:ext uri="{FF2B5EF4-FFF2-40B4-BE49-F238E27FC236}">
                  <a16:creationId xmlns:a16="http://schemas.microsoft.com/office/drawing/2014/main" id="{00000000-0008-0000-0500-000008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1</xdr:col>
      <xdr:colOff>349249</xdr:colOff>
      <xdr:row>196</xdr:row>
      <xdr:rowOff>30163</xdr:rowOff>
    </xdr:from>
    <xdr:to>
      <xdr:col>5</xdr:col>
      <xdr:colOff>50799</xdr:colOff>
      <xdr:row>197</xdr:row>
      <xdr:rowOff>185738</xdr:rowOff>
    </xdr:to>
    <xdr:pic>
      <xdr:nvPicPr>
        <xdr:cNvPr id="2" name="Picture 3">
          <a:extLst>
            <a:ext uri="{FF2B5EF4-FFF2-40B4-BE49-F238E27FC236}">
              <a16:creationId xmlns:a16="http://schemas.microsoft.com/office/drawing/2014/main" id="{E98BCF8E-6DC5-48A5-B820-CADF9E3E52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799" y="36606163"/>
          <a:ext cx="2063750" cy="34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38100</xdr:colOff>
          <xdr:row>129</xdr:row>
          <xdr:rowOff>47625</xdr:rowOff>
        </xdr:from>
        <xdr:to>
          <xdr:col>1</xdr:col>
          <xdr:colOff>76200</xdr:colOff>
          <xdr:row>129</xdr:row>
          <xdr:rowOff>276225</xdr:rowOff>
        </xdr:to>
        <xdr:sp macro="" textlink="">
          <xdr:nvSpPr>
            <xdr:cNvPr id="40969" name="Check Box 9" hidden="1">
              <a:extLst>
                <a:ext uri="{63B3BB69-23CF-44E3-9099-C40C66FF867C}">
                  <a14:compatExt spid="_x0000_s40969"/>
                </a:ext>
                <a:ext uri="{FF2B5EF4-FFF2-40B4-BE49-F238E27FC236}">
                  <a16:creationId xmlns:a16="http://schemas.microsoft.com/office/drawing/2014/main" id="{00000000-0008-0000-0500-000009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111125</xdr:colOff>
      <xdr:row>122</xdr:row>
      <xdr:rowOff>76200</xdr:rowOff>
    </xdr:from>
    <xdr:to>
      <xdr:col>2</xdr:col>
      <xdr:colOff>248285</xdr:colOff>
      <xdr:row>122</xdr:row>
      <xdr:rowOff>209550</xdr:rowOff>
    </xdr:to>
    <xdr:sp macro="" textlink="">
      <xdr:nvSpPr>
        <xdr:cNvPr id="3" name="Oval 2">
          <a:extLst>
            <a:ext uri="{FF2B5EF4-FFF2-40B4-BE49-F238E27FC236}">
              <a16:creationId xmlns:a16="http://schemas.microsoft.com/office/drawing/2014/main" id="{168416B6-A155-4336-9FFB-AEC976BA9F98}"/>
            </a:ext>
          </a:extLst>
        </xdr:cNvPr>
        <xdr:cNvSpPr/>
      </xdr:nvSpPr>
      <xdr:spPr>
        <a:xfrm>
          <a:off x="1292225" y="23317200"/>
          <a:ext cx="137160" cy="11430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121</xdr:row>
      <xdr:rowOff>101600</xdr:rowOff>
    </xdr:from>
    <xdr:to>
      <xdr:col>2</xdr:col>
      <xdr:colOff>254635</xdr:colOff>
      <xdr:row>121</xdr:row>
      <xdr:rowOff>234950</xdr:rowOff>
    </xdr:to>
    <xdr:sp macro="" textlink="">
      <xdr:nvSpPr>
        <xdr:cNvPr id="4" name="Oval 3">
          <a:extLst>
            <a:ext uri="{FF2B5EF4-FFF2-40B4-BE49-F238E27FC236}">
              <a16:creationId xmlns:a16="http://schemas.microsoft.com/office/drawing/2014/main" id="{60731F0D-8AFD-4D06-8C9E-9F69D7457585}"/>
            </a:ext>
          </a:extLst>
        </xdr:cNvPr>
        <xdr:cNvSpPr/>
      </xdr:nvSpPr>
      <xdr:spPr>
        <a:xfrm>
          <a:off x="1292225" y="23152100"/>
          <a:ext cx="143510" cy="857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120</xdr:row>
      <xdr:rowOff>101600</xdr:rowOff>
    </xdr:from>
    <xdr:to>
      <xdr:col>2</xdr:col>
      <xdr:colOff>248285</xdr:colOff>
      <xdr:row>120</xdr:row>
      <xdr:rowOff>234950</xdr:rowOff>
    </xdr:to>
    <xdr:sp macro="" textlink="">
      <xdr:nvSpPr>
        <xdr:cNvPr id="5" name="Oval 4">
          <a:extLst>
            <a:ext uri="{FF2B5EF4-FFF2-40B4-BE49-F238E27FC236}">
              <a16:creationId xmlns:a16="http://schemas.microsoft.com/office/drawing/2014/main" id="{A4169A86-B0C5-4035-A420-A7281DFFF415}"/>
            </a:ext>
          </a:extLst>
        </xdr:cNvPr>
        <xdr:cNvSpPr/>
      </xdr:nvSpPr>
      <xdr:spPr>
        <a:xfrm>
          <a:off x="1292225" y="22961600"/>
          <a:ext cx="137160" cy="85725"/>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136</xdr:row>
          <xdr:rowOff>0</xdr:rowOff>
        </xdr:from>
        <xdr:to>
          <xdr:col>1</xdr:col>
          <xdr:colOff>76200</xdr:colOff>
          <xdr:row>136</xdr:row>
          <xdr:rowOff>228600</xdr:rowOff>
        </xdr:to>
        <xdr:sp macro="" textlink="">
          <xdr:nvSpPr>
            <xdr:cNvPr id="40970" name="Check Box 10" hidden="1">
              <a:extLst>
                <a:ext uri="{63B3BB69-23CF-44E3-9099-C40C66FF867C}">
                  <a14:compatExt spid="_x0000_s40970"/>
                </a:ext>
                <a:ext uri="{FF2B5EF4-FFF2-40B4-BE49-F238E27FC236}">
                  <a16:creationId xmlns:a16="http://schemas.microsoft.com/office/drawing/2014/main" id="{00000000-0008-0000-0500-00000A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146</xdr:row>
          <xdr:rowOff>47625</xdr:rowOff>
        </xdr:from>
        <xdr:to>
          <xdr:col>1</xdr:col>
          <xdr:colOff>76200</xdr:colOff>
          <xdr:row>146</xdr:row>
          <xdr:rowOff>276225</xdr:rowOff>
        </xdr:to>
        <xdr:sp macro="" textlink="">
          <xdr:nvSpPr>
            <xdr:cNvPr id="40971" name="Check Box 11" hidden="1">
              <a:extLst>
                <a:ext uri="{63B3BB69-23CF-44E3-9099-C40C66FF867C}">
                  <a14:compatExt spid="_x0000_s40971"/>
                </a:ext>
                <a:ext uri="{FF2B5EF4-FFF2-40B4-BE49-F238E27FC236}">
                  <a16:creationId xmlns:a16="http://schemas.microsoft.com/office/drawing/2014/main" id="{00000000-0008-0000-0500-00000B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158</xdr:row>
          <xdr:rowOff>38100</xdr:rowOff>
        </xdr:from>
        <xdr:to>
          <xdr:col>1</xdr:col>
          <xdr:colOff>85725</xdr:colOff>
          <xdr:row>158</xdr:row>
          <xdr:rowOff>266700</xdr:rowOff>
        </xdr:to>
        <xdr:sp macro="" textlink="">
          <xdr:nvSpPr>
            <xdr:cNvPr id="40972" name="Check Box 12" hidden="1">
              <a:extLst>
                <a:ext uri="{63B3BB69-23CF-44E3-9099-C40C66FF867C}">
                  <a14:compatExt spid="_x0000_s40972"/>
                </a:ext>
                <a:ext uri="{FF2B5EF4-FFF2-40B4-BE49-F238E27FC236}">
                  <a16:creationId xmlns:a16="http://schemas.microsoft.com/office/drawing/2014/main" id="{00000000-0008-0000-0500-00000C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159</xdr:row>
          <xdr:rowOff>47625</xdr:rowOff>
        </xdr:from>
        <xdr:to>
          <xdr:col>1</xdr:col>
          <xdr:colOff>76200</xdr:colOff>
          <xdr:row>159</xdr:row>
          <xdr:rowOff>276225</xdr:rowOff>
        </xdr:to>
        <xdr:sp macro="" textlink="">
          <xdr:nvSpPr>
            <xdr:cNvPr id="40973" name="Check Box 13" hidden="1">
              <a:extLst>
                <a:ext uri="{63B3BB69-23CF-44E3-9099-C40C66FF867C}">
                  <a14:compatExt spid="_x0000_s40973"/>
                </a:ext>
                <a:ext uri="{FF2B5EF4-FFF2-40B4-BE49-F238E27FC236}">
                  <a16:creationId xmlns:a16="http://schemas.microsoft.com/office/drawing/2014/main" id="{00000000-0008-0000-0500-00000D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170</xdr:row>
          <xdr:rowOff>47625</xdr:rowOff>
        </xdr:from>
        <xdr:to>
          <xdr:col>1</xdr:col>
          <xdr:colOff>76200</xdr:colOff>
          <xdr:row>170</xdr:row>
          <xdr:rowOff>276225</xdr:rowOff>
        </xdr:to>
        <xdr:sp macro="" textlink="">
          <xdr:nvSpPr>
            <xdr:cNvPr id="40974" name="Check Box 14" hidden="1">
              <a:extLst>
                <a:ext uri="{63B3BB69-23CF-44E3-9099-C40C66FF867C}">
                  <a14:compatExt spid="_x0000_s40974"/>
                </a:ext>
                <a:ext uri="{FF2B5EF4-FFF2-40B4-BE49-F238E27FC236}">
                  <a16:creationId xmlns:a16="http://schemas.microsoft.com/office/drawing/2014/main" id="{00000000-0008-0000-0500-00000E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175</xdr:row>
          <xdr:rowOff>47625</xdr:rowOff>
        </xdr:from>
        <xdr:to>
          <xdr:col>1</xdr:col>
          <xdr:colOff>76200</xdr:colOff>
          <xdr:row>175</xdr:row>
          <xdr:rowOff>276225</xdr:rowOff>
        </xdr:to>
        <xdr:sp macro="" textlink="">
          <xdr:nvSpPr>
            <xdr:cNvPr id="40975" name="Check Box 15" hidden="1">
              <a:extLst>
                <a:ext uri="{63B3BB69-23CF-44E3-9099-C40C66FF867C}">
                  <a14:compatExt spid="_x0000_s40975"/>
                </a:ext>
                <a:ext uri="{FF2B5EF4-FFF2-40B4-BE49-F238E27FC236}">
                  <a16:creationId xmlns:a16="http://schemas.microsoft.com/office/drawing/2014/main" id="{00000000-0008-0000-0500-00000F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175</xdr:row>
          <xdr:rowOff>47625</xdr:rowOff>
        </xdr:from>
        <xdr:to>
          <xdr:col>1</xdr:col>
          <xdr:colOff>76200</xdr:colOff>
          <xdr:row>175</xdr:row>
          <xdr:rowOff>276225</xdr:rowOff>
        </xdr:to>
        <xdr:sp macro="" textlink="">
          <xdr:nvSpPr>
            <xdr:cNvPr id="40976" name="Check Box 16" hidden="1">
              <a:extLst>
                <a:ext uri="{63B3BB69-23CF-44E3-9099-C40C66FF867C}">
                  <a14:compatExt spid="_x0000_s40976"/>
                </a:ext>
                <a:ext uri="{FF2B5EF4-FFF2-40B4-BE49-F238E27FC236}">
                  <a16:creationId xmlns:a16="http://schemas.microsoft.com/office/drawing/2014/main" id="{00000000-0008-0000-0500-000010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160</xdr:row>
          <xdr:rowOff>47625</xdr:rowOff>
        </xdr:from>
        <xdr:to>
          <xdr:col>1</xdr:col>
          <xdr:colOff>76200</xdr:colOff>
          <xdr:row>160</xdr:row>
          <xdr:rowOff>304800</xdr:rowOff>
        </xdr:to>
        <xdr:sp macro="" textlink="">
          <xdr:nvSpPr>
            <xdr:cNvPr id="40977" name="Check Box 17" hidden="1">
              <a:extLst>
                <a:ext uri="{63B3BB69-23CF-44E3-9099-C40C66FF867C}">
                  <a14:compatExt spid="_x0000_s40977"/>
                </a:ext>
                <a:ext uri="{FF2B5EF4-FFF2-40B4-BE49-F238E27FC236}">
                  <a16:creationId xmlns:a16="http://schemas.microsoft.com/office/drawing/2014/main" id="{00000000-0008-0000-0500-000011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127</xdr:row>
          <xdr:rowOff>47625</xdr:rowOff>
        </xdr:from>
        <xdr:to>
          <xdr:col>1</xdr:col>
          <xdr:colOff>76200</xdr:colOff>
          <xdr:row>127</xdr:row>
          <xdr:rowOff>276225</xdr:rowOff>
        </xdr:to>
        <xdr:sp macro="" textlink="">
          <xdr:nvSpPr>
            <xdr:cNvPr id="40978" name="Check Box 18" hidden="1">
              <a:extLst>
                <a:ext uri="{63B3BB69-23CF-44E3-9099-C40C66FF867C}">
                  <a14:compatExt spid="_x0000_s40978"/>
                </a:ext>
                <a:ext uri="{FF2B5EF4-FFF2-40B4-BE49-F238E27FC236}">
                  <a16:creationId xmlns:a16="http://schemas.microsoft.com/office/drawing/2014/main" id="{00000000-0008-0000-0500-000012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177</xdr:row>
          <xdr:rowOff>0</xdr:rowOff>
        </xdr:from>
        <xdr:to>
          <xdr:col>1</xdr:col>
          <xdr:colOff>76200</xdr:colOff>
          <xdr:row>178</xdr:row>
          <xdr:rowOff>66675</xdr:rowOff>
        </xdr:to>
        <xdr:sp macro="" textlink="">
          <xdr:nvSpPr>
            <xdr:cNvPr id="40979" name="Check Box 19" hidden="1">
              <a:extLst>
                <a:ext uri="{63B3BB69-23CF-44E3-9099-C40C66FF867C}">
                  <a14:compatExt spid="_x0000_s40979"/>
                </a:ext>
                <a:ext uri="{FF2B5EF4-FFF2-40B4-BE49-F238E27FC236}">
                  <a16:creationId xmlns:a16="http://schemas.microsoft.com/office/drawing/2014/main" id="{00000000-0008-0000-0500-000013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179</xdr:row>
          <xdr:rowOff>304800</xdr:rowOff>
        </xdr:from>
        <xdr:to>
          <xdr:col>1</xdr:col>
          <xdr:colOff>76200</xdr:colOff>
          <xdr:row>181</xdr:row>
          <xdr:rowOff>38100</xdr:rowOff>
        </xdr:to>
        <xdr:sp macro="" textlink="">
          <xdr:nvSpPr>
            <xdr:cNvPr id="40980" name="Check Box 20" hidden="1">
              <a:extLst>
                <a:ext uri="{63B3BB69-23CF-44E3-9099-C40C66FF867C}">
                  <a14:compatExt spid="_x0000_s40980"/>
                </a:ext>
                <a:ext uri="{FF2B5EF4-FFF2-40B4-BE49-F238E27FC236}">
                  <a16:creationId xmlns:a16="http://schemas.microsoft.com/office/drawing/2014/main" id="{00000000-0008-0000-0500-000014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132</xdr:row>
          <xdr:rowOff>47625</xdr:rowOff>
        </xdr:from>
        <xdr:to>
          <xdr:col>1</xdr:col>
          <xdr:colOff>76200</xdr:colOff>
          <xdr:row>132</xdr:row>
          <xdr:rowOff>276225</xdr:rowOff>
        </xdr:to>
        <xdr:sp macro="" textlink="">
          <xdr:nvSpPr>
            <xdr:cNvPr id="40981" name="Check Box 21" hidden="1">
              <a:extLst>
                <a:ext uri="{63B3BB69-23CF-44E3-9099-C40C66FF867C}">
                  <a14:compatExt spid="_x0000_s40981"/>
                </a:ext>
                <a:ext uri="{FF2B5EF4-FFF2-40B4-BE49-F238E27FC236}">
                  <a16:creationId xmlns:a16="http://schemas.microsoft.com/office/drawing/2014/main" id="{00000000-0008-0000-0500-000015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138</xdr:row>
          <xdr:rowOff>47625</xdr:rowOff>
        </xdr:from>
        <xdr:to>
          <xdr:col>1</xdr:col>
          <xdr:colOff>76200</xdr:colOff>
          <xdr:row>138</xdr:row>
          <xdr:rowOff>276225</xdr:rowOff>
        </xdr:to>
        <xdr:sp macro="" textlink="">
          <xdr:nvSpPr>
            <xdr:cNvPr id="40982" name="Check Box 22" hidden="1">
              <a:extLst>
                <a:ext uri="{63B3BB69-23CF-44E3-9099-C40C66FF867C}">
                  <a14:compatExt spid="_x0000_s40982"/>
                </a:ext>
                <a:ext uri="{FF2B5EF4-FFF2-40B4-BE49-F238E27FC236}">
                  <a16:creationId xmlns:a16="http://schemas.microsoft.com/office/drawing/2014/main" id="{00000000-0008-0000-0500-000016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2</xdr:col>
      <xdr:colOff>123825</xdr:colOff>
      <xdr:row>139</xdr:row>
      <xdr:rowOff>92075</xdr:rowOff>
    </xdr:from>
    <xdr:to>
      <xdr:col>2</xdr:col>
      <xdr:colOff>254635</xdr:colOff>
      <xdr:row>139</xdr:row>
      <xdr:rowOff>225425</xdr:rowOff>
    </xdr:to>
    <xdr:sp macro="" textlink="">
      <xdr:nvSpPr>
        <xdr:cNvPr id="7" name="Oval 6">
          <a:extLst>
            <a:ext uri="{FF2B5EF4-FFF2-40B4-BE49-F238E27FC236}">
              <a16:creationId xmlns:a16="http://schemas.microsoft.com/office/drawing/2014/main" id="{99068D19-7B7F-4878-BF35-FDD1C2F72FD2}"/>
            </a:ext>
          </a:extLst>
        </xdr:cNvPr>
        <xdr:cNvSpPr/>
      </xdr:nvSpPr>
      <xdr:spPr>
        <a:xfrm>
          <a:off x="1304925" y="26571575"/>
          <a:ext cx="130810" cy="95250"/>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2</xdr:col>
      <xdr:colOff>111125</xdr:colOff>
      <xdr:row>138</xdr:row>
      <xdr:rowOff>104775</xdr:rowOff>
    </xdr:from>
    <xdr:to>
      <xdr:col>2</xdr:col>
      <xdr:colOff>257810</xdr:colOff>
      <xdr:row>138</xdr:row>
      <xdr:rowOff>238125</xdr:rowOff>
    </xdr:to>
    <xdr:sp macro="" textlink="">
      <xdr:nvSpPr>
        <xdr:cNvPr id="8" name="Oval 7">
          <a:extLst>
            <a:ext uri="{FF2B5EF4-FFF2-40B4-BE49-F238E27FC236}">
              <a16:creationId xmlns:a16="http://schemas.microsoft.com/office/drawing/2014/main" id="{8974FFB9-0418-4D80-9AAD-4F4889C2DF3B}"/>
            </a:ext>
          </a:extLst>
        </xdr:cNvPr>
        <xdr:cNvSpPr/>
      </xdr:nvSpPr>
      <xdr:spPr>
        <a:xfrm>
          <a:off x="1292225" y="26393775"/>
          <a:ext cx="146685" cy="85725"/>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38100</xdr:colOff>
          <xdr:row>141</xdr:row>
          <xdr:rowOff>47625</xdr:rowOff>
        </xdr:from>
        <xdr:to>
          <xdr:col>1</xdr:col>
          <xdr:colOff>76200</xdr:colOff>
          <xdr:row>141</xdr:row>
          <xdr:rowOff>276225</xdr:rowOff>
        </xdr:to>
        <xdr:sp macro="" textlink="">
          <xdr:nvSpPr>
            <xdr:cNvPr id="40983" name="Check Box 23" hidden="1">
              <a:extLst>
                <a:ext uri="{63B3BB69-23CF-44E3-9099-C40C66FF867C}">
                  <a14:compatExt spid="_x0000_s40983"/>
                </a:ext>
                <a:ext uri="{FF2B5EF4-FFF2-40B4-BE49-F238E27FC236}">
                  <a16:creationId xmlns:a16="http://schemas.microsoft.com/office/drawing/2014/main" id="{00000000-0008-0000-0500-000017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151</xdr:row>
          <xdr:rowOff>47625</xdr:rowOff>
        </xdr:from>
        <xdr:to>
          <xdr:col>1</xdr:col>
          <xdr:colOff>76200</xdr:colOff>
          <xdr:row>151</xdr:row>
          <xdr:rowOff>276225</xdr:rowOff>
        </xdr:to>
        <xdr:sp macro="" textlink="">
          <xdr:nvSpPr>
            <xdr:cNvPr id="40984" name="Check Box 24" hidden="1">
              <a:extLst>
                <a:ext uri="{63B3BB69-23CF-44E3-9099-C40C66FF867C}">
                  <a14:compatExt spid="_x0000_s40984"/>
                </a:ext>
                <a:ext uri="{FF2B5EF4-FFF2-40B4-BE49-F238E27FC236}">
                  <a16:creationId xmlns:a16="http://schemas.microsoft.com/office/drawing/2014/main" id="{00000000-0008-0000-0500-000018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111</xdr:row>
          <xdr:rowOff>47625</xdr:rowOff>
        </xdr:from>
        <xdr:to>
          <xdr:col>1</xdr:col>
          <xdr:colOff>76200</xdr:colOff>
          <xdr:row>111</xdr:row>
          <xdr:rowOff>276225</xdr:rowOff>
        </xdr:to>
        <xdr:sp macro="" textlink="">
          <xdr:nvSpPr>
            <xdr:cNvPr id="40985" name="Check Box 25" hidden="1">
              <a:extLst>
                <a:ext uri="{63B3BB69-23CF-44E3-9099-C40C66FF867C}">
                  <a14:compatExt spid="_x0000_s40985"/>
                </a:ext>
                <a:ext uri="{FF2B5EF4-FFF2-40B4-BE49-F238E27FC236}">
                  <a16:creationId xmlns:a16="http://schemas.microsoft.com/office/drawing/2014/main" id="{00000000-0008-0000-0500-000019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110</xdr:row>
          <xdr:rowOff>47625</xdr:rowOff>
        </xdr:from>
        <xdr:to>
          <xdr:col>1</xdr:col>
          <xdr:colOff>76200</xdr:colOff>
          <xdr:row>110</xdr:row>
          <xdr:rowOff>276225</xdr:rowOff>
        </xdr:to>
        <xdr:sp macro="" textlink="">
          <xdr:nvSpPr>
            <xdr:cNvPr id="40986" name="Check Box 26" hidden="1">
              <a:extLst>
                <a:ext uri="{63B3BB69-23CF-44E3-9099-C40C66FF867C}">
                  <a14:compatExt spid="_x0000_s40986"/>
                </a:ext>
                <a:ext uri="{FF2B5EF4-FFF2-40B4-BE49-F238E27FC236}">
                  <a16:creationId xmlns:a16="http://schemas.microsoft.com/office/drawing/2014/main" id="{00000000-0008-0000-0500-00001A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109</xdr:row>
          <xdr:rowOff>47625</xdr:rowOff>
        </xdr:from>
        <xdr:to>
          <xdr:col>1</xdr:col>
          <xdr:colOff>76200</xdr:colOff>
          <xdr:row>109</xdr:row>
          <xdr:rowOff>276225</xdr:rowOff>
        </xdr:to>
        <xdr:sp macro="" textlink="">
          <xdr:nvSpPr>
            <xdr:cNvPr id="40987" name="Check Box 27" hidden="1">
              <a:extLst>
                <a:ext uri="{63B3BB69-23CF-44E3-9099-C40C66FF867C}">
                  <a14:compatExt spid="_x0000_s40987"/>
                </a:ext>
                <a:ext uri="{FF2B5EF4-FFF2-40B4-BE49-F238E27FC236}">
                  <a16:creationId xmlns:a16="http://schemas.microsoft.com/office/drawing/2014/main" id="{00000000-0008-0000-0500-00001B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108</xdr:row>
          <xdr:rowOff>47625</xdr:rowOff>
        </xdr:from>
        <xdr:to>
          <xdr:col>1</xdr:col>
          <xdr:colOff>76200</xdr:colOff>
          <xdr:row>108</xdr:row>
          <xdr:rowOff>276225</xdr:rowOff>
        </xdr:to>
        <xdr:sp macro="" textlink="">
          <xdr:nvSpPr>
            <xdr:cNvPr id="40988" name="Check Box 28" hidden="1">
              <a:extLst>
                <a:ext uri="{63B3BB69-23CF-44E3-9099-C40C66FF867C}">
                  <a14:compatExt spid="_x0000_s40988"/>
                </a:ext>
                <a:ext uri="{FF2B5EF4-FFF2-40B4-BE49-F238E27FC236}">
                  <a16:creationId xmlns:a16="http://schemas.microsoft.com/office/drawing/2014/main" id="{00000000-0008-0000-0500-00001C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103</xdr:row>
          <xdr:rowOff>47625</xdr:rowOff>
        </xdr:from>
        <xdr:to>
          <xdr:col>1</xdr:col>
          <xdr:colOff>76200</xdr:colOff>
          <xdr:row>103</xdr:row>
          <xdr:rowOff>276225</xdr:rowOff>
        </xdr:to>
        <xdr:sp macro="" textlink="">
          <xdr:nvSpPr>
            <xdr:cNvPr id="40989" name="Check Box 29" hidden="1">
              <a:extLst>
                <a:ext uri="{63B3BB69-23CF-44E3-9099-C40C66FF867C}">
                  <a14:compatExt spid="_x0000_s40989"/>
                </a:ext>
                <a:ext uri="{FF2B5EF4-FFF2-40B4-BE49-F238E27FC236}">
                  <a16:creationId xmlns:a16="http://schemas.microsoft.com/office/drawing/2014/main" id="{00000000-0008-0000-0500-00001D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102</xdr:row>
          <xdr:rowOff>47625</xdr:rowOff>
        </xdr:from>
        <xdr:to>
          <xdr:col>1</xdr:col>
          <xdr:colOff>76200</xdr:colOff>
          <xdr:row>102</xdr:row>
          <xdr:rowOff>276225</xdr:rowOff>
        </xdr:to>
        <xdr:sp macro="" textlink="">
          <xdr:nvSpPr>
            <xdr:cNvPr id="40990" name="Check Box 30" hidden="1">
              <a:extLst>
                <a:ext uri="{63B3BB69-23CF-44E3-9099-C40C66FF867C}">
                  <a14:compatExt spid="_x0000_s40990"/>
                </a:ext>
                <a:ext uri="{FF2B5EF4-FFF2-40B4-BE49-F238E27FC236}">
                  <a16:creationId xmlns:a16="http://schemas.microsoft.com/office/drawing/2014/main" id="{00000000-0008-0000-0500-00001E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101</xdr:row>
          <xdr:rowOff>47625</xdr:rowOff>
        </xdr:from>
        <xdr:to>
          <xdr:col>1</xdr:col>
          <xdr:colOff>76200</xdr:colOff>
          <xdr:row>101</xdr:row>
          <xdr:rowOff>276225</xdr:rowOff>
        </xdr:to>
        <xdr:sp macro="" textlink="">
          <xdr:nvSpPr>
            <xdr:cNvPr id="40991" name="Check Box 31" hidden="1">
              <a:extLst>
                <a:ext uri="{63B3BB69-23CF-44E3-9099-C40C66FF867C}">
                  <a14:compatExt spid="_x0000_s40991"/>
                </a:ext>
                <a:ext uri="{FF2B5EF4-FFF2-40B4-BE49-F238E27FC236}">
                  <a16:creationId xmlns:a16="http://schemas.microsoft.com/office/drawing/2014/main" id="{00000000-0008-0000-0500-00001F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100</xdr:row>
          <xdr:rowOff>47625</xdr:rowOff>
        </xdr:from>
        <xdr:to>
          <xdr:col>1</xdr:col>
          <xdr:colOff>76200</xdr:colOff>
          <xdr:row>100</xdr:row>
          <xdr:rowOff>276225</xdr:rowOff>
        </xdr:to>
        <xdr:sp macro="" textlink="">
          <xdr:nvSpPr>
            <xdr:cNvPr id="40992" name="Check Box 32" hidden="1">
              <a:extLst>
                <a:ext uri="{63B3BB69-23CF-44E3-9099-C40C66FF867C}">
                  <a14:compatExt spid="_x0000_s40992"/>
                </a:ext>
                <a:ext uri="{FF2B5EF4-FFF2-40B4-BE49-F238E27FC236}">
                  <a16:creationId xmlns:a16="http://schemas.microsoft.com/office/drawing/2014/main" id="{00000000-0008-0000-0500-000020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43</xdr:row>
          <xdr:rowOff>47625</xdr:rowOff>
        </xdr:from>
        <xdr:to>
          <xdr:col>1</xdr:col>
          <xdr:colOff>76200</xdr:colOff>
          <xdr:row>43</xdr:row>
          <xdr:rowOff>276225</xdr:rowOff>
        </xdr:to>
        <xdr:sp macro="" textlink="">
          <xdr:nvSpPr>
            <xdr:cNvPr id="40997" name="Check Box 37" hidden="1">
              <a:extLst>
                <a:ext uri="{63B3BB69-23CF-44E3-9099-C40C66FF867C}">
                  <a14:compatExt spid="_x0000_s40997"/>
                </a:ext>
                <a:ext uri="{FF2B5EF4-FFF2-40B4-BE49-F238E27FC236}">
                  <a16:creationId xmlns:a16="http://schemas.microsoft.com/office/drawing/2014/main" id="{00000000-0008-0000-0500-000025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21</xdr:row>
          <xdr:rowOff>47625</xdr:rowOff>
        </xdr:from>
        <xdr:to>
          <xdr:col>1</xdr:col>
          <xdr:colOff>76200</xdr:colOff>
          <xdr:row>21</xdr:row>
          <xdr:rowOff>276225</xdr:rowOff>
        </xdr:to>
        <xdr:sp macro="" textlink="">
          <xdr:nvSpPr>
            <xdr:cNvPr id="40998" name="Check Box 38" hidden="1">
              <a:extLst>
                <a:ext uri="{63B3BB69-23CF-44E3-9099-C40C66FF867C}">
                  <a14:compatExt spid="_x0000_s40998"/>
                </a:ext>
                <a:ext uri="{FF2B5EF4-FFF2-40B4-BE49-F238E27FC236}">
                  <a16:creationId xmlns:a16="http://schemas.microsoft.com/office/drawing/2014/main" id="{00000000-0008-0000-0500-000026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20</xdr:row>
          <xdr:rowOff>47625</xdr:rowOff>
        </xdr:from>
        <xdr:to>
          <xdr:col>1</xdr:col>
          <xdr:colOff>76200</xdr:colOff>
          <xdr:row>21</xdr:row>
          <xdr:rowOff>9525</xdr:rowOff>
        </xdr:to>
        <xdr:sp macro="" textlink="">
          <xdr:nvSpPr>
            <xdr:cNvPr id="40999" name="Check Box 39" hidden="1">
              <a:extLst>
                <a:ext uri="{63B3BB69-23CF-44E3-9099-C40C66FF867C}">
                  <a14:compatExt spid="_x0000_s40999"/>
                </a:ext>
                <a:ext uri="{FF2B5EF4-FFF2-40B4-BE49-F238E27FC236}">
                  <a16:creationId xmlns:a16="http://schemas.microsoft.com/office/drawing/2014/main" id="{00000000-0008-0000-0500-000027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19</xdr:row>
          <xdr:rowOff>47625</xdr:rowOff>
        </xdr:from>
        <xdr:to>
          <xdr:col>1</xdr:col>
          <xdr:colOff>76200</xdr:colOff>
          <xdr:row>20</xdr:row>
          <xdr:rowOff>0</xdr:rowOff>
        </xdr:to>
        <xdr:sp macro="" textlink="">
          <xdr:nvSpPr>
            <xdr:cNvPr id="41000" name="Check Box 40" hidden="1">
              <a:extLst>
                <a:ext uri="{63B3BB69-23CF-44E3-9099-C40C66FF867C}">
                  <a14:compatExt spid="_x0000_s41000"/>
                </a:ext>
                <a:ext uri="{FF2B5EF4-FFF2-40B4-BE49-F238E27FC236}">
                  <a16:creationId xmlns:a16="http://schemas.microsoft.com/office/drawing/2014/main" id="{00000000-0008-0000-0500-000028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xdr:row>
          <xdr:rowOff>47625</xdr:rowOff>
        </xdr:from>
        <xdr:to>
          <xdr:col>1</xdr:col>
          <xdr:colOff>76200</xdr:colOff>
          <xdr:row>16</xdr:row>
          <xdr:rowOff>9525</xdr:rowOff>
        </xdr:to>
        <xdr:sp macro="" textlink="">
          <xdr:nvSpPr>
            <xdr:cNvPr id="41001" name="Check Box 41" hidden="1">
              <a:extLst>
                <a:ext uri="{63B3BB69-23CF-44E3-9099-C40C66FF867C}">
                  <a14:compatExt spid="_x0000_s41001"/>
                </a:ext>
                <a:ext uri="{FF2B5EF4-FFF2-40B4-BE49-F238E27FC236}">
                  <a16:creationId xmlns:a16="http://schemas.microsoft.com/office/drawing/2014/main" id="{00000000-0008-0000-0500-000029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14</xdr:row>
          <xdr:rowOff>47625</xdr:rowOff>
        </xdr:from>
        <xdr:to>
          <xdr:col>1</xdr:col>
          <xdr:colOff>76200</xdr:colOff>
          <xdr:row>14</xdr:row>
          <xdr:rowOff>276225</xdr:rowOff>
        </xdr:to>
        <xdr:sp macro="" textlink="">
          <xdr:nvSpPr>
            <xdr:cNvPr id="41002" name="Check Box 42" hidden="1">
              <a:extLst>
                <a:ext uri="{63B3BB69-23CF-44E3-9099-C40C66FF867C}">
                  <a14:compatExt spid="_x0000_s41002"/>
                </a:ext>
                <a:ext uri="{FF2B5EF4-FFF2-40B4-BE49-F238E27FC236}">
                  <a16:creationId xmlns:a16="http://schemas.microsoft.com/office/drawing/2014/main" id="{00000000-0008-0000-0500-00002A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154</xdr:row>
          <xdr:rowOff>47625</xdr:rowOff>
        </xdr:from>
        <xdr:to>
          <xdr:col>1</xdr:col>
          <xdr:colOff>76200</xdr:colOff>
          <xdr:row>154</xdr:row>
          <xdr:rowOff>276225</xdr:rowOff>
        </xdr:to>
        <xdr:sp macro="" textlink="">
          <xdr:nvSpPr>
            <xdr:cNvPr id="41003" name="Check Box 43" hidden="1">
              <a:extLst>
                <a:ext uri="{63B3BB69-23CF-44E3-9099-C40C66FF867C}">
                  <a14:compatExt spid="_x0000_s41003"/>
                </a:ext>
                <a:ext uri="{FF2B5EF4-FFF2-40B4-BE49-F238E27FC236}">
                  <a16:creationId xmlns:a16="http://schemas.microsoft.com/office/drawing/2014/main" id="{00000000-0008-0000-0500-00002B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152</xdr:row>
          <xdr:rowOff>28575</xdr:rowOff>
        </xdr:from>
        <xdr:to>
          <xdr:col>1</xdr:col>
          <xdr:colOff>76200</xdr:colOff>
          <xdr:row>152</xdr:row>
          <xdr:rowOff>257175</xdr:rowOff>
        </xdr:to>
        <xdr:sp macro="" textlink="">
          <xdr:nvSpPr>
            <xdr:cNvPr id="41004" name="Check Box 44" hidden="1">
              <a:extLst>
                <a:ext uri="{63B3BB69-23CF-44E3-9099-C40C66FF867C}">
                  <a14:compatExt spid="_x0000_s41004"/>
                </a:ext>
                <a:ext uri="{FF2B5EF4-FFF2-40B4-BE49-F238E27FC236}">
                  <a16:creationId xmlns:a16="http://schemas.microsoft.com/office/drawing/2014/main" id="{00000000-0008-0000-0500-00002CA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198</xdr:row>
          <xdr:rowOff>47625</xdr:rowOff>
        </xdr:from>
        <xdr:to>
          <xdr:col>1</xdr:col>
          <xdr:colOff>76200</xdr:colOff>
          <xdr:row>198</xdr:row>
          <xdr:rowOff>276225</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600-00000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47625</xdr:rowOff>
        </xdr:from>
        <xdr:to>
          <xdr:col>1</xdr:col>
          <xdr:colOff>76200</xdr:colOff>
          <xdr:row>40</xdr:row>
          <xdr:rowOff>276225</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600-00000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47625</xdr:rowOff>
        </xdr:from>
        <xdr:to>
          <xdr:col>1</xdr:col>
          <xdr:colOff>76200</xdr:colOff>
          <xdr:row>39</xdr:row>
          <xdr:rowOff>276225</xdr:rowOff>
        </xdr:to>
        <xdr:sp macro="" textlink="">
          <xdr:nvSpPr>
            <xdr:cNvPr id="17411" name="Check Box 3" hidden="1">
              <a:extLst>
                <a:ext uri="{63B3BB69-23CF-44E3-9099-C40C66FF867C}">
                  <a14:compatExt spid="_x0000_s17411"/>
                </a:ext>
                <a:ext uri="{FF2B5EF4-FFF2-40B4-BE49-F238E27FC236}">
                  <a16:creationId xmlns:a16="http://schemas.microsoft.com/office/drawing/2014/main" id="{00000000-0008-0000-0600-00000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47625</xdr:rowOff>
        </xdr:from>
        <xdr:to>
          <xdr:col>1</xdr:col>
          <xdr:colOff>76200</xdr:colOff>
          <xdr:row>35</xdr:row>
          <xdr:rowOff>276225</xdr:rowOff>
        </xdr:to>
        <xdr:sp macro="" textlink="">
          <xdr:nvSpPr>
            <xdr:cNvPr id="17412" name="Check Box 4" hidden="1">
              <a:extLst>
                <a:ext uri="{63B3BB69-23CF-44E3-9099-C40C66FF867C}">
                  <a14:compatExt spid="_x0000_s17412"/>
                </a:ext>
                <a:ext uri="{FF2B5EF4-FFF2-40B4-BE49-F238E27FC236}">
                  <a16:creationId xmlns:a16="http://schemas.microsoft.com/office/drawing/2014/main" id="{00000000-0008-0000-0600-00000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33</xdr:row>
          <xdr:rowOff>47625</xdr:rowOff>
        </xdr:from>
        <xdr:to>
          <xdr:col>1</xdr:col>
          <xdr:colOff>76200</xdr:colOff>
          <xdr:row>33</xdr:row>
          <xdr:rowOff>276225</xdr:rowOff>
        </xdr:to>
        <xdr:sp macro="" textlink="">
          <xdr:nvSpPr>
            <xdr:cNvPr id="17413" name="Check Box 5" hidden="1">
              <a:extLst>
                <a:ext uri="{63B3BB69-23CF-44E3-9099-C40C66FF867C}">
                  <a14:compatExt spid="_x0000_s17413"/>
                </a:ext>
                <a:ext uri="{FF2B5EF4-FFF2-40B4-BE49-F238E27FC236}">
                  <a16:creationId xmlns:a16="http://schemas.microsoft.com/office/drawing/2014/main" id="{00000000-0008-0000-0600-00000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47625</xdr:rowOff>
        </xdr:from>
        <xdr:to>
          <xdr:col>1</xdr:col>
          <xdr:colOff>76200</xdr:colOff>
          <xdr:row>32</xdr:row>
          <xdr:rowOff>276225</xdr:rowOff>
        </xdr:to>
        <xdr:sp macro="" textlink="">
          <xdr:nvSpPr>
            <xdr:cNvPr id="17414" name="Check Box 6" hidden="1">
              <a:extLst>
                <a:ext uri="{63B3BB69-23CF-44E3-9099-C40C66FF867C}">
                  <a14:compatExt spid="_x0000_s17414"/>
                </a:ext>
                <a:ext uri="{FF2B5EF4-FFF2-40B4-BE49-F238E27FC236}">
                  <a16:creationId xmlns:a16="http://schemas.microsoft.com/office/drawing/2014/main" id="{00000000-0008-0000-0600-00000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22</xdr:row>
          <xdr:rowOff>47625</xdr:rowOff>
        </xdr:from>
        <xdr:to>
          <xdr:col>1</xdr:col>
          <xdr:colOff>76200</xdr:colOff>
          <xdr:row>22</xdr:row>
          <xdr:rowOff>276225</xdr:rowOff>
        </xdr:to>
        <xdr:sp macro="" textlink="">
          <xdr:nvSpPr>
            <xdr:cNvPr id="17415" name="Check Box 7" hidden="1">
              <a:extLst>
                <a:ext uri="{63B3BB69-23CF-44E3-9099-C40C66FF867C}">
                  <a14:compatExt spid="_x0000_s17415"/>
                </a:ext>
                <a:ext uri="{FF2B5EF4-FFF2-40B4-BE49-F238E27FC236}">
                  <a16:creationId xmlns:a16="http://schemas.microsoft.com/office/drawing/2014/main" id="{00000000-0008-0000-0600-00000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21</xdr:row>
          <xdr:rowOff>47625</xdr:rowOff>
        </xdr:from>
        <xdr:to>
          <xdr:col>1</xdr:col>
          <xdr:colOff>76200</xdr:colOff>
          <xdr:row>21</xdr:row>
          <xdr:rowOff>276225</xdr:rowOff>
        </xdr:to>
        <xdr:sp macro="" textlink="">
          <xdr:nvSpPr>
            <xdr:cNvPr id="17416" name="Check Box 8" hidden="1">
              <a:extLst>
                <a:ext uri="{63B3BB69-23CF-44E3-9099-C40C66FF867C}">
                  <a14:compatExt spid="_x0000_s17416"/>
                </a:ext>
                <a:ext uri="{FF2B5EF4-FFF2-40B4-BE49-F238E27FC236}">
                  <a16:creationId xmlns:a16="http://schemas.microsoft.com/office/drawing/2014/main" id="{00000000-0008-0000-0600-00000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16</xdr:row>
          <xdr:rowOff>47625</xdr:rowOff>
        </xdr:from>
        <xdr:to>
          <xdr:col>1</xdr:col>
          <xdr:colOff>76200</xdr:colOff>
          <xdr:row>16</xdr:row>
          <xdr:rowOff>276225</xdr:rowOff>
        </xdr:to>
        <xdr:sp macro="" textlink="">
          <xdr:nvSpPr>
            <xdr:cNvPr id="17417" name="Check Box 9" hidden="1">
              <a:extLst>
                <a:ext uri="{63B3BB69-23CF-44E3-9099-C40C66FF867C}">
                  <a14:compatExt spid="_x0000_s17417"/>
                </a:ext>
                <a:ext uri="{FF2B5EF4-FFF2-40B4-BE49-F238E27FC236}">
                  <a16:creationId xmlns:a16="http://schemas.microsoft.com/office/drawing/2014/main" id="{00000000-0008-0000-0600-00000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xdr:row>
          <xdr:rowOff>47625</xdr:rowOff>
        </xdr:from>
        <xdr:to>
          <xdr:col>1</xdr:col>
          <xdr:colOff>76200</xdr:colOff>
          <xdr:row>14</xdr:row>
          <xdr:rowOff>276225</xdr:rowOff>
        </xdr:to>
        <xdr:sp macro="" textlink="">
          <xdr:nvSpPr>
            <xdr:cNvPr id="17418" name="Check Box 10" hidden="1">
              <a:extLst>
                <a:ext uri="{63B3BB69-23CF-44E3-9099-C40C66FF867C}">
                  <a14:compatExt spid="_x0000_s17418"/>
                </a:ext>
                <a:ext uri="{FF2B5EF4-FFF2-40B4-BE49-F238E27FC236}">
                  <a16:creationId xmlns:a16="http://schemas.microsoft.com/office/drawing/2014/main" id="{00000000-0008-0000-0600-00000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349249</xdr:colOff>
      <xdr:row>213</xdr:row>
      <xdr:rowOff>30163</xdr:rowOff>
    </xdr:from>
    <xdr:to>
      <xdr:col>5</xdr:col>
      <xdr:colOff>50799</xdr:colOff>
      <xdr:row>214</xdr:row>
      <xdr:rowOff>185738</xdr:rowOff>
    </xdr:to>
    <xdr:pic>
      <xdr:nvPicPr>
        <xdr:cNvPr id="2" name="Picture 3">
          <a:extLst>
            <a:ext uri="{FF2B5EF4-FFF2-40B4-BE49-F238E27FC236}">
              <a16:creationId xmlns:a16="http://schemas.microsoft.com/office/drawing/2014/main" id="{C2CCEDB2-346F-4F2C-996D-A46E281E7D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4049" y="61895038"/>
          <a:ext cx="2139950" cy="479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13</xdr:row>
          <xdr:rowOff>47625</xdr:rowOff>
        </xdr:from>
        <xdr:to>
          <xdr:col>1</xdr:col>
          <xdr:colOff>76200</xdr:colOff>
          <xdr:row>13</xdr:row>
          <xdr:rowOff>276225</xdr:rowOff>
        </xdr:to>
        <xdr:sp macro="" textlink="">
          <xdr:nvSpPr>
            <xdr:cNvPr id="17419" name="Check Box 11" hidden="1">
              <a:extLst>
                <a:ext uri="{63B3BB69-23CF-44E3-9099-C40C66FF867C}">
                  <a14:compatExt spid="_x0000_s17419"/>
                </a:ext>
                <a:ext uri="{FF2B5EF4-FFF2-40B4-BE49-F238E27FC236}">
                  <a16:creationId xmlns:a16="http://schemas.microsoft.com/office/drawing/2014/main" id="{00000000-0008-0000-0600-00000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36</xdr:row>
          <xdr:rowOff>47625</xdr:rowOff>
        </xdr:from>
        <xdr:to>
          <xdr:col>1</xdr:col>
          <xdr:colOff>76200</xdr:colOff>
          <xdr:row>36</xdr:row>
          <xdr:rowOff>276225</xdr:rowOff>
        </xdr:to>
        <xdr:sp macro="" textlink="">
          <xdr:nvSpPr>
            <xdr:cNvPr id="17420" name="Check Box 12" hidden="1">
              <a:extLst>
                <a:ext uri="{63B3BB69-23CF-44E3-9099-C40C66FF867C}">
                  <a14:compatExt spid="_x0000_s17420"/>
                </a:ext>
                <a:ext uri="{FF2B5EF4-FFF2-40B4-BE49-F238E27FC236}">
                  <a16:creationId xmlns:a16="http://schemas.microsoft.com/office/drawing/2014/main" id="{00000000-0008-0000-0600-00000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111125</xdr:colOff>
      <xdr:row>17</xdr:row>
      <xdr:rowOff>104775</xdr:rowOff>
    </xdr:from>
    <xdr:to>
      <xdr:col>2</xdr:col>
      <xdr:colOff>248285</xdr:colOff>
      <xdr:row>17</xdr:row>
      <xdr:rowOff>238125</xdr:rowOff>
    </xdr:to>
    <xdr:sp macro="" textlink="">
      <xdr:nvSpPr>
        <xdr:cNvPr id="3" name="Oval 2">
          <a:extLst>
            <a:ext uri="{FF2B5EF4-FFF2-40B4-BE49-F238E27FC236}">
              <a16:creationId xmlns:a16="http://schemas.microsoft.com/office/drawing/2014/main" id="{2B98E02A-DBFC-4CF6-8248-288847F98824}"/>
            </a:ext>
          </a:extLst>
        </xdr:cNvPr>
        <xdr:cNvSpPr/>
      </xdr:nvSpPr>
      <xdr:spPr>
        <a:xfrm>
          <a:off x="882650" y="5962650"/>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19</xdr:row>
      <xdr:rowOff>76200</xdr:rowOff>
    </xdr:from>
    <xdr:to>
      <xdr:col>2</xdr:col>
      <xdr:colOff>248285</xdr:colOff>
      <xdr:row>19</xdr:row>
      <xdr:rowOff>209550</xdr:rowOff>
    </xdr:to>
    <xdr:sp macro="" textlink="">
      <xdr:nvSpPr>
        <xdr:cNvPr id="4" name="Oval 3">
          <a:extLst>
            <a:ext uri="{FF2B5EF4-FFF2-40B4-BE49-F238E27FC236}">
              <a16:creationId xmlns:a16="http://schemas.microsoft.com/office/drawing/2014/main" id="{24A9B15E-2AD0-4EE7-A7A1-E5911524D8AD}"/>
            </a:ext>
          </a:extLst>
        </xdr:cNvPr>
        <xdr:cNvSpPr/>
      </xdr:nvSpPr>
      <xdr:spPr>
        <a:xfrm>
          <a:off x="882650" y="6619875"/>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18</xdr:row>
      <xdr:rowOff>101600</xdr:rowOff>
    </xdr:from>
    <xdr:to>
      <xdr:col>2</xdr:col>
      <xdr:colOff>254635</xdr:colOff>
      <xdr:row>18</xdr:row>
      <xdr:rowOff>234950</xdr:rowOff>
    </xdr:to>
    <xdr:sp macro="" textlink="">
      <xdr:nvSpPr>
        <xdr:cNvPr id="5" name="Oval 4">
          <a:extLst>
            <a:ext uri="{FF2B5EF4-FFF2-40B4-BE49-F238E27FC236}">
              <a16:creationId xmlns:a16="http://schemas.microsoft.com/office/drawing/2014/main" id="{5E8EC899-A15E-4679-A1C9-7F917DFC35CB}"/>
            </a:ext>
          </a:extLst>
        </xdr:cNvPr>
        <xdr:cNvSpPr/>
      </xdr:nvSpPr>
      <xdr:spPr>
        <a:xfrm>
          <a:off x="882650" y="6283325"/>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111125</xdr:colOff>
      <xdr:row>16</xdr:row>
      <xdr:rowOff>101600</xdr:rowOff>
    </xdr:from>
    <xdr:to>
      <xdr:col>2</xdr:col>
      <xdr:colOff>248285</xdr:colOff>
      <xdr:row>16</xdr:row>
      <xdr:rowOff>234950</xdr:rowOff>
    </xdr:to>
    <xdr:sp macro="" textlink="">
      <xdr:nvSpPr>
        <xdr:cNvPr id="6" name="Oval 5">
          <a:extLst>
            <a:ext uri="{FF2B5EF4-FFF2-40B4-BE49-F238E27FC236}">
              <a16:creationId xmlns:a16="http://schemas.microsoft.com/office/drawing/2014/main" id="{EBDC14A4-0DAE-4CDB-98F2-83BF5E9A573B}"/>
            </a:ext>
          </a:extLst>
        </xdr:cNvPr>
        <xdr:cNvSpPr/>
      </xdr:nvSpPr>
      <xdr:spPr>
        <a:xfrm>
          <a:off x="882650" y="5635625"/>
          <a:ext cx="137160" cy="133350"/>
        </a:xfrm>
        <a:prstGeom prst="ellipse">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41</xdr:row>
          <xdr:rowOff>47625</xdr:rowOff>
        </xdr:from>
        <xdr:to>
          <xdr:col>1</xdr:col>
          <xdr:colOff>76200</xdr:colOff>
          <xdr:row>41</xdr:row>
          <xdr:rowOff>276225</xdr:rowOff>
        </xdr:to>
        <xdr:sp macro="" textlink="">
          <xdr:nvSpPr>
            <xdr:cNvPr id="17421" name="Check Box 13" hidden="1">
              <a:extLst>
                <a:ext uri="{63B3BB69-23CF-44E3-9099-C40C66FF867C}">
                  <a14:compatExt spid="_x0000_s17421"/>
                </a:ext>
                <a:ext uri="{FF2B5EF4-FFF2-40B4-BE49-F238E27FC236}">
                  <a16:creationId xmlns:a16="http://schemas.microsoft.com/office/drawing/2014/main" id="{00000000-0008-0000-0600-00000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53975</xdr:colOff>
      <xdr:row>42</xdr:row>
      <xdr:rowOff>104775</xdr:rowOff>
    </xdr:from>
    <xdr:to>
      <xdr:col>6</xdr:col>
      <xdr:colOff>197485</xdr:colOff>
      <xdr:row>42</xdr:row>
      <xdr:rowOff>238125</xdr:rowOff>
    </xdr:to>
    <xdr:sp macro="" textlink="">
      <xdr:nvSpPr>
        <xdr:cNvPr id="7" name="Oval 6">
          <a:extLst>
            <a:ext uri="{FF2B5EF4-FFF2-40B4-BE49-F238E27FC236}">
              <a16:creationId xmlns:a16="http://schemas.microsoft.com/office/drawing/2014/main" id="{B69D5583-7458-4063-A2EB-C3A77C51A594}"/>
            </a:ext>
          </a:extLst>
        </xdr:cNvPr>
        <xdr:cNvSpPr/>
      </xdr:nvSpPr>
      <xdr:spPr>
        <a:xfrm>
          <a:off x="3654425" y="12934950"/>
          <a:ext cx="143510" cy="13335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xdr:colOff>
      <xdr:row>44</xdr:row>
      <xdr:rowOff>82550</xdr:rowOff>
    </xdr:from>
    <xdr:to>
      <xdr:col>6</xdr:col>
      <xdr:colOff>200660</xdr:colOff>
      <xdr:row>44</xdr:row>
      <xdr:rowOff>215900</xdr:rowOff>
    </xdr:to>
    <xdr:sp macro="" textlink="">
      <xdr:nvSpPr>
        <xdr:cNvPr id="8" name="Oval 7">
          <a:extLst>
            <a:ext uri="{FF2B5EF4-FFF2-40B4-BE49-F238E27FC236}">
              <a16:creationId xmlns:a16="http://schemas.microsoft.com/office/drawing/2014/main" id="{78303867-5D26-48FC-B91B-F93FB21613F8}"/>
            </a:ext>
          </a:extLst>
        </xdr:cNvPr>
        <xdr:cNvSpPr/>
      </xdr:nvSpPr>
      <xdr:spPr>
        <a:xfrm>
          <a:off x="3657600" y="13484225"/>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47</xdr:row>
          <xdr:rowOff>47625</xdr:rowOff>
        </xdr:from>
        <xdr:to>
          <xdr:col>1</xdr:col>
          <xdr:colOff>76200</xdr:colOff>
          <xdr:row>47</xdr:row>
          <xdr:rowOff>276225</xdr:rowOff>
        </xdr:to>
        <xdr:sp macro="" textlink="">
          <xdr:nvSpPr>
            <xdr:cNvPr id="17422" name="Check Box 14" hidden="1">
              <a:extLst>
                <a:ext uri="{63B3BB69-23CF-44E3-9099-C40C66FF867C}">
                  <a14:compatExt spid="_x0000_s17422"/>
                </a:ext>
                <a:ext uri="{FF2B5EF4-FFF2-40B4-BE49-F238E27FC236}">
                  <a16:creationId xmlns:a16="http://schemas.microsoft.com/office/drawing/2014/main" id="{00000000-0008-0000-0600-00000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52</xdr:row>
          <xdr:rowOff>47625</xdr:rowOff>
        </xdr:from>
        <xdr:to>
          <xdr:col>1</xdr:col>
          <xdr:colOff>76200</xdr:colOff>
          <xdr:row>52</xdr:row>
          <xdr:rowOff>276225</xdr:rowOff>
        </xdr:to>
        <xdr:sp macro="" textlink="">
          <xdr:nvSpPr>
            <xdr:cNvPr id="17423" name="Check Box 15" hidden="1">
              <a:extLst>
                <a:ext uri="{63B3BB69-23CF-44E3-9099-C40C66FF867C}">
                  <a14:compatExt spid="_x0000_s17423"/>
                </a:ext>
                <a:ext uri="{FF2B5EF4-FFF2-40B4-BE49-F238E27FC236}">
                  <a16:creationId xmlns:a16="http://schemas.microsoft.com/office/drawing/2014/main" id="{00000000-0008-0000-0600-00000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53</xdr:row>
          <xdr:rowOff>47625</xdr:rowOff>
        </xdr:from>
        <xdr:to>
          <xdr:col>1</xdr:col>
          <xdr:colOff>76200</xdr:colOff>
          <xdr:row>53</xdr:row>
          <xdr:rowOff>276225</xdr:rowOff>
        </xdr:to>
        <xdr:sp macro="" textlink="">
          <xdr:nvSpPr>
            <xdr:cNvPr id="17424" name="Check Box 16" hidden="1">
              <a:extLst>
                <a:ext uri="{63B3BB69-23CF-44E3-9099-C40C66FF867C}">
                  <a14:compatExt spid="_x0000_s17424"/>
                </a:ext>
                <a:ext uri="{FF2B5EF4-FFF2-40B4-BE49-F238E27FC236}">
                  <a16:creationId xmlns:a16="http://schemas.microsoft.com/office/drawing/2014/main" id="{00000000-0008-0000-0600-00001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57150</xdr:colOff>
      <xdr:row>54</xdr:row>
      <xdr:rowOff>85725</xdr:rowOff>
    </xdr:from>
    <xdr:to>
      <xdr:col>8</xdr:col>
      <xdr:colOff>200660</xdr:colOff>
      <xdr:row>54</xdr:row>
      <xdr:rowOff>219075</xdr:rowOff>
    </xdr:to>
    <xdr:sp macro="" textlink="">
      <xdr:nvSpPr>
        <xdr:cNvPr id="9" name="Oval 8">
          <a:extLst>
            <a:ext uri="{FF2B5EF4-FFF2-40B4-BE49-F238E27FC236}">
              <a16:creationId xmlns:a16="http://schemas.microsoft.com/office/drawing/2014/main" id="{27DF0314-3CC1-41AA-967A-22CCE9DCC0BA}"/>
            </a:ext>
          </a:extLst>
        </xdr:cNvPr>
        <xdr:cNvSpPr/>
      </xdr:nvSpPr>
      <xdr:spPr>
        <a:xfrm>
          <a:off x="4686300" y="16735425"/>
          <a:ext cx="143510" cy="133350"/>
        </a:xfrm>
        <a:prstGeom prst="ellips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57</xdr:row>
          <xdr:rowOff>47625</xdr:rowOff>
        </xdr:from>
        <xdr:to>
          <xdr:col>1</xdr:col>
          <xdr:colOff>76200</xdr:colOff>
          <xdr:row>57</xdr:row>
          <xdr:rowOff>285750</xdr:rowOff>
        </xdr:to>
        <xdr:sp macro="" textlink="">
          <xdr:nvSpPr>
            <xdr:cNvPr id="17425" name="Check Box 17" hidden="1">
              <a:extLst>
                <a:ext uri="{63B3BB69-23CF-44E3-9099-C40C66FF867C}">
                  <a14:compatExt spid="_x0000_s17425"/>
                </a:ext>
                <a:ext uri="{FF2B5EF4-FFF2-40B4-BE49-F238E27FC236}">
                  <a16:creationId xmlns:a16="http://schemas.microsoft.com/office/drawing/2014/main" id="{00000000-0008-0000-0600-00001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9525</xdr:rowOff>
        </xdr:from>
        <xdr:to>
          <xdr:col>1</xdr:col>
          <xdr:colOff>76200</xdr:colOff>
          <xdr:row>63</xdr:row>
          <xdr:rowOff>238125</xdr:rowOff>
        </xdr:to>
        <xdr:sp macro="" textlink="">
          <xdr:nvSpPr>
            <xdr:cNvPr id="17426" name="Check Box 18" hidden="1">
              <a:extLst>
                <a:ext uri="{63B3BB69-23CF-44E3-9099-C40C66FF867C}">
                  <a14:compatExt spid="_x0000_s17426"/>
                </a:ext>
                <a:ext uri="{FF2B5EF4-FFF2-40B4-BE49-F238E27FC236}">
                  <a16:creationId xmlns:a16="http://schemas.microsoft.com/office/drawing/2014/main" id="{00000000-0008-0000-0600-00001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135</xdr:row>
          <xdr:rowOff>47625</xdr:rowOff>
        </xdr:from>
        <xdr:to>
          <xdr:col>1</xdr:col>
          <xdr:colOff>76200</xdr:colOff>
          <xdr:row>135</xdr:row>
          <xdr:rowOff>276225</xdr:rowOff>
        </xdr:to>
        <xdr:sp macro="" textlink="">
          <xdr:nvSpPr>
            <xdr:cNvPr id="17427" name="Check Box 19" hidden="1">
              <a:extLst>
                <a:ext uri="{63B3BB69-23CF-44E3-9099-C40C66FF867C}">
                  <a14:compatExt spid="_x0000_s17427"/>
                </a:ext>
                <a:ext uri="{FF2B5EF4-FFF2-40B4-BE49-F238E27FC236}">
                  <a16:creationId xmlns:a16="http://schemas.microsoft.com/office/drawing/2014/main" id="{00000000-0008-0000-0600-00001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136</xdr:row>
          <xdr:rowOff>47625</xdr:rowOff>
        </xdr:from>
        <xdr:to>
          <xdr:col>1</xdr:col>
          <xdr:colOff>76200</xdr:colOff>
          <xdr:row>136</xdr:row>
          <xdr:rowOff>276225</xdr:rowOff>
        </xdr:to>
        <xdr:sp macro="" textlink="">
          <xdr:nvSpPr>
            <xdr:cNvPr id="17428" name="Check Box 20" hidden="1">
              <a:extLst>
                <a:ext uri="{63B3BB69-23CF-44E3-9099-C40C66FF867C}">
                  <a14:compatExt spid="_x0000_s17428"/>
                </a:ext>
                <a:ext uri="{FF2B5EF4-FFF2-40B4-BE49-F238E27FC236}">
                  <a16:creationId xmlns:a16="http://schemas.microsoft.com/office/drawing/2014/main" id="{00000000-0008-0000-0600-00001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138</xdr:row>
      <xdr:rowOff>104775</xdr:rowOff>
    </xdr:from>
    <xdr:to>
      <xdr:col>2</xdr:col>
      <xdr:colOff>276860</xdr:colOff>
      <xdr:row>138</xdr:row>
      <xdr:rowOff>238125</xdr:rowOff>
    </xdr:to>
    <xdr:sp macro="" textlink="">
      <xdr:nvSpPr>
        <xdr:cNvPr id="10" name="Oval 9">
          <a:extLst>
            <a:ext uri="{FF2B5EF4-FFF2-40B4-BE49-F238E27FC236}">
              <a16:creationId xmlns:a16="http://schemas.microsoft.com/office/drawing/2014/main" id="{6D5564A6-8DF4-4435-8551-25A688F719FA}"/>
            </a:ext>
          </a:extLst>
        </xdr:cNvPr>
        <xdr:cNvSpPr/>
      </xdr:nvSpPr>
      <xdr:spPr>
        <a:xfrm>
          <a:off x="904875" y="41729025"/>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00FF"/>
            </a:solidFill>
          </a:endParaRPr>
        </a:p>
      </xdr:txBody>
    </xdr:sp>
    <xdr:clientData/>
  </xdr:twoCellAnchor>
  <xdr:twoCellAnchor>
    <xdr:from>
      <xdr:col>2</xdr:col>
      <xdr:colOff>123825</xdr:colOff>
      <xdr:row>139</xdr:row>
      <xdr:rowOff>95250</xdr:rowOff>
    </xdr:from>
    <xdr:to>
      <xdr:col>2</xdr:col>
      <xdr:colOff>267335</xdr:colOff>
      <xdr:row>139</xdr:row>
      <xdr:rowOff>228600</xdr:rowOff>
    </xdr:to>
    <xdr:sp macro="" textlink="">
      <xdr:nvSpPr>
        <xdr:cNvPr id="11" name="Oval 10">
          <a:extLst>
            <a:ext uri="{FF2B5EF4-FFF2-40B4-BE49-F238E27FC236}">
              <a16:creationId xmlns:a16="http://schemas.microsoft.com/office/drawing/2014/main" id="{F615E828-5C59-4997-8B74-AF4A8E370F43}"/>
            </a:ext>
          </a:extLst>
        </xdr:cNvPr>
        <xdr:cNvSpPr/>
      </xdr:nvSpPr>
      <xdr:spPr>
        <a:xfrm>
          <a:off x="895350" y="42043350"/>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CC00FF"/>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138</xdr:row>
          <xdr:rowOff>47625</xdr:rowOff>
        </xdr:from>
        <xdr:to>
          <xdr:col>1</xdr:col>
          <xdr:colOff>76200</xdr:colOff>
          <xdr:row>138</xdr:row>
          <xdr:rowOff>276225</xdr:rowOff>
        </xdr:to>
        <xdr:sp macro="" textlink="">
          <xdr:nvSpPr>
            <xdr:cNvPr id="17429" name="Check Box 21" hidden="1">
              <a:extLst>
                <a:ext uri="{63B3BB69-23CF-44E3-9099-C40C66FF867C}">
                  <a14:compatExt spid="_x0000_s17429"/>
                </a:ext>
                <a:ext uri="{FF2B5EF4-FFF2-40B4-BE49-F238E27FC236}">
                  <a16:creationId xmlns:a16="http://schemas.microsoft.com/office/drawing/2014/main" id="{00000000-0008-0000-0600-00001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141</xdr:row>
          <xdr:rowOff>47625</xdr:rowOff>
        </xdr:from>
        <xdr:to>
          <xdr:col>1</xdr:col>
          <xdr:colOff>76200</xdr:colOff>
          <xdr:row>142</xdr:row>
          <xdr:rowOff>9525</xdr:rowOff>
        </xdr:to>
        <xdr:sp macro="" textlink="">
          <xdr:nvSpPr>
            <xdr:cNvPr id="17430" name="Check Box 22" hidden="1">
              <a:extLst>
                <a:ext uri="{63B3BB69-23CF-44E3-9099-C40C66FF867C}">
                  <a14:compatExt spid="_x0000_s17430"/>
                </a:ext>
                <a:ext uri="{FF2B5EF4-FFF2-40B4-BE49-F238E27FC236}">
                  <a16:creationId xmlns:a16="http://schemas.microsoft.com/office/drawing/2014/main" id="{00000000-0008-0000-0600-00001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145</xdr:row>
          <xdr:rowOff>47625</xdr:rowOff>
        </xdr:from>
        <xdr:to>
          <xdr:col>1</xdr:col>
          <xdr:colOff>76200</xdr:colOff>
          <xdr:row>145</xdr:row>
          <xdr:rowOff>276225</xdr:rowOff>
        </xdr:to>
        <xdr:sp macro="" textlink="">
          <xdr:nvSpPr>
            <xdr:cNvPr id="17431" name="Check Box 23" hidden="1">
              <a:extLst>
                <a:ext uri="{63B3BB69-23CF-44E3-9099-C40C66FF867C}">
                  <a14:compatExt spid="_x0000_s17431"/>
                </a:ext>
                <a:ext uri="{FF2B5EF4-FFF2-40B4-BE49-F238E27FC236}">
                  <a16:creationId xmlns:a16="http://schemas.microsoft.com/office/drawing/2014/main" id="{00000000-0008-0000-0600-00001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147</xdr:row>
          <xdr:rowOff>47625</xdr:rowOff>
        </xdr:from>
        <xdr:to>
          <xdr:col>1</xdr:col>
          <xdr:colOff>76200</xdr:colOff>
          <xdr:row>147</xdr:row>
          <xdr:rowOff>276225</xdr:rowOff>
        </xdr:to>
        <xdr:sp macro="" textlink="">
          <xdr:nvSpPr>
            <xdr:cNvPr id="17432" name="Check Box 24" hidden="1">
              <a:extLst>
                <a:ext uri="{63B3BB69-23CF-44E3-9099-C40C66FF867C}">
                  <a14:compatExt spid="_x0000_s17432"/>
                </a:ext>
                <a:ext uri="{FF2B5EF4-FFF2-40B4-BE49-F238E27FC236}">
                  <a16:creationId xmlns:a16="http://schemas.microsoft.com/office/drawing/2014/main" id="{00000000-0008-0000-0600-00001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149</xdr:row>
      <xdr:rowOff>101600</xdr:rowOff>
    </xdr:from>
    <xdr:to>
      <xdr:col>2</xdr:col>
      <xdr:colOff>273685</xdr:colOff>
      <xdr:row>149</xdr:row>
      <xdr:rowOff>234950</xdr:rowOff>
    </xdr:to>
    <xdr:sp macro="" textlink="">
      <xdr:nvSpPr>
        <xdr:cNvPr id="12" name="Oval 11">
          <a:extLst>
            <a:ext uri="{FF2B5EF4-FFF2-40B4-BE49-F238E27FC236}">
              <a16:creationId xmlns:a16="http://schemas.microsoft.com/office/drawing/2014/main" id="{58957522-4A55-4684-B45C-A04998463A2E}"/>
            </a:ext>
          </a:extLst>
        </xdr:cNvPr>
        <xdr:cNvSpPr/>
      </xdr:nvSpPr>
      <xdr:spPr>
        <a:xfrm>
          <a:off x="904875" y="44973875"/>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149</xdr:row>
          <xdr:rowOff>47625</xdr:rowOff>
        </xdr:from>
        <xdr:to>
          <xdr:col>1</xdr:col>
          <xdr:colOff>76200</xdr:colOff>
          <xdr:row>149</xdr:row>
          <xdr:rowOff>276225</xdr:rowOff>
        </xdr:to>
        <xdr:sp macro="" textlink="">
          <xdr:nvSpPr>
            <xdr:cNvPr id="17433" name="Check Box 25" hidden="1">
              <a:extLst>
                <a:ext uri="{63B3BB69-23CF-44E3-9099-C40C66FF867C}">
                  <a14:compatExt spid="_x0000_s17433"/>
                </a:ext>
                <a:ext uri="{FF2B5EF4-FFF2-40B4-BE49-F238E27FC236}">
                  <a16:creationId xmlns:a16="http://schemas.microsoft.com/office/drawing/2014/main" id="{00000000-0008-0000-0600-00001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150</xdr:row>
      <xdr:rowOff>101600</xdr:rowOff>
    </xdr:from>
    <xdr:to>
      <xdr:col>2</xdr:col>
      <xdr:colOff>273685</xdr:colOff>
      <xdr:row>150</xdr:row>
      <xdr:rowOff>234950</xdr:rowOff>
    </xdr:to>
    <xdr:sp macro="" textlink="">
      <xdr:nvSpPr>
        <xdr:cNvPr id="13" name="Oval 12">
          <a:extLst>
            <a:ext uri="{FF2B5EF4-FFF2-40B4-BE49-F238E27FC236}">
              <a16:creationId xmlns:a16="http://schemas.microsoft.com/office/drawing/2014/main" id="{936A2B70-0542-4745-AF74-99653F33798E}"/>
            </a:ext>
          </a:extLst>
        </xdr:cNvPr>
        <xdr:cNvSpPr/>
      </xdr:nvSpPr>
      <xdr:spPr>
        <a:xfrm>
          <a:off x="904875" y="45297725"/>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152</xdr:row>
          <xdr:rowOff>47625</xdr:rowOff>
        </xdr:from>
        <xdr:to>
          <xdr:col>1</xdr:col>
          <xdr:colOff>76200</xdr:colOff>
          <xdr:row>153</xdr:row>
          <xdr:rowOff>28575</xdr:rowOff>
        </xdr:to>
        <xdr:sp macro="" textlink="">
          <xdr:nvSpPr>
            <xdr:cNvPr id="17434" name="Check Box 26" hidden="1">
              <a:extLst>
                <a:ext uri="{63B3BB69-23CF-44E3-9099-C40C66FF867C}">
                  <a14:compatExt spid="_x0000_s17434"/>
                </a:ext>
                <a:ext uri="{FF2B5EF4-FFF2-40B4-BE49-F238E27FC236}">
                  <a16:creationId xmlns:a16="http://schemas.microsoft.com/office/drawing/2014/main" id="{00000000-0008-0000-0600-00001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154</xdr:row>
          <xdr:rowOff>47625</xdr:rowOff>
        </xdr:from>
        <xdr:to>
          <xdr:col>1</xdr:col>
          <xdr:colOff>76200</xdr:colOff>
          <xdr:row>154</xdr:row>
          <xdr:rowOff>276225</xdr:rowOff>
        </xdr:to>
        <xdr:sp macro="" textlink="">
          <xdr:nvSpPr>
            <xdr:cNvPr id="17435" name="Check Box 27" hidden="1">
              <a:extLst>
                <a:ext uri="{63B3BB69-23CF-44E3-9099-C40C66FF867C}">
                  <a14:compatExt spid="_x0000_s17435"/>
                </a:ext>
                <a:ext uri="{FF2B5EF4-FFF2-40B4-BE49-F238E27FC236}">
                  <a16:creationId xmlns:a16="http://schemas.microsoft.com/office/drawing/2014/main" id="{00000000-0008-0000-0600-00001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156</xdr:row>
          <xdr:rowOff>47625</xdr:rowOff>
        </xdr:from>
        <xdr:to>
          <xdr:col>1</xdr:col>
          <xdr:colOff>76200</xdr:colOff>
          <xdr:row>156</xdr:row>
          <xdr:rowOff>276225</xdr:rowOff>
        </xdr:to>
        <xdr:sp macro="" textlink="">
          <xdr:nvSpPr>
            <xdr:cNvPr id="17436" name="Check Box 28" hidden="1">
              <a:extLst>
                <a:ext uri="{63B3BB69-23CF-44E3-9099-C40C66FF867C}">
                  <a14:compatExt spid="_x0000_s17436"/>
                </a:ext>
                <a:ext uri="{FF2B5EF4-FFF2-40B4-BE49-F238E27FC236}">
                  <a16:creationId xmlns:a16="http://schemas.microsoft.com/office/drawing/2014/main" id="{00000000-0008-0000-0600-00001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155</xdr:row>
          <xdr:rowOff>47625</xdr:rowOff>
        </xdr:from>
        <xdr:to>
          <xdr:col>1</xdr:col>
          <xdr:colOff>76200</xdr:colOff>
          <xdr:row>155</xdr:row>
          <xdr:rowOff>276225</xdr:rowOff>
        </xdr:to>
        <xdr:sp macro="" textlink="">
          <xdr:nvSpPr>
            <xdr:cNvPr id="17437" name="Check Box 29" hidden="1">
              <a:extLst>
                <a:ext uri="{63B3BB69-23CF-44E3-9099-C40C66FF867C}">
                  <a14:compatExt spid="_x0000_s17437"/>
                </a:ext>
                <a:ext uri="{FF2B5EF4-FFF2-40B4-BE49-F238E27FC236}">
                  <a16:creationId xmlns:a16="http://schemas.microsoft.com/office/drawing/2014/main" id="{00000000-0008-0000-0600-00001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167</xdr:row>
          <xdr:rowOff>47625</xdr:rowOff>
        </xdr:from>
        <xdr:to>
          <xdr:col>1</xdr:col>
          <xdr:colOff>76200</xdr:colOff>
          <xdr:row>167</xdr:row>
          <xdr:rowOff>276225</xdr:rowOff>
        </xdr:to>
        <xdr:sp macro="" textlink="">
          <xdr:nvSpPr>
            <xdr:cNvPr id="17438" name="Check Box 30" hidden="1">
              <a:extLst>
                <a:ext uri="{63B3BB69-23CF-44E3-9099-C40C66FF867C}">
                  <a14:compatExt spid="_x0000_s17438"/>
                </a:ext>
                <a:ext uri="{FF2B5EF4-FFF2-40B4-BE49-F238E27FC236}">
                  <a16:creationId xmlns:a16="http://schemas.microsoft.com/office/drawing/2014/main" id="{00000000-0008-0000-0600-00001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172</xdr:row>
          <xdr:rowOff>47625</xdr:rowOff>
        </xdr:from>
        <xdr:to>
          <xdr:col>1</xdr:col>
          <xdr:colOff>76200</xdr:colOff>
          <xdr:row>172</xdr:row>
          <xdr:rowOff>276225</xdr:rowOff>
        </xdr:to>
        <xdr:sp macro="" textlink="">
          <xdr:nvSpPr>
            <xdr:cNvPr id="17439" name="Check Box 31" hidden="1">
              <a:extLst>
                <a:ext uri="{63B3BB69-23CF-44E3-9099-C40C66FF867C}">
                  <a14:compatExt spid="_x0000_s17439"/>
                </a:ext>
                <a:ext uri="{FF2B5EF4-FFF2-40B4-BE49-F238E27FC236}">
                  <a16:creationId xmlns:a16="http://schemas.microsoft.com/office/drawing/2014/main" id="{00000000-0008-0000-0600-00001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172</xdr:row>
          <xdr:rowOff>47625</xdr:rowOff>
        </xdr:from>
        <xdr:to>
          <xdr:col>1</xdr:col>
          <xdr:colOff>76200</xdr:colOff>
          <xdr:row>172</xdr:row>
          <xdr:rowOff>276225</xdr:rowOff>
        </xdr:to>
        <xdr:sp macro="" textlink="">
          <xdr:nvSpPr>
            <xdr:cNvPr id="17440" name="Check Box 32" hidden="1">
              <a:extLst>
                <a:ext uri="{63B3BB69-23CF-44E3-9099-C40C66FF867C}">
                  <a14:compatExt spid="_x0000_s17440"/>
                </a:ext>
                <a:ext uri="{FF2B5EF4-FFF2-40B4-BE49-F238E27FC236}">
                  <a16:creationId xmlns:a16="http://schemas.microsoft.com/office/drawing/2014/main" id="{00000000-0008-0000-0600-00002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174</xdr:row>
          <xdr:rowOff>47625</xdr:rowOff>
        </xdr:from>
        <xdr:to>
          <xdr:col>1</xdr:col>
          <xdr:colOff>76200</xdr:colOff>
          <xdr:row>174</xdr:row>
          <xdr:rowOff>276225</xdr:rowOff>
        </xdr:to>
        <xdr:sp macro="" textlink="">
          <xdr:nvSpPr>
            <xdr:cNvPr id="17441" name="Check Box 33" hidden="1">
              <a:extLst>
                <a:ext uri="{63B3BB69-23CF-44E3-9099-C40C66FF867C}">
                  <a14:compatExt spid="_x0000_s17441"/>
                </a:ext>
                <a:ext uri="{FF2B5EF4-FFF2-40B4-BE49-F238E27FC236}">
                  <a16:creationId xmlns:a16="http://schemas.microsoft.com/office/drawing/2014/main" id="{00000000-0008-0000-0600-00002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157</xdr:row>
          <xdr:rowOff>47625</xdr:rowOff>
        </xdr:from>
        <xdr:to>
          <xdr:col>1</xdr:col>
          <xdr:colOff>76200</xdr:colOff>
          <xdr:row>157</xdr:row>
          <xdr:rowOff>295275</xdr:rowOff>
        </xdr:to>
        <xdr:sp macro="" textlink="">
          <xdr:nvSpPr>
            <xdr:cNvPr id="17442" name="Check Box 34" hidden="1">
              <a:extLst>
                <a:ext uri="{63B3BB69-23CF-44E3-9099-C40C66FF867C}">
                  <a14:compatExt spid="_x0000_s17442"/>
                </a:ext>
                <a:ext uri="{FF2B5EF4-FFF2-40B4-BE49-F238E27FC236}">
                  <a16:creationId xmlns:a16="http://schemas.microsoft.com/office/drawing/2014/main" id="{00000000-0008-0000-0600-00002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34</xdr:row>
          <xdr:rowOff>47625</xdr:rowOff>
        </xdr:from>
        <xdr:to>
          <xdr:col>1</xdr:col>
          <xdr:colOff>76200</xdr:colOff>
          <xdr:row>34</xdr:row>
          <xdr:rowOff>276225</xdr:rowOff>
        </xdr:to>
        <xdr:sp macro="" textlink="">
          <xdr:nvSpPr>
            <xdr:cNvPr id="17443" name="Check Box 35" hidden="1">
              <a:extLst>
                <a:ext uri="{63B3BB69-23CF-44E3-9099-C40C66FF867C}">
                  <a14:compatExt spid="_x0000_s17443"/>
                </a:ext>
                <a:ext uri="{FF2B5EF4-FFF2-40B4-BE49-F238E27FC236}">
                  <a16:creationId xmlns:a16="http://schemas.microsoft.com/office/drawing/2014/main" id="{00000000-0008-0000-0600-00002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199</xdr:row>
          <xdr:rowOff>0</xdr:rowOff>
        </xdr:from>
        <xdr:to>
          <xdr:col>1</xdr:col>
          <xdr:colOff>76200</xdr:colOff>
          <xdr:row>200</xdr:row>
          <xdr:rowOff>57150</xdr:rowOff>
        </xdr:to>
        <xdr:sp macro="" textlink="">
          <xdr:nvSpPr>
            <xdr:cNvPr id="17444" name="Check Box 36" hidden="1">
              <a:extLst>
                <a:ext uri="{63B3BB69-23CF-44E3-9099-C40C66FF867C}">
                  <a14:compatExt spid="_x0000_s17444"/>
                </a:ext>
                <a:ext uri="{FF2B5EF4-FFF2-40B4-BE49-F238E27FC236}">
                  <a16:creationId xmlns:a16="http://schemas.microsoft.com/office/drawing/2014/main" id="{00000000-0008-0000-0600-000024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3</xdr:row>
          <xdr:rowOff>38100</xdr:rowOff>
        </xdr:from>
        <xdr:to>
          <xdr:col>10</xdr:col>
          <xdr:colOff>47625</xdr:colOff>
          <xdr:row>3</xdr:row>
          <xdr:rowOff>266700</xdr:rowOff>
        </xdr:to>
        <xdr:sp macro="" textlink="">
          <xdr:nvSpPr>
            <xdr:cNvPr id="17445" name="Check Box 37" hidden="1">
              <a:extLst>
                <a:ext uri="{63B3BB69-23CF-44E3-9099-C40C66FF867C}">
                  <a14:compatExt spid="_x0000_s17445"/>
                </a:ext>
                <a:ext uri="{FF2B5EF4-FFF2-40B4-BE49-F238E27FC236}">
                  <a16:creationId xmlns:a16="http://schemas.microsoft.com/office/drawing/2014/main" id="{00000000-0008-0000-0600-00002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65</xdr:row>
          <xdr:rowOff>9525</xdr:rowOff>
        </xdr:from>
        <xdr:to>
          <xdr:col>7</xdr:col>
          <xdr:colOff>47625</xdr:colOff>
          <xdr:row>65</xdr:row>
          <xdr:rowOff>238125</xdr:rowOff>
        </xdr:to>
        <xdr:sp macro="" textlink="">
          <xdr:nvSpPr>
            <xdr:cNvPr id="17446" name="Check Box 38" hidden="1">
              <a:extLst>
                <a:ext uri="{63B3BB69-23CF-44E3-9099-C40C66FF867C}">
                  <a14:compatExt spid="_x0000_s17446"/>
                </a:ext>
                <a:ext uri="{FF2B5EF4-FFF2-40B4-BE49-F238E27FC236}">
                  <a16:creationId xmlns:a16="http://schemas.microsoft.com/office/drawing/2014/main" id="{00000000-0008-0000-0600-00002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66</xdr:row>
          <xdr:rowOff>9525</xdr:rowOff>
        </xdr:from>
        <xdr:to>
          <xdr:col>7</xdr:col>
          <xdr:colOff>47625</xdr:colOff>
          <xdr:row>66</xdr:row>
          <xdr:rowOff>238125</xdr:rowOff>
        </xdr:to>
        <xdr:sp macro="" textlink="">
          <xdr:nvSpPr>
            <xdr:cNvPr id="17447" name="Check Box 39" hidden="1">
              <a:extLst>
                <a:ext uri="{63B3BB69-23CF-44E3-9099-C40C66FF867C}">
                  <a14:compatExt spid="_x0000_s17447"/>
                </a:ext>
                <a:ext uri="{FF2B5EF4-FFF2-40B4-BE49-F238E27FC236}">
                  <a16:creationId xmlns:a16="http://schemas.microsoft.com/office/drawing/2014/main" id="{00000000-0008-0000-0600-00002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67</xdr:row>
          <xdr:rowOff>9525</xdr:rowOff>
        </xdr:from>
        <xdr:to>
          <xdr:col>7</xdr:col>
          <xdr:colOff>47625</xdr:colOff>
          <xdr:row>67</xdr:row>
          <xdr:rowOff>238125</xdr:rowOff>
        </xdr:to>
        <xdr:sp macro="" textlink="">
          <xdr:nvSpPr>
            <xdr:cNvPr id="17448" name="Check Box 40" hidden="1">
              <a:extLst>
                <a:ext uri="{63B3BB69-23CF-44E3-9099-C40C66FF867C}">
                  <a14:compatExt spid="_x0000_s17448"/>
                </a:ext>
                <a:ext uri="{FF2B5EF4-FFF2-40B4-BE49-F238E27FC236}">
                  <a16:creationId xmlns:a16="http://schemas.microsoft.com/office/drawing/2014/main" id="{00000000-0008-0000-0600-00002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68</xdr:row>
          <xdr:rowOff>9525</xdr:rowOff>
        </xdr:from>
        <xdr:to>
          <xdr:col>7</xdr:col>
          <xdr:colOff>47625</xdr:colOff>
          <xdr:row>68</xdr:row>
          <xdr:rowOff>238125</xdr:rowOff>
        </xdr:to>
        <xdr:sp macro="" textlink="">
          <xdr:nvSpPr>
            <xdr:cNvPr id="17449" name="Check Box 41" hidden="1">
              <a:extLst>
                <a:ext uri="{63B3BB69-23CF-44E3-9099-C40C66FF867C}">
                  <a14:compatExt spid="_x0000_s17449"/>
                </a:ext>
                <a:ext uri="{FF2B5EF4-FFF2-40B4-BE49-F238E27FC236}">
                  <a16:creationId xmlns:a16="http://schemas.microsoft.com/office/drawing/2014/main" id="{00000000-0008-0000-0600-00002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69</xdr:row>
          <xdr:rowOff>9525</xdr:rowOff>
        </xdr:from>
        <xdr:to>
          <xdr:col>7</xdr:col>
          <xdr:colOff>47625</xdr:colOff>
          <xdr:row>69</xdr:row>
          <xdr:rowOff>238125</xdr:rowOff>
        </xdr:to>
        <xdr:sp macro="" textlink="">
          <xdr:nvSpPr>
            <xdr:cNvPr id="17450" name="Check Box 42" hidden="1">
              <a:extLst>
                <a:ext uri="{63B3BB69-23CF-44E3-9099-C40C66FF867C}">
                  <a14:compatExt spid="_x0000_s17450"/>
                </a:ext>
                <a:ext uri="{FF2B5EF4-FFF2-40B4-BE49-F238E27FC236}">
                  <a16:creationId xmlns:a16="http://schemas.microsoft.com/office/drawing/2014/main" id="{00000000-0008-0000-0600-00002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65</xdr:row>
          <xdr:rowOff>9525</xdr:rowOff>
        </xdr:from>
        <xdr:to>
          <xdr:col>1</xdr:col>
          <xdr:colOff>76200</xdr:colOff>
          <xdr:row>65</xdr:row>
          <xdr:rowOff>238125</xdr:rowOff>
        </xdr:to>
        <xdr:sp macro="" textlink="">
          <xdr:nvSpPr>
            <xdr:cNvPr id="17451" name="Check Box 43" hidden="1">
              <a:extLst>
                <a:ext uri="{63B3BB69-23CF-44E3-9099-C40C66FF867C}">
                  <a14:compatExt spid="_x0000_s17451"/>
                </a:ext>
                <a:ext uri="{FF2B5EF4-FFF2-40B4-BE49-F238E27FC236}">
                  <a16:creationId xmlns:a16="http://schemas.microsoft.com/office/drawing/2014/main" id="{00000000-0008-0000-0600-00002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66</xdr:row>
          <xdr:rowOff>9525</xdr:rowOff>
        </xdr:from>
        <xdr:to>
          <xdr:col>1</xdr:col>
          <xdr:colOff>76200</xdr:colOff>
          <xdr:row>66</xdr:row>
          <xdr:rowOff>238125</xdr:rowOff>
        </xdr:to>
        <xdr:sp macro="" textlink="">
          <xdr:nvSpPr>
            <xdr:cNvPr id="17452" name="Check Box 44" hidden="1">
              <a:extLst>
                <a:ext uri="{63B3BB69-23CF-44E3-9099-C40C66FF867C}">
                  <a14:compatExt spid="_x0000_s17452"/>
                </a:ext>
                <a:ext uri="{FF2B5EF4-FFF2-40B4-BE49-F238E27FC236}">
                  <a16:creationId xmlns:a16="http://schemas.microsoft.com/office/drawing/2014/main" id="{00000000-0008-0000-0600-00002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67</xdr:row>
          <xdr:rowOff>9525</xdr:rowOff>
        </xdr:from>
        <xdr:to>
          <xdr:col>1</xdr:col>
          <xdr:colOff>76200</xdr:colOff>
          <xdr:row>67</xdr:row>
          <xdr:rowOff>238125</xdr:rowOff>
        </xdr:to>
        <xdr:sp macro="" textlink="">
          <xdr:nvSpPr>
            <xdr:cNvPr id="17453" name="Check Box 45" hidden="1">
              <a:extLst>
                <a:ext uri="{63B3BB69-23CF-44E3-9099-C40C66FF867C}">
                  <a14:compatExt spid="_x0000_s17453"/>
                </a:ext>
                <a:ext uri="{FF2B5EF4-FFF2-40B4-BE49-F238E27FC236}">
                  <a16:creationId xmlns:a16="http://schemas.microsoft.com/office/drawing/2014/main" id="{00000000-0008-0000-0600-00002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176</xdr:row>
          <xdr:rowOff>47625</xdr:rowOff>
        </xdr:from>
        <xdr:to>
          <xdr:col>1</xdr:col>
          <xdr:colOff>76200</xdr:colOff>
          <xdr:row>176</xdr:row>
          <xdr:rowOff>276225</xdr:rowOff>
        </xdr:to>
        <xdr:sp macro="" textlink="">
          <xdr:nvSpPr>
            <xdr:cNvPr id="17454" name="Check Box 46" hidden="1">
              <a:extLst>
                <a:ext uri="{63B3BB69-23CF-44E3-9099-C40C66FF867C}">
                  <a14:compatExt spid="_x0000_s17454"/>
                </a:ext>
                <a:ext uri="{FF2B5EF4-FFF2-40B4-BE49-F238E27FC236}">
                  <a16:creationId xmlns:a16="http://schemas.microsoft.com/office/drawing/2014/main" id="{00000000-0008-0000-0600-00002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192</xdr:row>
          <xdr:rowOff>47625</xdr:rowOff>
        </xdr:from>
        <xdr:to>
          <xdr:col>1</xdr:col>
          <xdr:colOff>76200</xdr:colOff>
          <xdr:row>192</xdr:row>
          <xdr:rowOff>285750</xdr:rowOff>
        </xdr:to>
        <xdr:sp macro="" textlink="">
          <xdr:nvSpPr>
            <xdr:cNvPr id="17455" name="Check Box 47" hidden="1">
              <a:extLst>
                <a:ext uri="{63B3BB69-23CF-44E3-9099-C40C66FF867C}">
                  <a14:compatExt spid="_x0000_s17455"/>
                </a:ext>
                <a:ext uri="{FF2B5EF4-FFF2-40B4-BE49-F238E27FC236}">
                  <a16:creationId xmlns:a16="http://schemas.microsoft.com/office/drawing/2014/main" id="{00000000-0008-0000-0600-00002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197</xdr:row>
          <xdr:rowOff>47625</xdr:rowOff>
        </xdr:from>
        <xdr:to>
          <xdr:col>1</xdr:col>
          <xdr:colOff>76200</xdr:colOff>
          <xdr:row>197</xdr:row>
          <xdr:rowOff>276225</xdr:rowOff>
        </xdr:to>
        <xdr:sp macro="" textlink="">
          <xdr:nvSpPr>
            <xdr:cNvPr id="17456" name="Check Box 48" hidden="1">
              <a:extLst>
                <a:ext uri="{63B3BB69-23CF-44E3-9099-C40C66FF867C}">
                  <a14:compatExt spid="_x0000_s17456"/>
                </a:ext>
                <a:ext uri="{FF2B5EF4-FFF2-40B4-BE49-F238E27FC236}">
                  <a16:creationId xmlns:a16="http://schemas.microsoft.com/office/drawing/2014/main" id="{00000000-0008-0000-0600-00003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142875</xdr:colOff>
          <xdr:row>4</xdr:row>
          <xdr:rowOff>38100</xdr:rowOff>
        </xdr:from>
        <xdr:to>
          <xdr:col>10</xdr:col>
          <xdr:colOff>47625</xdr:colOff>
          <xdr:row>4</xdr:row>
          <xdr:rowOff>266700</xdr:rowOff>
        </xdr:to>
        <xdr:sp macro="" textlink="">
          <xdr:nvSpPr>
            <xdr:cNvPr id="17457" name="Check Box 49" hidden="1">
              <a:extLst>
                <a:ext uri="{63B3BB69-23CF-44E3-9099-C40C66FF867C}">
                  <a14:compatExt spid="_x0000_s17457"/>
                </a:ext>
                <a:ext uri="{FF2B5EF4-FFF2-40B4-BE49-F238E27FC236}">
                  <a16:creationId xmlns:a16="http://schemas.microsoft.com/office/drawing/2014/main" id="{00000000-0008-0000-0600-00003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201</xdr:row>
          <xdr:rowOff>295275</xdr:rowOff>
        </xdr:from>
        <xdr:to>
          <xdr:col>1</xdr:col>
          <xdr:colOff>76200</xdr:colOff>
          <xdr:row>203</xdr:row>
          <xdr:rowOff>28575</xdr:rowOff>
        </xdr:to>
        <xdr:sp macro="" textlink="">
          <xdr:nvSpPr>
            <xdr:cNvPr id="17458" name="Check Box 50" hidden="1">
              <a:extLst>
                <a:ext uri="{63B3BB69-23CF-44E3-9099-C40C66FF867C}">
                  <a14:compatExt spid="_x0000_s17458"/>
                </a:ext>
                <a:ext uri="{FF2B5EF4-FFF2-40B4-BE49-F238E27FC236}">
                  <a16:creationId xmlns:a16="http://schemas.microsoft.com/office/drawing/2014/main" id="{00000000-0008-0000-0600-000032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xdr:from>
      <xdr:col>7</xdr:col>
      <xdr:colOff>142874</xdr:colOff>
      <xdr:row>25</xdr:row>
      <xdr:rowOff>19843</xdr:rowOff>
    </xdr:from>
    <xdr:to>
      <xdr:col>15</xdr:col>
      <xdr:colOff>190500</xdr:colOff>
      <xdr:row>31</xdr:row>
      <xdr:rowOff>103186</xdr:rowOff>
    </xdr:to>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7BD866-75EB-4BA8-A5DD-E6D8D17E30B0}"/>
                </a:ext>
              </a:extLst>
            </xdr:cNvPr>
            <xdr:cNvSpPr txBox="1"/>
          </xdr:nvSpPr>
          <xdr:spPr>
            <a:xfrm>
              <a:off x="4131468" y="8175624"/>
              <a:ext cx="4786313" cy="122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
                    <m:sSub>
                      <m:sSubPr>
                        <m:ctrlPr>
                          <a:rPr lang="en-US" sz="1600" b="0" i="1" kern="1200">
                            <a:latin typeface="Cambria Math" panose="02040503050406030204" pitchFamily="18" charset="0"/>
                          </a:rPr>
                        </m:ctrlPr>
                      </m:sSubPr>
                      <m:e>
                        <m:r>
                          <a:rPr lang="en-US" sz="1600" b="0" i="1" kern="1200">
                            <a:latin typeface="Cambria Math" panose="02040503050406030204" pitchFamily="18" charset="0"/>
                          </a:rPr>
                          <m:t>𝑉</m:t>
                        </m:r>
                      </m:e>
                      <m:sub>
                        <m:r>
                          <a:rPr lang="en-US" sz="1600" b="0" i="1" kern="1200">
                            <a:latin typeface="Cambria Math" panose="02040503050406030204" pitchFamily="18" charset="0"/>
                          </a:rPr>
                          <m:t>𝑠𝑎𝑚𝑝𝑙𝑒</m:t>
                        </m:r>
                      </m:sub>
                    </m:sSub>
                    <m:d>
                      <m:dPr>
                        <m:begChr m:val="["/>
                        <m:endChr m:val="]"/>
                        <m:ctrlPr>
                          <a:rPr lang="en-US" sz="1600" b="0" i="1" kern="1200">
                            <a:latin typeface="Cambria Math" panose="02040503050406030204" pitchFamily="18" charset="0"/>
                          </a:rPr>
                        </m:ctrlPr>
                      </m:dPr>
                      <m:e>
                        <m:r>
                          <a:rPr lang="en-US" sz="1600" b="0" i="1" kern="1200">
                            <a:latin typeface="Cambria Math" panose="02040503050406030204" pitchFamily="18" charset="0"/>
                          </a:rPr>
                          <m:t>µ</m:t>
                        </m:r>
                        <m:r>
                          <a:rPr lang="en-US" sz="1600" b="0" i="1" kern="1200">
                            <a:latin typeface="Cambria Math" panose="02040503050406030204" pitchFamily="18" charset="0"/>
                          </a:rPr>
                          <m:t>𝐿</m:t>
                        </m:r>
                      </m:e>
                    </m:d>
                    <m:r>
                      <a:rPr lang="en-US" sz="1600" i="1" kern="1200">
                        <a:latin typeface="Cambria Math" panose="02040503050406030204" pitchFamily="18" charset="0"/>
                      </a:rPr>
                      <m:t>=</m:t>
                    </m:r>
                    <m:r>
                      <a:rPr lang="en-US" sz="1600" b="0" i="1" kern="1200">
                        <a:latin typeface="Cambria Math" panose="02040503050406030204" pitchFamily="18" charset="0"/>
                      </a:rPr>
                      <m:t> </m:t>
                    </m:r>
                    <m:f>
                      <m:fPr>
                        <m:ctrlPr>
                          <a:rPr lang="en-US" sz="1600" b="0" i="1" kern="1200">
                            <a:latin typeface="Cambria Math" panose="02040503050406030204" pitchFamily="18" charset="0"/>
                          </a:rPr>
                        </m:ctrlPr>
                      </m:fPr>
                      <m:num>
                        <m:r>
                          <a:rPr lang="en-US" sz="1600" b="0" i="1" kern="1200">
                            <a:latin typeface="Cambria Math" panose="02040503050406030204" pitchFamily="18" charset="0"/>
                          </a:rPr>
                          <m:t>𝑡𝑎𝑟𝑔𝑒𝑡𝑒𝑑</m:t>
                        </m:r>
                        <m:r>
                          <a:rPr lang="en-US" sz="1600" b="0" i="1" kern="1200">
                            <a:latin typeface="Cambria Math" panose="02040503050406030204" pitchFamily="18" charset="0"/>
                          </a:rPr>
                          <m:t> </m:t>
                        </m:r>
                        <m:r>
                          <a:rPr lang="en-US" sz="1600" b="0" i="1" kern="1200">
                            <a:latin typeface="Cambria Math" panose="02040503050406030204" pitchFamily="18" charset="0"/>
                          </a:rPr>
                          <m:t>𝑐𝑒𝑙𝑙</m:t>
                        </m:r>
                        <m:r>
                          <a:rPr lang="en-US" sz="1600" b="0" i="1" kern="1200">
                            <a:latin typeface="Cambria Math" panose="02040503050406030204" pitchFamily="18" charset="0"/>
                          </a:rPr>
                          <m:t> </m:t>
                        </m:r>
                        <m:r>
                          <a:rPr lang="en-US" sz="1600" b="0" i="1" kern="1200">
                            <a:latin typeface="Cambria Math" panose="02040503050406030204" pitchFamily="18" charset="0"/>
                          </a:rPr>
                          <m:t>𝑛𝑢𝑚𝑏𝑒𝑟</m:t>
                        </m:r>
                      </m:num>
                      <m:den>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𝐶</m:t>
                            </m:r>
                          </m:e>
                          <m:sub>
                            <m:r>
                              <a:rPr lang="en-US" sz="1600" b="0" i="1">
                                <a:solidFill>
                                  <a:schemeClr val="dk1"/>
                                </a:solidFill>
                                <a:effectLst/>
                                <a:latin typeface="Cambria Math" panose="02040503050406030204" pitchFamily="18" charset="0"/>
                                <a:ea typeface="+mn-ea"/>
                                <a:cs typeface="+mn-cs"/>
                              </a:rPr>
                              <m:t>𝑐𝑒𝑙𝑙𝑠</m:t>
                            </m:r>
                            <m:r>
                              <a:rPr lang="en-US" sz="1600" b="0" i="1">
                                <a:solidFill>
                                  <a:schemeClr val="dk1"/>
                                </a:solidFill>
                                <a:effectLst/>
                                <a:latin typeface="Cambria Math" panose="02040503050406030204" pitchFamily="18" charset="0"/>
                                <a:ea typeface="+mn-ea"/>
                                <a:cs typeface="+mn-cs"/>
                              </a:rPr>
                              <m:t>/</m:t>
                            </m:r>
                            <m:r>
                              <a:rPr lang="en-US" sz="1600" b="0" i="1">
                                <a:solidFill>
                                  <a:schemeClr val="dk1"/>
                                </a:solidFill>
                                <a:effectLst/>
                                <a:latin typeface="Cambria Math" panose="02040503050406030204" pitchFamily="18" charset="0"/>
                                <a:ea typeface="+mn-ea"/>
                                <a:cs typeface="+mn-cs"/>
                              </a:rPr>
                              <m:t>𝑚𝐿</m:t>
                            </m:r>
                          </m:sub>
                        </m:sSub>
                      </m:den>
                    </m:f>
                    <m:r>
                      <a:rPr lang="en-US" sz="1600" b="0" i="1" kern="1200">
                        <a:latin typeface="Cambria Math" panose="02040503050406030204" pitchFamily="18" charset="0"/>
                      </a:rPr>
                      <m:t>∗</m:t>
                    </m:r>
                    <m:sSup>
                      <m:sSupPr>
                        <m:ctrlPr>
                          <a:rPr lang="en-US" sz="1600" b="0" i="1" kern="1200">
                            <a:latin typeface="Cambria Math" panose="02040503050406030204" pitchFamily="18" charset="0"/>
                          </a:rPr>
                        </m:ctrlPr>
                      </m:sSupPr>
                      <m:e>
                        <m:r>
                          <a:rPr lang="en-US" sz="1600" b="0" i="1" kern="1200">
                            <a:latin typeface="Cambria Math" panose="02040503050406030204" pitchFamily="18" charset="0"/>
                          </a:rPr>
                          <m:t>10</m:t>
                        </m:r>
                      </m:e>
                      <m:sup>
                        <m:r>
                          <a:rPr lang="en-US" sz="1600" b="0" i="1" kern="1200">
                            <a:latin typeface="Cambria Math" panose="02040503050406030204" pitchFamily="18" charset="0"/>
                          </a:rPr>
                          <m:t>3</m:t>
                        </m:r>
                      </m:sup>
                    </m:sSup>
                  </m:oMath>
                </m:oMathPara>
              </a14:m>
              <a:endParaRPr lang="en-US" sz="1100" kern="1200"/>
            </a:p>
            <a:p>
              <a:endParaRPr lang="en-US" sz="1100" kern="1200"/>
            </a:p>
            <a:p>
              <a:pPr/>
              <a14:m>
                <m:oMathPara xmlns:m="http://schemas.openxmlformats.org/officeDocument/2006/math">
                  <m:oMath>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𝑉</m:t>
                        </m:r>
                      </m:e>
                      <m:sub>
                        <m:r>
                          <a:rPr lang="en-US" sz="1600" b="0" i="1">
                            <a:solidFill>
                              <a:schemeClr val="dk1"/>
                            </a:solidFill>
                            <a:effectLst/>
                            <a:latin typeface="Cambria Math" panose="02040503050406030204" pitchFamily="18" charset="0"/>
                            <a:ea typeface="+mn-ea"/>
                            <a:cs typeface="+mn-cs"/>
                          </a:rPr>
                          <m:t>𝐻</m:t>
                        </m:r>
                        <m:r>
                          <a:rPr lang="en-US" sz="1600" b="0" i="1">
                            <a:solidFill>
                              <a:schemeClr val="dk1"/>
                            </a:solidFill>
                            <a:effectLst/>
                            <a:latin typeface="Cambria Math" panose="02040503050406030204" pitchFamily="18" charset="0"/>
                            <a:ea typeface="+mn-ea"/>
                            <a:cs typeface="+mn-cs"/>
                          </a:rPr>
                          <m:t>2</m:t>
                        </m:r>
                        <m:r>
                          <a:rPr lang="en-US" sz="1600" b="0" i="1">
                            <a:solidFill>
                              <a:schemeClr val="dk1"/>
                            </a:solidFill>
                            <a:effectLst/>
                            <a:latin typeface="Cambria Math" panose="02040503050406030204" pitchFamily="18" charset="0"/>
                            <a:ea typeface="+mn-ea"/>
                            <a:cs typeface="+mn-cs"/>
                          </a:rPr>
                          <m:t>𝑂</m:t>
                        </m:r>
                      </m:sub>
                    </m:sSub>
                    <m:r>
                      <a:rPr lang="en-US" sz="1600" b="0" i="1">
                        <a:solidFill>
                          <a:schemeClr val="dk1"/>
                        </a:solidFill>
                        <a:effectLst/>
                        <a:latin typeface="Cambria Math" panose="02040503050406030204" pitchFamily="18" charset="0"/>
                        <a:ea typeface="+mn-ea"/>
                        <a:cs typeface="+mn-cs"/>
                      </a:rPr>
                      <m:t>=43.2 − </m:t>
                    </m:r>
                    <m:sSub>
                      <m:sSubPr>
                        <m:ctrlPr>
                          <a:rPr lang="en-US" sz="1600" b="0" i="1">
                            <a:solidFill>
                              <a:schemeClr val="dk1"/>
                            </a:solidFill>
                            <a:effectLst/>
                            <a:latin typeface="Cambria Math" panose="02040503050406030204" pitchFamily="18" charset="0"/>
                            <a:ea typeface="+mn-ea"/>
                            <a:cs typeface="+mn-cs"/>
                          </a:rPr>
                        </m:ctrlPr>
                      </m:sSubPr>
                      <m:e>
                        <m:r>
                          <a:rPr lang="en-US" sz="1600" b="0" i="1">
                            <a:solidFill>
                              <a:schemeClr val="dk1"/>
                            </a:solidFill>
                            <a:effectLst/>
                            <a:latin typeface="Cambria Math" panose="02040503050406030204" pitchFamily="18" charset="0"/>
                            <a:ea typeface="+mn-ea"/>
                            <a:cs typeface="+mn-cs"/>
                          </a:rPr>
                          <m:t>𝑉</m:t>
                        </m:r>
                      </m:e>
                      <m:sub>
                        <m:r>
                          <a:rPr lang="en-US" sz="1600" b="0" i="1">
                            <a:solidFill>
                              <a:schemeClr val="dk1"/>
                            </a:solidFill>
                            <a:effectLst/>
                            <a:latin typeface="Cambria Math" panose="02040503050406030204" pitchFamily="18" charset="0"/>
                            <a:ea typeface="+mn-ea"/>
                            <a:cs typeface="+mn-cs"/>
                          </a:rPr>
                          <m:t>𝑠𝑎𝑚𝑝𝑙𝑒</m:t>
                        </m:r>
                      </m:sub>
                    </m:sSub>
                  </m:oMath>
                </m:oMathPara>
              </a14:m>
              <a:endParaRPr lang="en-US" sz="1100" kern="1200"/>
            </a:p>
          </xdr:txBody>
        </xdr:sp>
      </mc:Choice>
      <mc:Fallback xmlns="">
        <xdr:sp macro="" textlink="">
          <xdr:nvSpPr>
            <xdr:cNvPr id="14" name="TextBox 13">
              <a:extLst>
                <a:ext uri="{FF2B5EF4-FFF2-40B4-BE49-F238E27FC236}">
                  <a16:creationId xmlns:a16="http://schemas.microsoft.com/office/drawing/2014/main" id="{BE7BD866-75EB-4BA8-A5DD-E6D8D17E30B0}"/>
                </a:ext>
              </a:extLst>
            </xdr:cNvPr>
            <xdr:cNvSpPr txBox="1"/>
          </xdr:nvSpPr>
          <xdr:spPr>
            <a:xfrm>
              <a:off x="4131468" y="8175624"/>
              <a:ext cx="4786313" cy="122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en-US" sz="1600" b="0" i="0" kern="1200">
                  <a:latin typeface="Cambria Math" panose="02040503050406030204" pitchFamily="18" charset="0"/>
                </a:rPr>
                <a:t>𝑉_𝑠𝑎𝑚𝑝𝑙𝑒 [µ𝐿]</a:t>
              </a:r>
              <a:r>
                <a:rPr lang="en-US" sz="1600" i="0" kern="1200">
                  <a:latin typeface="Cambria Math" panose="02040503050406030204" pitchFamily="18" charset="0"/>
                </a:rPr>
                <a:t>=</a:t>
              </a:r>
              <a:r>
                <a:rPr lang="en-US" sz="1600" b="0" i="0" kern="1200">
                  <a:latin typeface="Cambria Math" panose="02040503050406030204" pitchFamily="18" charset="0"/>
                </a:rPr>
                <a:t>  (𝑡𝑎𝑟𝑔𝑒𝑡𝑒𝑑 𝑐𝑒𝑙𝑙 𝑛𝑢𝑚𝑏𝑒𝑟)/</a:t>
              </a:r>
              <a:r>
                <a:rPr lang="en-US" sz="1600" b="0" i="0">
                  <a:solidFill>
                    <a:schemeClr val="dk1"/>
                  </a:solidFill>
                  <a:effectLst/>
                  <a:latin typeface="Cambria Math" panose="02040503050406030204" pitchFamily="18" charset="0"/>
                  <a:ea typeface="+mn-ea"/>
                  <a:cs typeface="+mn-cs"/>
                </a:rPr>
                <a:t>𝐶_(𝑐𝑒𝑙𝑙𝑠/𝑚𝐿) </a:t>
              </a:r>
              <a:r>
                <a:rPr lang="en-US" sz="1600" b="0" i="0" kern="1200">
                  <a:latin typeface="Cambria Math" panose="02040503050406030204" pitchFamily="18" charset="0"/>
                </a:rPr>
                <a:t>∗10^3</a:t>
              </a:r>
              <a:endParaRPr lang="en-US" sz="1100" kern="1200"/>
            </a:p>
            <a:p>
              <a:endParaRPr lang="en-US" sz="1100" kern="1200"/>
            </a:p>
            <a:p>
              <a:pPr/>
              <a:r>
                <a:rPr lang="en-US" sz="1600" b="0" i="0">
                  <a:solidFill>
                    <a:schemeClr val="dk1"/>
                  </a:solidFill>
                  <a:effectLst/>
                  <a:latin typeface="Cambria Math" panose="02040503050406030204" pitchFamily="18" charset="0"/>
                  <a:ea typeface="+mn-ea"/>
                  <a:cs typeface="+mn-cs"/>
                </a:rPr>
                <a:t>𝑉_𝐻2𝑂=43.2 − 𝑉_𝑠𝑎𝑚𝑝𝑙𝑒</a:t>
              </a:r>
              <a:endParaRPr lang="en-US" sz="1100" kern="1200"/>
            </a:p>
          </xdr:txBody>
        </xdr:sp>
      </mc:Fallback>
    </mc:AlternateContent>
    <xdr:clientData/>
  </xdr:twoCellAnchor>
  <mc:AlternateContent xmlns:mc="http://schemas.openxmlformats.org/markup-compatibility/2006">
    <mc:Choice xmlns:a14="http://schemas.microsoft.com/office/drawing/2010/main" Requires="a14">
      <xdr:twoCellAnchor editAs="oneCell">
        <xdr:from>
          <xdr:col>9</xdr:col>
          <xdr:colOff>142875</xdr:colOff>
          <xdr:row>5</xdr:row>
          <xdr:rowOff>38100</xdr:rowOff>
        </xdr:from>
        <xdr:to>
          <xdr:col>10</xdr:col>
          <xdr:colOff>47625</xdr:colOff>
          <xdr:row>5</xdr:row>
          <xdr:rowOff>266700</xdr:rowOff>
        </xdr:to>
        <xdr:sp macro="" textlink="">
          <xdr:nvSpPr>
            <xdr:cNvPr id="17459" name="Check Box 51" hidden="1">
              <a:extLst>
                <a:ext uri="{63B3BB69-23CF-44E3-9099-C40C66FF867C}">
                  <a14:compatExt spid="_x0000_s17459"/>
                </a:ext>
                <a:ext uri="{FF2B5EF4-FFF2-40B4-BE49-F238E27FC236}">
                  <a16:creationId xmlns:a16="http://schemas.microsoft.com/office/drawing/2014/main" id="{00000000-0008-0000-0600-00003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72</xdr:row>
          <xdr:rowOff>47625</xdr:rowOff>
        </xdr:from>
        <xdr:to>
          <xdr:col>1</xdr:col>
          <xdr:colOff>76200</xdr:colOff>
          <xdr:row>72</xdr:row>
          <xdr:rowOff>276225</xdr:rowOff>
        </xdr:to>
        <xdr:sp macro="" textlink="">
          <xdr:nvSpPr>
            <xdr:cNvPr id="17460" name="Check Box 52" hidden="1">
              <a:extLst>
                <a:ext uri="{63B3BB69-23CF-44E3-9099-C40C66FF867C}">
                  <a14:compatExt spid="_x0000_s17460"/>
                </a:ext>
                <a:ext uri="{FF2B5EF4-FFF2-40B4-BE49-F238E27FC236}">
                  <a16:creationId xmlns:a16="http://schemas.microsoft.com/office/drawing/2014/main" id="{00000000-0008-0000-0600-00003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78</xdr:row>
          <xdr:rowOff>47625</xdr:rowOff>
        </xdr:from>
        <xdr:to>
          <xdr:col>1</xdr:col>
          <xdr:colOff>76200</xdr:colOff>
          <xdr:row>78</xdr:row>
          <xdr:rowOff>285750</xdr:rowOff>
        </xdr:to>
        <xdr:sp macro="" textlink="">
          <xdr:nvSpPr>
            <xdr:cNvPr id="17461" name="Check Box 53" hidden="1">
              <a:extLst>
                <a:ext uri="{63B3BB69-23CF-44E3-9099-C40C66FF867C}">
                  <a14:compatExt spid="_x0000_s17461"/>
                </a:ext>
                <a:ext uri="{FF2B5EF4-FFF2-40B4-BE49-F238E27FC236}">
                  <a16:creationId xmlns:a16="http://schemas.microsoft.com/office/drawing/2014/main" id="{00000000-0008-0000-0600-00003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83</xdr:row>
          <xdr:rowOff>47625</xdr:rowOff>
        </xdr:from>
        <xdr:to>
          <xdr:col>1</xdr:col>
          <xdr:colOff>76200</xdr:colOff>
          <xdr:row>83</xdr:row>
          <xdr:rowOff>276225</xdr:rowOff>
        </xdr:to>
        <xdr:sp macro="" textlink="">
          <xdr:nvSpPr>
            <xdr:cNvPr id="17462" name="Check Box 54" hidden="1">
              <a:extLst>
                <a:ext uri="{63B3BB69-23CF-44E3-9099-C40C66FF867C}">
                  <a14:compatExt spid="_x0000_s17462"/>
                </a:ext>
                <a:ext uri="{FF2B5EF4-FFF2-40B4-BE49-F238E27FC236}">
                  <a16:creationId xmlns:a16="http://schemas.microsoft.com/office/drawing/2014/main" id="{00000000-0008-0000-0600-00003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77</xdr:row>
          <xdr:rowOff>47625</xdr:rowOff>
        </xdr:from>
        <xdr:to>
          <xdr:col>1</xdr:col>
          <xdr:colOff>76200</xdr:colOff>
          <xdr:row>77</xdr:row>
          <xdr:rowOff>276225</xdr:rowOff>
        </xdr:to>
        <xdr:sp macro="" textlink="">
          <xdr:nvSpPr>
            <xdr:cNvPr id="17463" name="Check Box 55" hidden="1">
              <a:extLst>
                <a:ext uri="{63B3BB69-23CF-44E3-9099-C40C66FF867C}">
                  <a14:compatExt spid="_x0000_s17463"/>
                </a:ext>
                <a:ext uri="{FF2B5EF4-FFF2-40B4-BE49-F238E27FC236}">
                  <a16:creationId xmlns:a16="http://schemas.microsoft.com/office/drawing/2014/main" id="{00000000-0008-0000-0600-00003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85</xdr:row>
          <xdr:rowOff>47625</xdr:rowOff>
        </xdr:from>
        <xdr:to>
          <xdr:col>1</xdr:col>
          <xdr:colOff>76200</xdr:colOff>
          <xdr:row>85</xdr:row>
          <xdr:rowOff>276225</xdr:rowOff>
        </xdr:to>
        <xdr:sp macro="" textlink="">
          <xdr:nvSpPr>
            <xdr:cNvPr id="17464" name="Check Box 56" hidden="1">
              <a:extLst>
                <a:ext uri="{63B3BB69-23CF-44E3-9099-C40C66FF867C}">
                  <a14:compatExt spid="_x0000_s17464"/>
                </a:ext>
                <a:ext uri="{FF2B5EF4-FFF2-40B4-BE49-F238E27FC236}">
                  <a16:creationId xmlns:a16="http://schemas.microsoft.com/office/drawing/2014/main" id="{00000000-0008-0000-0600-00003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91</xdr:row>
          <xdr:rowOff>47625</xdr:rowOff>
        </xdr:from>
        <xdr:to>
          <xdr:col>1</xdr:col>
          <xdr:colOff>76200</xdr:colOff>
          <xdr:row>91</xdr:row>
          <xdr:rowOff>285750</xdr:rowOff>
        </xdr:to>
        <xdr:sp macro="" textlink="">
          <xdr:nvSpPr>
            <xdr:cNvPr id="17465" name="Check Box 57" hidden="1">
              <a:extLst>
                <a:ext uri="{63B3BB69-23CF-44E3-9099-C40C66FF867C}">
                  <a14:compatExt spid="_x0000_s17465"/>
                </a:ext>
                <a:ext uri="{FF2B5EF4-FFF2-40B4-BE49-F238E27FC236}">
                  <a16:creationId xmlns:a16="http://schemas.microsoft.com/office/drawing/2014/main" id="{00000000-0008-0000-0600-00003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96</xdr:row>
          <xdr:rowOff>47625</xdr:rowOff>
        </xdr:from>
        <xdr:to>
          <xdr:col>1</xdr:col>
          <xdr:colOff>76200</xdr:colOff>
          <xdr:row>96</xdr:row>
          <xdr:rowOff>276225</xdr:rowOff>
        </xdr:to>
        <xdr:sp macro="" textlink="">
          <xdr:nvSpPr>
            <xdr:cNvPr id="17466" name="Check Box 58" hidden="1">
              <a:extLst>
                <a:ext uri="{63B3BB69-23CF-44E3-9099-C40C66FF867C}">
                  <a14:compatExt spid="_x0000_s17466"/>
                </a:ext>
                <a:ext uri="{FF2B5EF4-FFF2-40B4-BE49-F238E27FC236}">
                  <a16:creationId xmlns:a16="http://schemas.microsoft.com/office/drawing/2014/main" id="{00000000-0008-0000-0600-00003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90</xdr:row>
          <xdr:rowOff>47625</xdr:rowOff>
        </xdr:from>
        <xdr:to>
          <xdr:col>1</xdr:col>
          <xdr:colOff>76200</xdr:colOff>
          <xdr:row>90</xdr:row>
          <xdr:rowOff>276225</xdr:rowOff>
        </xdr:to>
        <xdr:sp macro="" textlink="">
          <xdr:nvSpPr>
            <xdr:cNvPr id="17467" name="Check Box 59" hidden="1">
              <a:extLst>
                <a:ext uri="{63B3BB69-23CF-44E3-9099-C40C66FF867C}">
                  <a14:compatExt spid="_x0000_s17467"/>
                </a:ext>
                <a:ext uri="{FF2B5EF4-FFF2-40B4-BE49-F238E27FC236}">
                  <a16:creationId xmlns:a16="http://schemas.microsoft.com/office/drawing/2014/main" id="{00000000-0008-0000-0600-00003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98</xdr:row>
          <xdr:rowOff>47625</xdr:rowOff>
        </xdr:from>
        <xdr:to>
          <xdr:col>1</xdr:col>
          <xdr:colOff>76200</xdr:colOff>
          <xdr:row>98</xdr:row>
          <xdr:rowOff>276225</xdr:rowOff>
        </xdr:to>
        <xdr:sp macro="" textlink="">
          <xdr:nvSpPr>
            <xdr:cNvPr id="17468" name="Check Box 60" hidden="1">
              <a:extLst>
                <a:ext uri="{63B3BB69-23CF-44E3-9099-C40C66FF867C}">
                  <a14:compatExt spid="_x0000_s17468"/>
                </a:ext>
                <a:ext uri="{FF2B5EF4-FFF2-40B4-BE49-F238E27FC236}">
                  <a16:creationId xmlns:a16="http://schemas.microsoft.com/office/drawing/2014/main" id="{00000000-0008-0000-0600-00003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99</xdr:row>
          <xdr:rowOff>47625</xdr:rowOff>
        </xdr:from>
        <xdr:to>
          <xdr:col>1</xdr:col>
          <xdr:colOff>76200</xdr:colOff>
          <xdr:row>99</xdr:row>
          <xdr:rowOff>276225</xdr:rowOff>
        </xdr:to>
        <xdr:sp macro="" textlink="">
          <xdr:nvSpPr>
            <xdr:cNvPr id="17469" name="Check Box 61" hidden="1">
              <a:extLst>
                <a:ext uri="{63B3BB69-23CF-44E3-9099-C40C66FF867C}">
                  <a14:compatExt spid="_x0000_s17469"/>
                </a:ext>
                <a:ext uri="{FF2B5EF4-FFF2-40B4-BE49-F238E27FC236}">
                  <a16:creationId xmlns:a16="http://schemas.microsoft.com/office/drawing/2014/main" id="{00000000-0008-0000-0600-00003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101</xdr:row>
      <xdr:rowOff>104775</xdr:rowOff>
    </xdr:from>
    <xdr:to>
      <xdr:col>2</xdr:col>
      <xdr:colOff>276860</xdr:colOff>
      <xdr:row>101</xdr:row>
      <xdr:rowOff>238125</xdr:rowOff>
    </xdr:to>
    <xdr:sp macro="" textlink="">
      <xdr:nvSpPr>
        <xdr:cNvPr id="15" name="Oval 14">
          <a:extLst>
            <a:ext uri="{FF2B5EF4-FFF2-40B4-BE49-F238E27FC236}">
              <a16:creationId xmlns:a16="http://schemas.microsoft.com/office/drawing/2014/main" id="{9A4D4213-64E7-496D-810B-73043BA91E2F}"/>
            </a:ext>
          </a:extLst>
        </xdr:cNvPr>
        <xdr:cNvSpPr/>
      </xdr:nvSpPr>
      <xdr:spPr>
        <a:xfrm>
          <a:off x="904875" y="30899100"/>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00FF"/>
            </a:solidFill>
          </a:endParaRPr>
        </a:p>
      </xdr:txBody>
    </xdr:sp>
    <xdr:clientData/>
  </xdr:twoCellAnchor>
  <xdr:twoCellAnchor>
    <xdr:from>
      <xdr:col>2</xdr:col>
      <xdr:colOff>123825</xdr:colOff>
      <xdr:row>102</xdr:row>
      <xdr:rowOff>95250</xdr:rowOff>
    </xdr:from>
    <xdr:to>
      <xdr:col>2</xdr:col>
      <xdr:colOff>267335</xdr:colOff>
      <xdr:row>102</xdr:row>
      <xdr:rowOff>228600</xdr:rowOff>
    </xdr:to>
    <xdr:sp macro="" textlink="">
      <xdr:nvSpPr>
        <xdr:cNvPr id="16" name="Oval 15">
          <a:extLst>
            <a:ext uri="{FF2B5EF4-FFF2-40B4-BE49-F238E27FC236}">
              <a16:creationId xmlns:a16="http://schemas.microsoft.com/office/drawing/2014/main" id="{15B96019-2819-4634-84A5-BFC6736E92E8}"/>
            </a:ext>
          </a:extLst>
        </xdr:cNvPr>
        <xdr:cNvSpPr/>
      </xdr:nvSpPr>
      <xdr:spPr>
        <a:xfrm>
          <a:off x="895350" y="31213425"/>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CC00FF"/>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101</xdr:row>
          <xdr:rowOff>47625</xdr:rowOff>
        </xdr:from>
        <xdr:to>
          <xdr:col>1</xdr:col>
          <xdr:colOff>76200</xdr:colOff>
          <xdr:row>101</xdr:row>
          <xdr:rowOff>276225</xdr:rowOff>
        </xdr:to>
        <xdr:sp macro="" textlink="">
          <xdr:nvSpPr>
            <xdr:cNvPr id="17470" name="Check Box 62" hidden="1">
              <a:extLst>
                <a:ext uri="{63B3BB69-23CF-44E3-9099-C40C66FF867C}">
                  <a14:compatExt spid="_x0000_s17470"/>
                </a:ext>
                <a:ext uri="{FF2B5EF4-FFF2-40B4-BE49-F238E27FC236}">
                  <a16:creationId xmlns:a16="http://schemas.microsoft.com/office/drawing/2014/main" id="{00000000-0008-0000-0600-00003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104</xdr:row>
          <xdr:rowOff>47625</xdr:rowOff>
        </xdr:from>
        <xdr:to>
          <xdr:col>1</xdr:col>
          <xdr:colOff>76200</xdr:colOff>
          <xdr:row>105</xdr:row>
          <xdr:rowOff>0</xdr:rowOff>
        </xdr:to>
        <xdr:sp macro="" textlink="">
          <xdr:nvSpPr>
            <xdr:cNvPr id="17471" name="Check Box 63" hidden="1">
              <a:extLst>
                <a:ext uri="{63B3BB69-23CF-44E3-9099-C40C66FF867C}">
                  <a14:compatExt spid="_x0000_s17471"/>
                </a:ext>
                <a:ext uri="{FF2B5EF4-FFF2-40B4-BE49-F238E27FC236}">
                  <a16:creationId xmlns:a16="http://schemas.microsoft.com/office/drawing/2014/main" id="{00000000-0008-0000-0600-00003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108</xdr:row>
          <xdr:rowOff>0</xdr:rowOff>
        </xdr:from>
        <xdr:to>
          <xdr:col>1</xdr:col>
          <xdr:colOff>76200</xdr:colOff>
          <xdr:row>108</xdr:row>
          <xdr:rowOff>228600</xdr:rowOff>
        </xdr:to>
        <xdr:sp macro="" textlink="">
          <xdr:nvSpPr>
            <xdr:cNvPr id="17472" name="Check Box 64" hidden="1">
              <a:extLst>
                <a:ext uri="{63B3BB69-23CF-44E3-9099-C40C66FF867C}">
                  <a14:compatExt spid="_x0000_s17472"/>
                </a:ext>
                <a:ext uri="{FF2B5EF4-FFF2-40B4-BE49-F238E27FC236}">
                  <a16:creationId xmlns:a16="http://schemas.microsoft.com/office/drawing/2014/main" id="{00000000-0008-0000-0600-00004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108</xdr:row>
          <xdr:rowOff>47625</xdr:rowOff>
        </xdr:from>
        <xdr:to>
          <xdr:col>1</xdr:col>
          <xdr:colOff>76200</xdr:colOff>
          <xdr:row>108</xdr:row>
          <xdr:rowOff>276225</xdr:rowOff>
        </xdr:to>
        <xdr:sp macro="" textlink="">
          <xdr:nvSpPr>
            <xdr:cNvPr id="17473" name="Check Box 65" hidden="1">
              <a:extLst>
                <a:ext uri="{63B3BB69-23CF-44E3-9099-C40C66FF867C}">
                  <a14:compatExt spid="_x0000_s17473"/>
                </a:ext>
                <a:ext uri="{FF2B5EF4-FFF2-40B4-BE49-F238E27FC236}">
                  <a16:creationId xmlns:a16="http://schemas.microsoft.com/office/drawing/2014/main" id="{00000000-0008-0000-0600-00004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110</xdr:row>
      <xdr:rowOff>101600</xdr:rowOff>
    </xdr:from>
    <xdr:to>
      <xdr:col>2</xdr:col>
      <xdr:colOff>273685</xdr:colOff>
      <xdr:row>110</xdr:row>
      <xdr:rowOff>234950</xdr:rowOff>
    </xdr:to>
    <xdr:sp macro="" textlink="">
      <xdr:nvSpPr>
        <xdr:cNvPr id="17" name="Oval 16">
          <a:extLst>
            <a:ext uri="{FF2B5EF4-FFF2-40B4-BE49-F238E27FC236}">
              <a16:creationId xmlns:a16="http://schemas.microsoft.com/office/drawing/2014/main" id="{C7FDE6C6-57DE-458B-9FEB-E6709D8E0C57}"/>
            </a:ext>
          </a:extLst>
        </xdr:cNvPr>
        <xdr:cNvSpPr/>
      </xdr:nvSpPr>
      <xdr:spPr>
        <a:xfrm>
          <a:off x="904875" y="3361055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110</xdr:row>
          <xdr:rowOff>47625</xdr:rowOff>
        </xdr:from>
        <xdr:to>
          <xdr:col>1</xdr:col>
          <xdr:colOff>76200</xdr:colOff>
          <xdr:row>110</xdr:row>
          <xdr:rowOff>276225</xdr:rowOff>
        </xdr:to>
        <xdr:sp macro="" textlink="">
          <xdr:nvSpPr>
            <xdr:cNvPr id="17474" name="Check Box 66" hidden="1">
              <a:extLst>
                <a:ext uri="{63B3BB69-23CF-44E3-9099-C40C66FF867C}">
                  <a14:compatExt spid="_x0000_s17474"/>
                </a:ext>
                <a:ext uri="{FF2B5EF4-FFF2-40B4-BE49-F238E27FC236}">
                  <a16:creationId xmlns:a16="http://schemas.microsoft.com/office/drawing/2014/main" id="{00000000-0008-0000-0600-00004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111</xdr:row>
      <xdr:rowOff>101600</xdr:rowOff>
    </xdr:from>
    <xdr:to>
      <xdr:col>2</xdr:col>
      <xdr:colOff>273685</xdr:colOff>
      <xdr:row>111</xdr:row>
      <xdr:rowOff>234950</xdr:rowOff>
    </xdr:to>
    <xdr:sp macro="" textlink="">
      <xdr:nvSpPr>
        <xdr:cNvPr id="18" name="Oval 17">
          <a:extLst>
            <a:ext uri="{FF2B5EF4-FFF2-40B4-BE49-F238E27FC236}">
              <a16:creationId xmlns:a16="http://schemas.microsoft.com/office/drawing/2014/main" id="{03393829-55DA-4B01-A2AB-8CF4F06E489D}"/>
            </a:ext>
          </a:extLst>
        </xdr:cNvPr>
        <xdr:cNvSpPr/>
      </xdr:nvSpPr>
      <xdr:spPr>
        <a:xfrm>
          <a:off x="904875" y="3393440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113</xdr:row>
          <xdr:rowOff>47625</xdr:rowOff>
        </xdr:from>
        <xdr:to>
          <xdr:col>1</xdr:col>
          <xdr:colOff>76200</xdr:colOff>
          <xdr:row>114</xdr:row>
          <xdr:rowOff>28575</xdr:rowOff>
        </xdr:to>
        <xdr:sp macro="" textlink="">
          <xdr:nvSpPr>
            <xdr:cNvPr id="17475" name="Check Box 67" hidden="1">
              <a:extLst>
                <a:ext uri="{63B3BB69-23CF-44E3-9099-C40C66FF867C}">
                  <a14:compatExt spid="_x0000_s17475"/>
                </a:ext>
                <a:ext uri="{FF2B5EF4-FFF2-40B4-BE49-F238E27FC236}">
                  <a16:creationId xmlns:a16="http://schemas.microsoft.com/office/drawing/2014/main" id="{00000000-0008-0000-0600-00004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115</xdr:row>
          <xdr:rowOff>47625</xdr:rowOff>
        </xdr:from>
        <xdr:to>
          <xdr:col>1</xdr:col>
          <xdr:colOff>76200</xdr:colOff>
          <xdr:row>115</xdr:row>
          <xdr:rowOff>276225</xdr:rowOff>
        </xdr:to>
        <xdr:sp macro="" textlink="">
          <xdr:nvSpPr>
            <xdr:cNvPr id="17476" name="Check Box 68" hidden="1">
              <a:extLst>
                <a:ext uri="{63B3BB69-23CF-44E3-9099-C40C66FF867C}">
                  <a14:compatExt spid="_x0000_s17476"/>
                </a:ext>
                <a:ext uri="{FF2B5EF4-FFF2-40B4-BE49-F238E27FC236}">
                  <a16:creationId xmlns:a16="http://schemas.microsoft.com/office/drawing/2014/main" id="{00000000-0008-0000-0600-00004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117</xdr:row>
          <xdr:rowOff>47625</xdr:rowOff>
        </xdr:from>
        <xdr:to>
          <xdr:col>1</xdr:col>
          <xdr:colOff>76200</xdr:colOff>
          <xdr:row>117</xdr:row>
          <xdr:rowOff>276225</xdr:rowOff>
        </xdr:to>
        <xdr:sp macro="" textlink="">
          <xdr:nvSpPr>
            <xdr:cNvPr id="17477" name="Check Box 69" hidden="1">
              <a:extLst>
                <a:ext uri="{63B3BB69-23CF-44E3-9099-C40C66FF867C}">
                  <a14:compatExt spid="_x0000_s17477"/>
                </a:ext>
                <a:ext uri="{FF2B5EF4-FFF2-40B4-BE49-F238E27FC236}">
                  <a16:creationId xmlns:a16="http://schemas.microsoft.com/office/drawing/2014/main" id="{00000000-0008-0000-0600-00004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116</xdr:row>
          <xdr:rowOff>47625</xdr:rowOff>
        </xdr:from>
        <xdr:to>
          <xdr:col>1</xdr:col>
          <xdr:colOff>76200</xdr:colOff>
          <xdr:row>116</xdr:row>
          <xdr:rowOff>276225</xdr:rowOff>
        </xdr:to>
        <xdr:sp macro="" textlink="">
          <xdr:nvSpPr>
            <xdr:cNvPr id="17478" name="Check Box 70" hidden="1">
              <a:extLst>
                <a:ext uri="{63B3BB69-23CF-44E3-9099-C40C66FF867C}">
                  <a14:compatExt spid="_x0000_s17478"/>
                </a:ext>
                <a:ext uri="{FF2B5EF4-FFF2-40B4-BE49-F238E27FC236}">
                  <a16:creationId xmlns:a16="http://schemas.microsoft.com/office/drawing/2014/main" id="{00000000-0008-0000-0600-00004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128</xdr:row>
          <xdr:rowOff>47625</xdr:rowOff>
        </xdr:from>
        <xdr:to>
          <xdr:col>1</xdr:col>
          <xdr:colOff>76200</xdr:colOff>
          <xdr:row>128</xdr:row>
          <xdr:rowOff>276225</xdr:rowOff>
        </xdr:to>
        <xdr:sp macro="" textlink="">
          <xdr:nvSpPr>
            <xdr:cNvPr id="17479" name="Check Box 71" hidden="1">
              <a:extLst>
                <a:ext uri="{63B3BB69-23CF-44E3-9099-C40C66FF867C}">
                  <a14:compatExt spid="_x0000_s17479"/>
                </a:ext>
                <a:ext uri="{FF2B5EF4-FFF2-40B4-BE49-F238E27FC236}">
                  <a16:creationId xmlns:a16="http://schemas.microsoft.com/office/drawing/2014/main" id="{00000000-0008-0000-0600-00004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133</xdr:row>
          <xdr:rowOff>0</xdr:rowOff>
        </xdr:from>
        <xdr:to>
          <xdr:col>1</xdr:col>
          <xdr:colOff>76200</xdr:colOff>
          <xdr:row>133</xdr:row>
          <xdr:rowOff>228600</xdr:rowOff>
        </xdr:to>
        <xdr:sp macro="" textlink="">
          <xdr:nvSpPr>
            <xdr:cNvPr id="17480" name="Check Box 72" hidden="1">
              <a:extLst>
                <a:ext uri="{63B3BB69-23CF-44E3-9099-C40C66FF867C}">
                  <a14:compatExt spid="_x0000_s17480"/>
                </a:ext>
                <a:ext uri="{FF2B5EF4-FFF2-40B4-BE49-F238E27FC236}">
                  <a16:creationId xmlns:a16="http://schemas.microsoft.com/office/drawing/2014/main" id="{00000000-0008-0000-0600-00004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133</xdr:row>
          <xdr:rowOff>0</xdr:rowOff>
        </xdr:from>
        <xdr:to>
          <xdr:col>1</xdr:col>
          <xdr:colOff>76200</xdr:colOff>
          <xdr:row>133</xdr:row>
          <xdr:rowOff>228600</xdr:rowOff>
        </xdr:to>
        <xdr:sp macro="" textlink="">
          <xdr:nvSpPr>
            <xdr:cNvPr id="17481" name="Check Box 73" hidden="1">
              <a:extLst>
                <a:ext uri="{63B3BB69-23CF-44E3-9099-C40C66FF867C}">
                  <a14:compatExt spid="_x0000_s17481"/>
                </a:ext>
                <a:ext uri="{FF2B5EF4-FFF2-40B4-BE49-F238E27FC236}">
                  <a16:creationId xmlns:a16="http://schemas.microsoft.com/office/drawing/2014/main" id="{00000000-0008-0000-0600-00004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118</xdr:row>
          <xdr:rowOff>47625</xdr:rowOff>
        </xdr:from>
        <xdr:to>
          <xdr:col>1</xdr:col>
          <xdr:colOff>76200</xdr:colOff>
          <xdr:row>118</xdr:row>
          <xdr:rowOff>295275</xdr:rowOff>
        </xdr:to>
        <xdr:sp macro="" textlink="">
          <xdr:nvSpPr>
            <xdr:cNvPr id="17483" name="Check Box 75" hidden="1">
              <a:extLst>
                <a:ext uri="{63B3BB69-23CF-44E3-9099-C40C66FF867C}">
                  <a14:compatExt spid="_x0000_s17483"/>
                </a:ext>
                <a:ext uri="{FF2B5EF4-FFF2-40B4-BE49-F238E27FC236}">
                  <a16:creationId xmlns:a16="http://schemas.microsoft.com/office/drawing/2014/main" id="{00000000-0008-0000-0600-00004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182</xdr:row>
          <xdr:rowOff>47625</xdr:rowOff>
        </xdr:from>
        <xdr:to>
          <xdr:col>1</xdr:col>
          <xdr:colOff>76200</xdr:colOff>
          <xdr:row>182</xdr:row>
          <xdr:rowOff>295275</xdr:rowOff>
        </xdr:to>
        <xdr:sp macro="" textlink="">
          <xdr:nvSpPr>
            <xdr:cNvPr id="17484" name="Check Box 76" hidden="1">
              <a:extLst>
                <a:ext uri="{63B3BB69-23CF-44E3-9099-C40C66FF867C}">
                  <a14:compatExt spid="_x0000_s17484"/>
                </a:ext>
                <a:ext uri="{FF2B5EF4-FFF2-40B4-BE49-F238E27FC236}">
                  <a16:creationId xmlns:a16="http://schemas.microsoft.com/office/drawing/2014/main" id="{00000000-0008-0000-0600-00004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181</xdr:row>
          <xdr:rowOff>47625</xdr:rowOff>
        </xdr:from>
        <xdr:to>
          <xdr:col>1</xdr:col>
          <xdr:colOff>76200</xdr:colOff>
          <xdr:row>181</xdr:row>
          <xdr:rowOff>276225</xdr:rowOff>
        </xdr:to>
        <xdr:sp macro="" textlink="">
          <xdr:nvSpPr>
            <xdr:cNvPr id="17485" name="Check Box 77" hidden="1">
              <a:extLst>
                <a:ext uri="{63B3BB69-23CF-44E3-9099-C40C66FF867C}">
                  <a14:compatExt spid="_x0000_s17485"/>
                </a:ext>
                <a:ext uri="{FF2B5EF4-FFF2-40B4-BE49-F238E27FC236}">
                  <a16:creationId xmlns:a16="http://schemas.microsoft.com/office/drawing/2014/main" id="{00000000-0008-0000-0600-00004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361950</xdr:colOff>
      <xdr:row>205</xdr:row>
      <xdr:rowOff>142875</xdr:rowOff>
    </xdr:from>
    <xdr:to>
      <xdr:col>5</xdr:col>
      <xdr:colOff>170656</xdr:colOff>
      <xdr:row>206</xdr:row>
      <xdr:rowOff>286544</xdr:rowOff>
    </xdr:to>
    <xdr:pic>
      <xdr:nvPicPr>
        <xdr:cNvPr id="2" name="Picture 3">
          <a:extLst>
            <a:ext uri="{FF2B5EF4-FFF2-40B4-BE49-F238E27FC236}">
              <a16:creationId xmlns:a16="http://schemas.microsoft.com/office/drawing/2014/main" id="{C5B7EAD2-83A7-427B-BF30-6F816A2B1D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33947100"/>
          <a:ext cx="2142331" cy="477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135</xdr:row>
          <xdr:rowOff>47625</xdr:rowOff>
        </xdr:from>
        <xdr:to>
          <xdr:col>1</xdr:col>
          <xdr:colOff>85725</xdr:colOff>
          <xdr:row>136</xdr:row>
          <xdr:rowOff>57150</xdr:rowOff>
        </xdr:to>
        <xdr:sp macro="" textlink="">
          <xdr:nvSpPr>
            <xdr:cNvPr id="25610" name="Check Box 10" hidden="1">
              <a:extLst>
                <a:ext uri="{63B3BB69-23CF-44E3-9099-C40C66FF867C}">
                  <a14:compatExt spid="_x0000_s25610"/>
                </a:ext>
                <a:ext uri="{FF2B5EF4-FFF2-40B4-BE49-F238E27FC236}">
                  <a16:creationId xmlns:a16="http://schemas.microsoft.com/office/drawing/2014/main" id="{00000000-0008-0000-0700-00000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136</xdr:row>
          <xdr:rowOff>47625</xdr:rowOff>
        </xdr:from>
        <xdr:to>
          <xdr:col>1</xdr:col>
          <xdr:colOff>85725</xdr:colOff>
          <xdr:row>137</xdr:row>
          <xdr:rowOff>57150</xdr:rowOff>
        </xdr:to>
        <xdr:sp macro="" textlink="">
          <xdr:nvSpPr>
            <xdr:cNvPr id="25611" name="Check Box 11" hidden="1">
              <a:extLst>
                <a:ext uri="{63B3BB69-23CF-44E3-9099-C40C66FF867C}">
                  <a14:compatExt spid="_x0000_s25611"/>
                </a:ext>
                <a:ext uri="{FF2B5EF4-FFF2-40B4-BE49-F238E27FC236}">
                  <a16:creationId xmlns:a16="http://schemas.microsoft.com/office/drawing/2014/main" id="{00000000-0008-0000-0700-00000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138</xdr:row>
      <xdr:rowOff>104775</xdr:rowOff>
    </xdr:from>
    <xdr:to>
      <xdr:col>2</xdr:col>
      <xdr:colOff>276860</xdr:colOff>
      <xdr:row>138</xdr:row>
      <xdr:rowOff>238125</xdr:rowOff>
    </xdr:to>
    <xdr:sp macro="" textlink="">
      <xdr:nvSpPr>
        <xdr:cNvPr id="3" name="Oval 2">
          <a:extLst>
            <a:ext uri="{FF2B5EF4-FFF2-40B4-BE49-F238E27FC236}">
              <a16:creationId xmlns:a16="http://schemas.microsoft.com/office/drawing/2014/main" id="{5B647168-CF25-4AAC-B78F-CDDF50650764}"/>
            </a:ext>
          </a:extLst>
        </xdr:cNvPr>
        <xdr:cNvSpPr/>
      </xdr:nvSpPr>
      <xdr:spPr>
        <a:xfrm>
          <a:off x="904875" y="41729025"/>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00FF"/>
            </a:solidFill>
          </a:endParaRPr>
        </a:p>
      </xdr:txBody>
    </xdr:sp>
    <xdr:clientData/>
  </xdr:twoCellAnchor>
  <xdr:twoCellAnchor>
    <xdr:from>
      <xdr:col>2</xdr:col>
      <xdr:colOff>123825</xdr:colOff>
      <xdr:row>139</xdr:row>
      <xdr:rowOff>95250</xdr:rowOff>
    </xdr:from>
    <xdr:to>
      <xdr:col>2</xdr:col>
      <xdr:colOff>267335</xdr:colOff>
      <xdr:row>139</xdr:row>
      <xdr:rowOff>228600</xdr:rowOff>
    </xdr:to>
    <xdr:sp macro="" textlink="">
      <xdr:nvSpPr>
        <xdr:cNvPr id="4" name="Oval 3">
          <a:extLst>
            <a:ext uri="{FF2B5EF4-FFF2-40B4-BE49-F238E27FC236}">
              <a16:creationId xmlns:a16="http://schemas.microsoft.com/office/drawing/2014/main" id="{7F3011A5-0EED-4CFD-B13F-4D577D659BB9}"/>
            </a:ext>
          </a:extLst>
        </xdr:cNvPr>
        <xdr:cNvSpPr/>
      </xdr:nvSpPr>
      <xdr:spPr>
        <a:xfrm>
          <a:off x="895350" y="42043350"/>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CC00FF"/>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138</xdr:row>
          <xdr:rowOff>47625</xdr:rowOff>
        </xdr:from>
        <xdr:to>
          <xdr:col>1</xdr:col>
          <xdr:colOff>85725</xdr:colOff>
          <xdr:row>138</xdr:row>
          <xdr:rowOff>276225</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00000000-0008-0000-0700-00000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141</xdr:row>
          <xdr:rowOff>47625</xdr:rowOff>
        </xdr:from>
        <xdr:to>
          <xdr:col>1</xdr:col>
          <xdr:colOff>85725</xdr:colOff>
          <xdr:row>141</xdr:row>
          <xdr:rowOff>276225</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00000000-0008-0000-0700-00000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145</xdr:row>
          <xdr:rowOff>47625</xdr:rowOff>
        </xdr:from>
        <xdr:to>
          <xdr:col>1</xdr:col>
          <xdr:colOff>85725</xdr:colOff>
          <xdr:row>145</xdr:row>
          <xdr:rowOff>276225</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00000000-0008-0000-0700-00000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147</xdr:row>
          <xdr:rowOff>47625</xdr:rowOff>
        </xdr:from>
        <xdr:to>
          <xdr:col>1</xdr:col>
          <xdr:colOff>85725</xdr:colOff>
          <xdr:row>147</xdr:row>
          <xdr:rowOff>276225</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00000000-0008-0000-0700-00000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149</xdr:row>
      <xdr:rowOff>101600</xdr:rowOff>
    </xdr:from>
    <xdr:to>
      <xdr:col>2</xdr:col>
      <xdr:colOff>273685</xdr:colOff>
      <xdr:row>149</xdr:row>
      <xdr:rowOff>234950</xdr:rowOff>
    </xdr:to>
    <xdr:sp macro="" textlink="">
      <xdr:nvSpPr>
        <xdr:cNvPr id="5" name="Oval 4">
          <a:extLst>
            <a:ext uri="{FF2B5EF4-FFF2-40B4-BE49-F238E27FC236}">
              <a16:creationId xmlns:a16="http://schemas.microsoft.com/office/drawing/2014/main" id="{3BBEC689-F640-4BB8-85A5-9D1F4BDC4EBA}"/>
            </a:ext>
          </a:extLst>
        </xdr:cNvPr>
        <xdr:cNvSpPr/>
      </xdr:nvSpPr>
      <xdr:spPr>
        <a:xfrm>
          <a:off x="904875" y="44973875"/>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149</xdr:row>
          <xdr:rowOff>47625</xdr:rowOff>
        </xdr:from>
        <xdr:to>
          <xdr:col>1</xdr:col>
          <xdr:colOff>85725</xdr:colOff>
          <xdr:row>150</xdr:row>
          <xdr:rowOff>9525</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00000000-0008-0000-0700-00001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150</xdr:row>
      <xdr:rowOff>101600</xdr:rowOff>
    </xdr:from>
    <xdr:to>
      <xdr:col>2</xdr:col>
      <xdr:colOff>273685</xdr:colOff>
      <xdr:row>150</xdr:row>
      <xdr:rowOff>234950</xdr:rowOff>
    </xdr:to>
    <xdr:sp macro="" textlink="">
      <xdr:nvSpPr>
        <xdr:cNvPr id="6" name="Oval 5">
          <a:extLst>
            <a:ext uri="{FF2B5EF4-FFF2-40B4-BE49-F238E27FC236}">
              <a16:creationId xmlns:a16="http://schemas.microsoft.com/office/drawing/2014/main" id="{F2FABE44-4ECC-44D1-983E-C0BE56D630E8}"/>
            </a:ext>
          </a:extLst>
        </xdr:cNvPr>
        <xdr:cNvSpPr/>
      </xdr:nvSpPr>
      <xdr:spPr>
        <a:xfrm>
          <a:off x="904875" y="45297725"/>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152</xdr:row>
          <xdr:rowOff>47625</xdr:rowOff>
        </xdr:from>
        <xdr:to>
          <xdr:col>1</xdr:col>
          <xdr:colOff>85725</xdr:colOff>
          <xdr:row>153</xdr:row>
          <xdr:rowOff>19050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00000000-0008-0000-0700-00001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154</xdr:row>
          <xdr:rowOff>47625</xdr:rowOff>
        </xdr:from>
        <xdr:to>
          <xdr:col>1</xdr:col>
          <xdr:colOff>85725</xdr:colOff>
          <xdr:row>154</xdr:row>
          <xdr:rowOff>276225</xdr:rowOff>
        </xdr:to>
        <xdr:sp macro="" textlink="">
          <xdr:nvSpPr>
            <xdr:cNvPr id="25618" name="Check Box 18" hidden="1">
              <a:extLst>
                <a:ext uri="{63B3BB69-23CF-44E3-9099-C40C66FF867C}">
                  <a14:compatExt spid="_x0000_s25618"/>
                </a:ext>
                <a:ext uri="{FF2B5EF4-FFF2-40B4-BE49-F238E27FC236}">
                  <a16:creationId xmlns:a16="http://schemas.microsoft.com/office/drawing/2014/main" id="{00000000-0008-0000-0700-00001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156</xdr:row>
          <xdr:rowOff>47625</xdr:rowOff>
        </xdr:from>
        <xdr:to>
          <xdr:col>1</xdr:col>
          <xdr:colOff>85725</xdr:colOff>
          <xdr:row>156</xdr:row>
          <xdr:rowOff>276225</xdr:rowOff>
        </xdr:to>
        <xdr:sp macro="" textlink="">
          <xdr:nvSpPr>
            <xdr:cNvPr id="25619" name="Check Box 19" hidden="1">
              <a:extLst>
                <a:ext uri="{63B3BB69-23CF-44E3-9099-C40C66FF867C}">
                  <a14:compatExt spid="_x0000_s25619"/>
                </a:ext>
                <a:ext uri="{FF2B5EF4-FFF2-40B4-BE49-F238E27FC236}">
                  <a16:creationId xmlns:a16="http://schemas.microsoft.com/office/drawing/2014/main" id="{00000000-0008-0000-0700-00001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155</xdr:row>
          <xdr:rowOff>47625</xdr:rowOff>
        </xdr:from>
        <xdr:to>
          <xdr:col>1</xdr:col>
          <xdr:colOff>85725</xdr:colOff>
          <xdr:row>156</xdr:row>
          <xdr:rowOff>57150</xdr:rowOff>
        </xdr:to>
        <xdr:sp macro="" textlink="">
          <xdr:nvSpPr>
            <xdr:cNvPr id="25620" name="Check Box 20" hidden="1">
              <a:extLst>
                <a:ext uri="{63B3BB69-23CF-44E3-9099-C40C66FF867C}">
                  <a14:compatExt spid="_x0000_s25620"/>
                </a:ext>
                <a:ext uri="{FF2B5EF4-FFF2-40B4-BE49-F238E27FC236}">
                  <a16:creationId xmlns:a16="http://schemas.microsoft.com/office/drawing/2014/main" id="{00000000-0008-0000-0700-00001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157</xdr:row>
          <xdr:rowOff>47625</xdr:rowOff>
        </xdr:from>
        <xdr:to>
          <xdr:col>1</xdr:col>
          <xdr:colOff>85725</xdr:colOff>
          <xdr:row>157</xdr:row>
          <xdr:rowOff>295275</xdr:rowOff>
        </xdr:to>
        <xdr:sp macro="" textlink="">
          <xdr:nvSpPr>
            <xdr:cNvPr id="25625" name="Check Box 25" hidden="1">
              <a:extLst>
                <a:ext uri="{63B3BB69-23CF-44E3-9099-C40C66FF867C}">
                  <a14:compatExt spid="_x0000_s25625"/>
                </a:ext>
                <a:ext uri="{FF2B5EF4-FFF2-40B4-BE49-F238E27FC236}">
                  <a16:creationId xmlns:a16="http://schemas.microsoft.com/office/drawing/2014/main" id="{00000000-0008-0000-0700-00001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72</xdr:row>
          <xdr:rowOff>47625</xdr:rowOff>
        </xdr:from>
        <xdr:to>
          <xdr:col>1</xdr:col>
          <xdr:colOff>85725</xdr:colOff>
          <xdr:row>72</xdr:row>
          <xdr:rowOff>276225</xdr:rowOff>
        </xdr:to>
        <xdr:sp macro="" textlink="">
          <xdr:nvSpPr>
            <xdr:cNvPr id="25629" name="Check Box 29" hidden="1">
              <a:extLst>
                <a:ext uri="{63B3BB69-23CF-44E3-9099-C40C66FF867C}">
                  <a14:compatExt spid="_x0000_s25629"/>
                </a:ext>
                <a:ext uri="{FF2B5EF4-FFF2-40B4-BE49-F238E27FC236}">
                  <a16:creationId xmlns:a16="http://schemas.microsoft.com/office/drawing/2014/main" id="{00000000-0008-0000-0700-00001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78</xdr:row>
          <xdr:rowOff>47625</xdr:rowOff>
        </xdr:from>
        <xdr:to>
          <xdr:col>1</xdr:col>
          <xdr:colOff>85725</xdr:colOff>
          <xdr:row>79</xdr:row>
          <xdr:rowOff>19050</xdr:rowOff>
        </xdr:to>
        <xdr:sp macro="" textlink="">
          <xdr:nvSpPr>
            <xdr:cNvPr id="25630" name="Check Box 30" hidden="1">
              <a:extLst>
                <a:ext uri="{63B3BB69-23CF-44E3-9099-C40C66FF867C}">
                  <a14:compatExt spid="_x0000_s25630"/>
                </a:ext>
                <a:ext uri="{FF2B5EF4-FFF2-40B4-BE49-F238E27FC236}">
                  <a16:creationId xmlns:a16="http://schemas.microsoft.com/office/drawing/2014/main" id="{00000000-0008-0000-0700-00001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83</xdr:row>
          <xdr:rowOff>47625</xdr:rowOff>
        </xdr:from>
        <xdr:to>
          <xdr:col>1</xdr:col>
          <xdr:colOff>85725</xdr:colOff>
          <xdr:row>83</xdr:row>
          <xdr:rowOff>276225</xdr:rowOff>
        </xdr:to>
        <xdr:sp macro="" textlink="">
          <xdr:nvSpPr>
            <xdr:cNvPr id="25631" name="Check Box 31" hidden="1">
              <a:extLst>
                <a:ext uri="{63B3BB69-23CF-44E3-9099-C40C66FF867C}">
                  <a14:compatExt spid="_x0000_s25631"/>
                </a:ext>
                <a:ext uri="{FF2B5EF4-FFF2-40B4-BE49-F238E27FC236}">
                  <a16:creationId xmlns:a16="http://schemas.microsoft.com/office/drawing/2014/main" id="{00000000-0008-0000-0700-00001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77</xdr:row>
          <xdr:rowOff>47625</xdr:rowOff>
        </xdr:from>
        <xdr:to>
          <xdr:col>1</xdr:col>
          <xdr:colOff>85725</xdr:colOff>
          <xdr:row>78</xdr:row>
          <xdr:rowOff>9525</xdr:rowOff>
        </xdr:to>
        <xdr:sp macro="" textlink="">
          <xdr:nvSpPr>
            <xdr:cNvPr id="25632" name="Check Box 32" hidden="1">
              <a:extLst>
                <a:ext uri="{63B3BB69-23CF-44E3-9099-C40C66FF867C}">
                  <a14:compatExt spid="_x0000_s25632"/>
                </a:ext>
                <a:ext uri="{FF2B5EF4-FFF2-40B4-BE49-F238E27FC236}">
                  <a16:creationId xmlns:a16="http://schemas.microsoft.com/office/drawing/2014/main" id="{00000000-0008-0000-0700-00002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85</xdr:row>
          <xdr:rowOff>47625</xdr:rowOff>
        </xdr:from>
        <xdr:to>
          <xdr:col>1</xdr:col>
          <xdr:colOff>85725</xdr:colOff>
          <xdr:row>85</xdr:row>
          <xdr:rowOff>276225</xdr:rowOff>
        </xdr:to>
        <xdr:sp macro="" textlink="">
          <xdr:nvSpPr>
            <xdr:cNvPr id="25633" name="Check Box 33" hidden="1">
              <a:extLst>
                <a:ext uri="{63B3BB69-23CF-44E3-9099-C40C66FF867C}">
                  <a14:compatExt spid="_x0000_s25633"/>
                </a:ext>
                <a:ext uri="{FF2B5EF4-FFF2-40B4-BE49-F238E27FC236}">
                  <a16:creationId xmlns:a16="http://schemas.microsoft.com/office/drawing/2014/main" id="{00000000-0008-0000-0700-00002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91</xdr:row>
          <xdr:rowOff>47625</xdr:rowOff>
        </xdr:from>
        <xdr:to>
          <xdr:col>1</xdr:col>
          <xdr:colOff>85725</xdr:colOff>
          <xdr:row>91</xdr:row>
          <xdr:rowOff>285750</xdr:rowOff>
        </xdr:to>
        <xdr:sp macro="" textlink="">
          <xdr:nvSpPr>
            <xdr:cNvPr id="25634" name="Check Box 34" hidden="1">
              <a:extLst>
                <a:ext uri="{63B3BB69-23CF-44E3-9099-C40C66FF867C}">
                  <a14:compatExt spid="_x0000_s25634"/>
                </a:ext>
                <a:ext uri="{FF2B5EF4-FFF2-40B4-BE49-F238E27FC236}">
                  <a16:creationId xmlns:a16="http://schemas.microsoft.com/office/drawing/2014/main" id="{00000000-0008-0000-0700-00002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96</xdr:row>
          <xdr:rowOff>47625</xdr:rowOff>
        </xdr:from>
        <xdr:to>
          <xdr:col>1</xdr:col>
          <xdr:colOff>85725</xdr:colOff>
          <xdr:row>96</xdr:row>
          <xdr:rowOff>276225</xdr:rowOff>
        </xdr:to>
        <xdr:sp macro="" textlink="">
          <xdr:nvSpPr>
            <xdr:cNvPr id="25635" name="Check Box 35" hidden="1">
              <a:extLst>
                <a:ext uri="{63B3BB69-23CF-44E3-9099-C40C66FF867C}">
                  <a14:compatExt spid="_x0000_s25635"/>
                </a:ext>
                <a:ext uri="{FF2B5EF4-FFF2-40B4-BE49-F238E27FC236}">
                  <a16:creationId xmlns:a16="http://schemas.microsoft.com/office/drawing/2014/main" id="{00000000-0008-0000-0700-00002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90</xdr:row>
          <xdr:rowOff>47625</xdr:rowOff>
        </xdr:from>
        <xdr:to>
          <xdr:col>1</xdr:col>
          <xdr:colOff>85725</xdr:colOff>
          <xdr:row>90</xdr:row>
          <xdr:rowOff>276225</xdr:rowOff>
        </xdr:to>
        <xdr:sp macro="" textlink="">
          <xdr:nvSpPr>
            <xdr:cNvPr id="25636" name="Check Box 36" hidden="1">
              <a:extLst>
                <a:ext uri="{63B3BB69-23CF-44E3-9099-C40C66FF867C}">
                  <a14:compatExt spid="_x0000_s25636"/>
                </a:ext>
                <a:ext uri="{FF2B5EF4-FFF2-40B4-BE49-F238E27FC236}">
                  <a16:creationId xmlns:a16="http://schemas.microsoft.com/office/drawing/2014/main" id="{00000000-0008-0000-0700-000024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98</xdr:row>
          <xdr:rowOff>47625</xdr:rowOff>
        </xdr:from>
        <xdr:to>
          <xdr:col>1</xdr:col>
          <xdr:colOff>85725</xdr:colOff>
          <xdr:row>98</xdr:row>
          <xdr:rowOff>276225</xdr:rowOff>
        </xdr:to>
        <xdr:sp macro="" textlink="">
          <xdr:nvSpPr>
            <xdr:cNvPr id="25637" name="Check Box 37" hidden="1">
              <a:extLst>
                <a:ext uri="{63B3BB69-23CF-44E3-9099-C40C66FF867C}">
                  <a14:compatExt spid="_x0000_s25637"/>
                </a:ext>
                <a:ext uri="{FF2B5EF4-FFF2-40B4-BE49-F238E27FC236}">
                  <a16:creationId xmlns:a16="http://schemas.microsoft.com/office/drawing/2014/main" id="{00000000-0008-0000-0700-000025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99</xdr:row>
          <xdr:rowOff>47625</xdr:rowOff>
        </xdr:from>
        <xdr:to>
          <xdr:col>1</xdr:col>
          <xdr:colOff>85725</xdr:colOff>
          <xdr:row>99</xdr:row>
          <xdr:rowOff>276225</xdr:rowOff>
        </xdr:to>
        <xdr:sp macro="" textlink="">
          <xdr:nvSpPr>
            <xdr:cNvPr id="25638" name="Check Box 38" hidden="1">
              <a:extLst>
                <a:ext uri="{63B3BB69-23CF-44E3-9099-C40C66FF867C}">
                  <a14:compatExt spid="_x0000_s25638"/>
                </a:ext>
                <a:ext uri="{FF2B5EF4-FFF2-40B4-BE49-F238E27FC236}">
                  <a16:creationId xmlns:a16="http://schemas.microsoft.com/office/drawing/2014/main" id="{00000000-0008-0000-0700-00002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101</xdr:row>
      <xdr:rowOff>104775</xdr:rowOff>
    </xdr:from>
    <xdr:to>
      <xdr:col>2</xdr:col>
      <xdr:colOff>276860</xdr:colOff>
      <xdr:row>101</xdr:row>
      <xdr:rowOff>238125</xdr:rowOff>
    </xdr:to>
    <xdr:sp macro="" textlink="">
      <xdr:nvSpPr>
        <xdr:cNvPr id="7" name="Oval 6">
          <a:extLst>
            <a:ext uri="{FF2B5EF4-FFF2-40B4-BE49-F238E27FC236}">
              <a16:creationId xmlns:a16="http://schemas.microsoft.com/office/drawing/2014/main" id="{D0915E6A-AD59-403C-A32C-A5A926AAB8DB}"/>
            </a:ext>
          </a:extLst>
        </xdr:cNvPr>
        <xdr:cNvSpPr/>
      </xdr:nvSpPr>
      <xdr:spPr>
        <a:xfrm>
          <a:off x="904875" y="30899100"/>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CC00FF"/>
            </a:solidFill>
          </a:endParaRPr>
        </a:p>
      </xdr:txBody>
    </xdr:sp>
    <xdr:clientData/>
  </xdr:twoCellAnchor>
  <xdr:twoCellAnchor>
    <xdr:from>
      <xdr:col>2</xdr:col>
      <xdr:colOff>123825</xdr:colOff>
      <xdr:row>102</xdr:row>
      <xdr:rowOff>95250</xdr:rowOff>
    </xdr:from>
    <xdr:to>
      <xdr:col>2</xdr:col>
      <xdr:colOff>267335</xdr:colOff>
      <xdr:row>102</xdr:row>
      <xdr:rowOff>228600</xdr:rowOff>
    </xdr:to>
    <xdr:sp macro="" textlink="">
      <xdr:nvSpPr>
        <xdr:cNvPr id="8" name="Oval 7">
          <a:extLst>
            <a:ext uri="{FF2B5EF4-FFF2-40B4-BE49-F238E27FC236}">
              <a16:creationId xmlns:a16="http://schemas.microsoft.com/office/drawing/2014/main" id="{0D878208-EC72-47EA-A4A7-2257120126D3}"/>
            </a:ext>
          </a:extLst>
        </xdr:cNvPr>
        <xdr:cNvSpPr/>
      </xdr:nvSpPr>
      <xdr:spPr>
        <a:xfrm>
          <a:off x="895350" y="31213425"/>
          <a:ext cx="143510" cy="133350"/>
        </a:xfrm>
        <a:prstGeom prst="ellipse">
          <a:avLst/>
        </a:prstGeom>
        <a:solidFill>
          <a:srgbClr val="9900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CC00FF"/>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101</xdr:row>
          <xdr:rowOff>47625</xdr:rowOff>
        </xdr:from>
        <xdr:to>
          <xdr:col>1</xdr:col>
          <xdr:colOff>85725</xdr:colOff>
          <xdr:row>101</xdr:row>
          <xdr:rowOff>276225</xdr:rowOff>
        </xdr:to>
        <xdr:sp macro="" textlink="">
          <xdr:nvSpPr>
            <xdr:cNvPr id="25639" name="Check Box 39" hidden="1">
              <a:extLst>
                <a:ext uri="{63B3BB69-23CF-44E3-9099-C40C66FF867C}">
                  <a14:compatExt spid="_x0000_s25639"/>
                </a:ext>
                <a:ext uri="{FF2B5EF4-FFF2-40B4-BE49-F238E27FC236}">
                  <a16:creationId xmlns:a16="http://schemas.microsoft.com/office/drawing/2014/main" id="{00000000-0008-0000-0700-000027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104</xdr:row>
          <xdr:rowOff>47625</xdr:rowOff>
        </xdr:from>
        <xdr:to>
          <xdr:col>1</xdr:col>
          <xdr:colOff>85725</xdr:colOff>
          <xdr:row>104</xdr:row>
          <xdr:rowOff>266700</xdr:rowOff>
        </xdr:to>
        <xdr:sp macro="" textlink="">
          <xdr:nvSpPr>
            <xdr:cNvPr id="25640" name="Check Box 40" hidden="1">
              <a:extLst>
                <a:ext uri="{63B3BB69-23CF-44E3-9099-C40C66FF867C}">
                  <a14:compatExt spid="_x0000_s25640"/>
                </a:ext>
                <a:ext uri="{FF2B5EF4-FFF2-40B4-BE49-F238E27FC236}">
                  <a16:creationId xmlns:a16="http://schemas.microsoft.com/office/drawing/2014/main" id="{00000000-0008-0000-0700-000028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108</xdr:row>
          <xdr:rowOff>0</xdr:rowOff>
        </xdr:from>
        <xdr:to>
          <xdr:col>1</xdr:col>
          <xdr:colOff>85725</xdr:colOff>
          <xdr:row>108</xdr:row>
          <xdr:rowOff>228600</xdr:rowOff>
        </xdr:to>
        <xdr:sp macro="" textlink="">
          <xdr:nvSpPr>
            <xdr:cNvPr id="25641" name="Check Box 41" hidden="1">
              <a:extLst>
                <a:ext uri="{63B3BB69-23CF-44E3-9099-C40C66FF867C}">
                  <a14:compatExt spid="_x0000_s25641"/>
                </a:ext>
                <a:ext uri="{FF2B5EF4-FFF2-40B4-BE49-F238E27FC236}">
                  <a16:creationId xmlns:a16="http://schemas.microsoft.com/office/drawing/2014/main" id="{00000000-0008-0000-0700-00002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108</xdr:row>
          <xdr:rowOff>47625</xdr:rowOff>
        </xdr:from>
        <xdr:to>
          <xdr:col>1</xdr:col>
          <xdr:colOff>85725</xdr:colOff>
          <xdr:row>108</xdr:row>
          <xdr:rowOff>276225</xdr:rowOff>
        </xdr:to>
        <xdr:sp macro="" textlink="">
          <xdr:nvSpPr>
            <xdr:cNvPr id="25642" name="Check Box 42" hidden="1">
              <a:extLst>
                <a:ext uri="{63B3BB69-23CF-44E3-9099-C40C66FF867C}">
                  <a14:compatExt spid="_x0000_s25642"/>
                </a:ext>
                <a:ext uri="{FF2B5EF4-FFF2-40B4-BE49-F238E27FC236}">
                  <a16:creationId xmlns:a16="http://schemas.microsoft.com/office/drawing/2014/main" id="{00000000-0008-0000-0700-00002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110</xdr:row>
      <xdr:rowOff>101600</xdr:rowOff>
    </xdr:from>
    <xdr:to>
      <xdr:col>2</xdr:col>
      <xdr:colOff>273685</xdr:colOff>
      <xdr:row>110</xdr:row>
      <xdr:rowOff>234950</xdr:rowOff>
    </xdr:to>
    <xdr:sp macro="" textlink="">
      <xdr:nvSpPr>
        <xdr:cNvPr id="9" name="Oval 8">
          <a:extLst>
            <a:ext uri="{FF2B5EF4-FFF2-40B4-BE49-F238E27FC236}">
              <a16:creationId xmlns:a16="http://schemas.microsoft.com/office/drawing/2014/main" id="{40703402-24B3-46E9-8F23-F045C87CD492}"/>
            </a:ext>
          </a:extLst>
        </xdr:cNvPr>
        <xdr:cNvSpPr/>
      </xdr:nvSpPr>
      <xdr:spPr>
        <a:xfrm>
          <a:off x="904875" y="3361055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110</xdr:row>
          <xdr:rowOff>47625</xdr:rowOff>
        </xdr:from>
        <xdr:to>
          <xdr:col>1</xdr:col>
          <xdr:colOff>85725</xdr:colOff>
          <xdr:row>110</xdr:row>
          <xdr:rowOff>276225</xdr:rowOff>
        </xdr:to>
        <xdr:sp macro="" textlink="">
          <xdr:nvSpPr>
            <xdr:cNvPr id="25643" name="Check Box 43" hidden="1">
              <a:extLst>
                <a:ext uri="{63B3BB69-23CF-44E3-9099-C40C66FF867C}">
                  <a14:compatExt spid="_x0000_s25643"/>
                </a:ext>
                <a:ext uri="{FF2B5EF4-FFF2-40B4-BE49-F238E27FC236}">
                  <a16:creationId xmlns:a16="http://schemas.microsoft.com/office/drawing/2014/main" id="{00000000-0008-0000-0700-00002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xdr:col>
      <xdr:colOff>133350</xdr:colOff>
      <xdr:row>111</xdr:row>
      <xdr:rowOff>101600</xdr:rowOff>
    </xdr:from>
    <xdr:to>
      <xdr:col>2</xdr:col>
      <xdr:colOff>273685</xdr:colOff>
      <xdr:row>111</xdr:row>
      <xdr:rowOff>234950</xdr:rowOff>
    </xdr:to>
    <xdr:sp macro="" textlink="">
      <xdr:nvSpPr>
        <xdr:cNvPr id="10" name="Oval 9">
          <a:extLst>
            <a:ext uri="{FF2B5EF4-FFF2-40B4-BE49-F238E27FC236}">
              <a16:creationId xmlns:a16="http://schemas.microsoft.com/office/drawing/2014/main" id="{1FF3E5F9-9CA4-4D2D-862E-E7F1F91095F9}"/>
            </a:ext>
          </a:extLst>
        </xdr:cNvPr>
        <xdr:cNvSpPr/>
      </xdr:nvSpPr>
      <xdr:spPr>
        <a:xfrm>
          <a:off x="904875" y="33934400"/>
          <a:ext cx="140335" cy="133350"/>
        </a:xfrm>
        <a:prstGeom prst="ellipse">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28575</xdr:colOff>
          <xdr:row>113</xdr:row>
          <xdr:rowOff>47625</xdr:rowOff>
        </xdr:from>
        <xdr:to>
          <xdr:col>1</xdr:col>
          <xdr:colOff>85725</xdr:colOff>
          <xdr:row>114</xdr:row>
          <xdr:rowOff>19050</xdr:rowOff>
        </xdr:to>
        <xdr:sp macro="" textlink="">
          <xdr:nvSpPr>
            <xdr:cNvPr id="25644" name="Check Box 44" hidden="1">
              <a:extLst>
                <a:ext uri="{63B3BB69-23CF-44E3-9099-C40C66FF867C}">
                  <a14:compatExt spid="_x0000_s25644"/>
                </a:ext>
                <a:ext uri="{FF2B5EF4-FFF2-40B4-BE49-F238E27FC236}">
                  <a16:creationId xmlns:a16="http://schemas.microsoft.com/office/drawing/2014/main" id="{00000000-0008-0000-0700-00002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115</xdr:row>
          <xdr:rowOff>47625</xdr:rowOff>
        </xdr:from>
        <xdr:to>
          <xdr:col>1</xdr:col>
          <xdr:colOff>85725</xdr:colOff>
          <xdr:row>116</xdr:row>
          <xdr:rowOff>9525</xdr:rowOff>
        </xdr:to>
        <xdr:sp macro="" textlink="">
          <xdr:nvSpPr>
            <xdr:cNvPr id="25645" name="Check Box 45" hidden="1">
              <a:extLst>
                <a:ext uri="{63B3BB69-23CF-44E3-9099-C40C66FF867C}">
                  <a14:compatExt spid="_x0000_s25645"/>
                </a:ext>
                <a:ext uri="{FF2B5EF4-FFF2-40B4-BE49-F238E27FC236}">
                  <a16:creationId xmlns:a16="http://schemas.microsoft.com/office/drawing/2014/main" id="{00000000-0008-0000-0700-00002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117</xdr:row>
          <xdr:rowOff>47625</xdr:rowOff>
        </xdr:from>
        <xdr:to>
          <xdr:col>1</xdr:col>
          <xdr:colOff>85725</xdr:colOff>
          <xdr:row>117</xdr:row>
          <xdr:rowOff>276225</xdr:rowOff>
        </xdr:to>
        <xdr:sp macro="" textlink="">
          <xdr:nvSpPr>
            <xdr:cNvPr id="25646" name="Check Box 46" hidden="1">
              <a:extLst>
                <a:ext uri="{63B3BB69-23CF-44E3-9099-C40C66FF867C}">
                  <a14:compatExt spid="_x0000_s25646"/>
                </a:ext>
                <a:ext uri="{FF2B5EF4-FFF2-40B4-BE49-F238E27FC236}">
                  <a16:creationId xmlns:a16="http://schemas.microsoft.com/office/drawing/2014/main" id="{00000000-0008-0000-0700-00002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116</xdr:row>
          <xdr:rowOff>47625</xdr:rowOff>
        </xdr:from>
        <xdr:to>
          <xdr:col>1</xdr:col>
          <xdr:colOff>85725</xdr:colOff>
          <xdr:row>117</xdr:row>
          <xdr:rowOff>9525</xdr:rowOff>
        </xdr:to>
        <xdr:sp macro="" textlink="">
          <xdr:nvSpPr>
            <xdr:cNvPr id="25647" name="Check Box 47" hidden="1">
              <a:extLst>
                <a:ext uri="{63B3BB69-23CF-44E3-9099-C40C66FF867C}">
                  <a14:compatExt spid="_x0000_s25647"/>
                </a:ext>
                <a:ext uri="{FF2B5EF4-FFF2-40B4-BE49-F238E27FC236}">
                  <a16:creationId xmlns:a16="http://schemas.microsoft.com/office/drawing/2014/main" id="{00000000-0008-0000-0700-00002F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128</xdr:row>
          <xdr:rowOff>47625</xdr:rowOff>
        </xdr:from>
        <xdr:to>
          <xdr:col>1</xdr:col>
          <xdr:colOff>85725</xdr:colOff>
          <xdr:row>128</xdr:row>
          <xdr:rowOff>276225</xdr:rowOff>
        </xdr:to>
        <xdr:sp macro="" textlink="">
          <xdr:nvSpPr>
            <xdr:cNvPr id="25648" name="Check Box 48" hidden="1">
              <a:extLst>
                <a:ext uri="{63B3BB69-23CF-44E3-9099-C40C66FF867C}">
                  <a14:compatExt spid="_x0000_s25648"/>
                </a:ext>
                <a:ext uri="{FF2B5EF4-FFF2-40B4-BE49-F238E27FC236}">
                  <a16:creationId xmlns:a16="http://schemas.microsoft.com/office/drawing/2014/main" id="{00000000-0008-0000-0700-000030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133</xdr:row>
          <xdr:rowOff>0</xdr:rowOff>
        </xdr:from>
        <xdr:to>
          <xdr:col>1</xdr:col>
          <xdr:colOff>85725</xdr:colOff>
          <xdr:row>134</xdr:row>
          <xdr:rowOff>9525</xdr:rowOff>
        </xdr:to>
        <xdr:sp macro="" textlink="">
          <xdr:nvSpPr>
            <xdr:cNvPr id="25649" name="Check Box 49" hidden="1">
              <a:extLst>
                <a:ext uri="{63B3BB69-23CF-44E3-9099-C40C66FF867C}">
                  <a14:compatExt spid="_x0000_s25649"/>
                </a:ext>
                <a:ext uri="{FF2B5EF4-FFF2-40B4-BE49-F238E27FC236}">
                  <a16:creationId xmlns:a16="http://schemas.microsoft.com/office/drawing/2014/main" id="{00000000-0008-0000-0700-000031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133</xdr:row>
          <xdr:rowOff>0</xdr:rowOff>
        </xdr:from>
        <xdr:to>
          <xdr:col>1</xdr:col>
          <xdr:colOff>85725</xdr:colOff>
          <xdr:row>134</xdr:row>
          <xdr:rowOff>9525</xdr:rowOff>
        </xdr:to>
        <xdr:sp macro="" textlink="">
          <xdr:nvSpPr>
            <xdr:cNvPr id="25650" name="Check Box 50" hidden="1">
              <a:extLst>
                <a:ext uri="{63B3BB69-23CF-44E3-9099-C40C66FF867C}">
                  <a14:compatExt spid="_x0000_s25650"/>
                </a:ext>
                <a:ext uri="{FF2B5EF4-FFF2-40B4-BE49-F238E27FC236}">
                  <a16:creationId xmlns:a16="http://schemas.microsoft.com/office/drawing/2014/main" id="{00000000-0008-0000-0700-000032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118</xdr:row>
          <xdr:rowOff>47625</xdr:rowOff>
        </xdr:from>
        <xdr:to>
          <xdr:col>1</xdr:col>
          <xdr:colOff>85725</xdr:colOff>
          <xdr:row>118</xdr:row>
          <xdr:rowOff>295275</xdr:rowOff>
        </xdr:to>
        <xdr:sp macro="" textlink="">
          <xdr:nvSpPr>
            <xdr:cNvPr id="25651" name="Check Box 51" hidden="1">
              <a:extLst>
                <a:ext uri="{63B3BB69-23CF-44E3-9099-C40C66FF867C}">
                  <a14:compatExt spid="_x0000_s25651"/>
                </a:ext>
                <a:ext uri="{FF2B5EF4-FFF2-40B4-BE49-F238E27FC236}">
                  <a16:creationId xmlns:a16="http://schemas.microsoft.com/office/drawing/2014/main" id="{00000000-0008-0000-0700-000033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63</xdr:row>
          <xdr:rowOff>9525</xdr:rowOff>
        </xdr:from>
        <xdr:to>
          <xdr:col>1</xdr:col>
          <xdr:colOff>85725</xdr:colOff>
          <xdr:row>63</xdr:row>
          <xdr:rowOff>238125</xdr:rowOff>
        </xdr:to>
        <xdr:sp macro="" textlink="">
          <xdr:nvSpPr>
            <xdr:cNvPr id="25654" name="Check Box 54" hidden="1">
              <a:extLst>
                <a:ext uri="{63B3BB69-23CF-44E3-9099-C40C66FF867C}">
                  <a14:compatExt spid="_x0000_s25654"/>
                </a:ext>
                <a:ext uri="{FF2B5EF4-FFF2-40B4-BE49-F238E27FC236}">
                  <a16:creationId xmlns:a16="http://schemas.microsoft.com/office/drawing/2014/main" id="{00000000-0008-0000-0700-000036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65</xdr:row>
          <xdr:rowOff>9525</xdr:rowOff>
        </xdr:from>
        <xdr:to>
          <xdr:col>6</xdr:col>
          <xdr:colOff>428625</xdr:colOff>
          <xdr:row>65</xdr:row>
          <xdr:rowOff>238125</xdr:rowOff>
        </xdr:to>
        <xdr:sp macro="" textlink="">
          <xdr:nvSpPr>
            <xdr:cNvPr id="25655" name="Check Box 55" hidden="1">
              <a:extLst>
                <a:ext uri="{63B3BB69-23CF-44E3-9099-C40C66FF867C}">
                  <a14:compatExt spid="_x0000_s25655"/>
                </a:ext>
                <a:ext uri="{FF2B5EF4-FFF2-40B4-BE49-F238E27FC236}">
                  <a16:creationId xmlns:a16="http://schemas.microsoft.com/office/drawing/2014/main" id="{00000000-0008-0000-0700-000037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66</xdr:row>
          <xdr:rowOff>9525</xdr:rowOff>
        </xdr:from>
        <xdr:to>
          <xdr:col>6</xdr:col>
          <xdr:colOff>428625</xdr:colOff>
          <xdr:row>66</xdr:row>
          <xdr:rowOff>238125</xdr:rowOff>
        </xdr:to>
        <xdr:sp macro="" textlink="">
          <xdr:nvSpPr>
            <xdr:cNvPr id="25656" name="Check Box 56" hidden="1">
              <a:extLst>
                <a:ext uri="{63B3BB69-23CF-44E3-9099-C40C66FF867C}">
                  <a14:compatExt spid="_x0000_s25656"/>
                </a:ext>
                <a:ext uri="{FF2B5EF4-FFF2-40B4-BE49-F238E27FC236}">
                  <a16:creationId xmlns:a16="http://schemas.microsoft.com/office/drawing/2014/main" id="{00000000-0008-0000-0700-000038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67</xdr:row>
          <xdr:rowOff>9525</xdr:rowOff>
        </xdr:from>
        <xdr:to>
          <xdr:col>6</xdr:col>
          <xdr:colOff>428625</xdr:colOff>
          <xdr:row>67</xdr:row>
          <xdr:rowOff>238125</xdr:rowOff>
        </xdr:to>
        <xdr:sp macro="" textlink="">
          <xdr:nvSpPr>
            <xdr:cNvPr id="25657" name="Check Box 57" hidden="1">
              <a:extLst>
                <a:ext uri="{63B3BB69-23CF-44E3-9099-C40C66FF867C}">
                  <a14:compatExt spid="_x0000_s25657"/>
                </a:ext>
                <a:ext uri="{FF2B5EF4-FFF2-40B4-BE49-F238E27FC236}">
                  <a16:creationId xmlns:a16="http://schemas.microsoft.com/office/drawing/2014/main" id="{00000000-0008-0000-0700-000039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68</xdr:row>
          <xdr:rowOff>9525</xdr:rowOff>
        </xdr:from>
        <xdr:to>
          <xdr:col>6</xdr:col>
          <xdr:colOff>428625</xdr:colOff>
          <xdr:row>68</xdr:row>
          <xdr:rowOff>238125</xdr:rowOff>
        </xdr:to>
        <xdr:sp macro="" textlink="">
          <xdr:nvSpPr>
            <xdr:cNvPr id="25658" name="Check Box 58" hidden="1">
              <a:extLst>
                <a:ext uri="{63B3BB69-23CF-44E3-9099-C40C66FF867C}">
                  <a14:compatExt spid="_x0000_s25658"/>
                </a:ext>
                <a:ext uri="{FF2B5EF4-FFF2-40B4-BE49-F238E27FC236}">
                  <a16:creationId xmlns:a16="http://schemas.microsoft.com/office/drawing/2014/main" id="{00000000-0008-0000-0700-00003A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69</xdr:row>
          <xdr:rowOff>9525</xdr:rowOff>
        </xdr:from>
        <xdr:to>
          <xdr:col>6</xdr:col>
          <xdr:colOff>428625</xdr:colOff>
          <xdr:row>69</xdr:row>
          <xdr:rowOff>238125</xdr:rowOff>
        </xdr:to>
        <xdr:sp macro="" textlink="">
          <xdr:nvSpPr>
            <xdr:cNvPr id="25659" name="Check Box 59" hidden="1">
              <a:extLst>
                <a:ext uri="{63B3BB69-23CF-44E3-9099-C40C66FF867C}">
                  <a14:compatExt spid="_x0000_s25659"/>
                </a:ext>
                <a:ext uri="{FF2B5EF4-FFF2-40B4-BE49-F238E27FC236}">
                  <a16:creationId xmlns:a16="http://schemas.microsoft.com/office/drawing/2014/main" id="{00000000-0008-0000-0700-00003B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65</xdr:row>
          <xdr:rowOff>9525</xdr:rowOff>
        </xdr:from>
        <xdr:to>
          <xdr:col>1</xdr:col>
          <xdr:colOff>85725</xdr:colOff>
          <xdr:row>65</xdr:row>
          <xdr:rowOff>238125</xdr:rowOff>
        </xdr:to>
        <xdr:sp macro="" textlink="">
          <xdr:nvSpPr>
            <xdr:cNvPr id="25660" name="Check Box 60" hidden="1">
              <a:extLst>
                <a:ext uri="{63B3BB69-23CF-44E3-9099-C40C66FF867C}">
                  <a14:compatExt spid="_x0000_s25660"/>
                </a:ext>
                <a:ext uri="{FF2B5EF4-FFF2-40B4-BE49-F238E27FC236}">
                  <a16:creationId xmlns:a16="http://schemas.microsoft.com/office/drawing/2014/main" id="{00000000-0008-0000-0700-00003C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66</xdr:row>
          <xdr:rowOff>9525</xdr:rowOff>
        </xdr:from>
        <xdr:to>
          <xdr:col>1</xdr:col>
          <xdr:colOff>85725</xdr:colOff>
          <xdr:row>66</xdr:row>
          <xdr:rowOff>238125</xdr:rowOff>
        </xdr:to>
        <xdr:sp macro="" textlink="">
          <xdr:nvSpPr>
            <xdr:cNvPr id="25661" name="Check Box 61" hidden="1">
              <a:extLst>
                <a:ext uri="{63B3BB69-23CF-44E3-9099-C40C66FF867C}">
                  <a14:compatExt spid="_x0000_s25661"/>
                </a:ext>
                <a:ext uri="{FF2B5EF4-FFF2-40B4-BE49-F238E27FC236}">
                  <a16:creationId xmlns:a16="http://schemas.microsoft.com/office/drawing/2014/main" id="{00000000-0008-0000-0700-00003D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38100</xdr:colOff>
          <xdr:row>67</xdr:row>
          <xdr:rowOff>9525</xdr:rowOff>
        </xdr:from>
        <xdr:to>
          <xdr:col>1</xdr:col>
          <xdr:colOff>85725</xdr:colOff>
          <xdr:row>67</xdr:row>
          <xdr:rowOff>238125</xdr:rowOff>
        </xdr:to>
        <xdr:sp macro="" textlink="">
          <xdr:nvSpPr>
            <xdr:cNvPr id="25662" name="Check Box 62" hidden="1">
              <a:extLst>
                <a:ext uri="{63B3BB69-23CF-44E3-9099-C40C66FF867C}">
                  <a14:compatExt spid="_x0000_s25662"/>
                </a:ext>
                <a:ext uri="{FF2B5EF4-FFF2-40B4-BE49-F238E27FC236}">
                  <a16:creationId xmlns:a16="http://schemas.microsoft.com/office/drawing/2014/main" id="{00000000-0008-0000-0700-00003E6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L:\bsf\private\SOPs_Checklists_QM_Documents\SOPS%20Sample%20prep\Checklists%20and%20SOPs\10x\TENX_15.06.26.xlsx" TargetMode="External"/><Relationship Id="rId1" Type="http://schemas.openxmlformats.org/officeDocument/2006/relationships/externalLinkPath" Target="file:///L:\bsf\private\SOPs_Checklists_QM_Documents\SOPS%20Sample%20prep\Checklists%20and%20SOPs\10x\TENX_15.06.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ep_table"/>
      <sheetName val="10X_table"/>
      <sheetName val="FLEX_table"/>
      <sheetName val="3' GEMX"/>
      <sheetName val="3'_checklist"/>
      <sheetName val="3'_hashes_checklist"/>
      <sheetName val="3_AC_checklist"/>
      <sheetName val="3'_OCM_4plex"/>
      <sheetName val="Flex_GEMX"/>
      <sheetName val="Flex_GEMX_v2"/>
      <sheetName val="5'_GEMX"/>
      <sheetName val="5'_OCM_4plex"/>
      <sheetName val="Equal_Pooling_RevB"/>
      <sheetName val="Pooling"/>
    </sheetNames>
    <sheetDataSet>
      <sheetData sheetId="0"/>
      <sheetData sheetId="1"/>
      <sheetData sheetId="2">
        <row r="2">
          <cell r="B2"/>
          <cell r="E2"/>
          <cell r="F2" t="e">
            <v>#DIV/0!</v>
          </cell>
        </row>
        <row r="3">
          <cell r="B3"/>
          <cell r="E3"/>
          <cell r="F3" t="e">
            <v>#DIV/0!</v>
          </cell>
        </row>
        <row r="4">
          <cell r="B4"/>
          <cell r="E4"/>
          <cell r="F4" t="e">
            <v>#DIV/0!</v>
          </cell>
        </row>
        <row r="5">
          <cell r="B5"/>
          <cell r="E5"/>
          <cell r="F5" t="e">
            <v>#DIV/0!</v>
          </cell>
        </row>
        <row r="6">
          <cell r="B6"/>
          <cell r="E6"/>
          <cell r="F6" t="e">
            <v>#DIV/0!</v>
          </cell>
        </row>
        <row r="7">
          <cell r="B7"/>
          <cell r="E7"/>
          <cell r="F7" t="e">
            <v>#DIV/0!</v>
          </cell>
        </row>
        <row r="8">
          <cell r="B8"/>
          <cell r="E8"/>
          <cell r="F8" t="e">
            <v>#DIV/0!</v>
          </cell>
        </row>
        <row r="9">
          <cell r="B9"/>
          <cell r="E9"/>
          <cell r="F9" t="e">
            <v>#DIV/0!</v>
          </cell>
        </row>
        <row r="10">
          <cell r="B10"/>
          <cell r="E10"/>
          <cell r="F10" t="e">
            <v>#DIV/0!</v>
          </cell>
        </row>
        <row r="11">
          <cell r="B11"/>
          <cell r="E11"/>
          <cell r="F11" t="e">
            <v>#DIV/0!</v>
          </cell>
        </row>
        <row r="12">
          <cell r="B12"/>
          <cell r="E12"/>
          <cell r="F12" t="e">
            <v>#DIV/0!</v>
          </cell>
        </row>
        <row r="13">
          <cell r="B13"/>
          <cell r="E13"/>
          <cell r="F13" t="e">
            <v>#DIV/0!</v>
          </cell>
        </row>
        <row r="14">
          <cell r="B14"/>
          <cell r="E14"/>
          <cell r="F14" t="e">
            <v>#DIV/0!</v>
          </cell>
        </row>
        <row r="15">
          <cell r="B15"/>
          <cell r="E15"/>
          <cell r="F15" t="e">
            <v>#DIV/0!</v>
          </cell>
        </row>
        <row r="16">
          <cell r="B16"/>
          <cell r="E16"/>
          <cell r="F16" t="e">
            <v>#DIV/0!</v>
          </cell>
        </row>
        <row r="17">
          <cell r="B17"/>
          <cell r="E17"/>
          <cell r="F17" t="e">
            <v>#DIV/0!</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5AA4A8-86FA-4898-BF05-7FF92D44DA14}" name="FLEX_table" displayName="FLEX_table" ref="A1:J17" totalsRowShown="0" headerRowDxfId="41" headerRowBorderDxfId="40" tableBorderDxfId="39" totalsRowBorderDxfId="38">
  <autoFilter ref="A1:J17" xr:uid="{CF5AA4A8-86FA-4898-BF05-7FF92D44DA14}"/>
  <tableColumns count="10">
    <tableColumn id="1" xr3:uid="{8390F5FD-A92E-41DB-B93F-93E157B2B94B}" name="sample_num" dataDxfId="37"/>
    <tableColumn id="2" xr3:uid="{01D30C3D-1DB0-44FA-B6AB-1847449C96ED}" name="sample_name" dataDxfId="36"/>
    <tableColumn id="3" xr3:uid="{C087E944-272D-4A66-9BEE-F350BE68C573}" name="cellcount_permL" dataDxfId="35"/>
    <tableColumn id="4" xr3:uid="{23BC6B24-5D12-4BB8-A848-9A07BDC7F705}" name="cellcount_peruL" dataDxfId="0">
      <calculatedColumnFormula>C2/10^3</calculatedColumnFormula>
    </tableColumn>
    <tableColumn id="5" xr3:uid="{20962331-0153-4D08-B2E2-FF969DC24F67}" name="targeted_cellinput" dataDxfId="34"/>
    <tableColumn id="6" xr3:uid="{5776BA1D-76DF-4480-AE9D-C94EF93338BB}" name="vol_used_for_hybridization" dataDxfId="33">
      <calculatedColumnFormula>E2/D2</calculatedColumnFormula>
    </tableColumn>
    <tableColumn id="7" xr3:uid="{BDE9CD17-8CC2-4A0F-9166-FFCA2ABDC764}" name="Probe Barcode Well" dataDxfId="32"/>
    <tableColumn id="8" xr3:uid="{21D954C8-C53C-44D7-A573-55E2A3B72627}" name="cellcount_after_hyb" dataDxfId="31"/>
    <tableColumn id="9" xr3:uid="{E9B7C43D-9053-4418-85A5-DD6777A170A0}" name="sample_volume_pooling" dataDxfId="30">
      <calculatedColumnFormula>Equal_Pooling_RevB!H15</calculatedColumnFormula>
    </tableColumn>
    <tableColumn id="10" xr3:uid="{A2B1D4ED-8CDE-4176-821E-33A6CDBCDB95}" name="Chip_problems" dataDxfId="29">
      <calculatedColumnFormula>Equal_Pooling_RevB!I15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38DF8E-F6DC-4AC1-A977-B766D75BF9E2}" name="Table_2" displayName="Table_2" ref="C14:D30" headerRowDxfId="28" dataDxfId="26" totalsRowDxfId="25" headerRowBorderDxfId="27">
  <tableColumns count="2">
    <tableColumn id="1" xr3:uid="{CF4D35B6-53E1-43AA-8958-D9DE20121177}" name="Post-Hybridization Cell Concentration_x000a__x000a_ (Cells in Post-Hyb _x000a_Wash Buffer)" dataDxfId="24">
      <calculatedColumnFormula>FLEX_table!$H2</calculatedColumnFormula>
    </tableColumn>
    <tableColumn id="2" xr3:uid="{492F30E2-707A-42CF-9371-3AF8938E14C7}" name="Post-Hybridization Sample Volume_x000a__x000a_" dataDxfId="23"/>
  </tableColumns>
  <tableStyleInfo name="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E43001-6114-438A-97C7-0CEF056E1584}" name="Table_3" displayName="Table_3" ref="B14:B30" headerRowDxfId="22" dataDxfId="20" totalsRowDxfId="19" headerRowBorderDxfId="21">
  <tableColumns count="1">
    <tableColumn id="1" xr3:uid="{4810EFAF-C4DF-4418-AEA9-81BDCE2494AC}" name="Probe Barcode" dataDxfId="18"/>
  </tableColumns>
  <tableStyleInfo name="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642DC0-F44F-4526-B3A8-5EDA855BD6B7}" name="Table_5" displayName="Table_5" ref="E14:J30" headerRowDxfId="17" dataDxfId="16" totalsRowDxfId="15">
  <tableColumns count="6">
    <tableColumn id="1" xr3:uid="{8B85CEA0-203A-4FF7-8230-838726138EF8}" name="Total Cells in Hybridization_x000a__x000a_(Post-Hyb Cell _x000a_Conc. *  Volume)" dataDxfId="14">
      <calculatedColumnFormula xml:space="preserve"> IF(ISBLANK(Table_2[[#This Row],[Post-Hybridization Sample Volume
]]),"",        IF((C15*D15)&gt;0,C15*D15,))</calculatedColumnFormula>
    </tableColumn>
    <tableColumn id="2" xr3:uid="{FF43283E-02B1-4D34-B5B0-867B613F0B5C}" name="% of Final Pool _x000a__x000a_  " dataDxfId="13">
      <calculatedColumnFormula>IF(ISBLANK(Table_2[[#This Row],[Post-Hybridization Sample Volume
]]),"",1/(COUNT($E$15:$E$30)))</calculatedColumnFormula>
    </tableColumn>
    <tableColumn id="3" xr3:uid="{56F67A59-9D80-4B10-9797-EF7A217BF30B}" name="Cells per Sample _x000a_Added to the Pool_x000a__x000a_(Cell Count of Sample with Lowest Concentration)" dataDxfId="12">
      <calculatedColumnFormula>IF(ISBLANK(Table_2[[#This Row],[Post-Hybridization Sample Volume
]]),"",MIN($E$15:$E$30))</calculatedColumnFormula>
    </tableColumn>
    <tableColumn id="4" xr3:uid="{7A7E6221-3B91-479C-B011-79FC9964CDAC}" name="Sample Volume _x000a_to be Added _x000a__x000a_ (Cells per Sample Added to the Pool/ Post-Hybridization Cell Conc.)" dataDxfId="11">
      <calculatedColumnFormula>IF(ISBLANK(Table_2[[#This Row],[Post-Hybridization Sample Volume
]]),"",G15/C15)</calculatedColumnFormula>
    </tableColumn>
    <tableColumn id="5" xr3:uid="{C209943F-CC4E-48A1-BD48-AE071C738D1A}" name="Expected Cells Recovered per Probe Barcode _x000a__x000a_ (Assumes Maximum Supported Number of Cells Targeted per GEM Reaction)" dataDxfId="10">
      <calculatedColumnFormula>IF(ISBLANK(Table_2[[#This Row],[Post-Hybridization Sample Volume
]]),"",(IF($B$34&gt;4,F15/MAX($F$15:$F$30)*8000,F15/MAX($F$15:$F$30)*10000)))</calculatedColumnFormula>
    </tableColumn>
    <tableColumn id="6" xr3:uid="{9A1530C3-ACFF-48D8-82BD-82787B581EEE}" name="Max. Expected Cells recovered per barcode Given Limiting cell number" dataDxfId="9">
      <calculatedColumnFormula>IF(ISBLANK(Table_2[[#This Row],[Post-Hybridization Sample Volume
]]),"", IF(G15&gt;I15*1.65/0.8,I15, ($C$34/SUM($I$15:$I$30)*I15)*0.8/1.65))</calculatedColumnFormula>
    </tableColumn>
  </tableColumns>
  <tableStyleInfo name="1-style 5"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3" Type="http://schemas.openxmlformats.org/officeDocument/2006/relationships/ctrlProp" Target="../ctrlProps/ctrlProp47.xml"/><Relationship Id="rId18" Type="http://schemas.openxmlformats.org/officeDocument/2006/relationships/ctrlProp" Target="../ctrlProps/ctrlProp52.xml"/><Relationship Id="rId26" Type="http://schemas.openxmlformats.org/officeDocument/2006/relationships/ctrlProp" Target="../ctrlProps/ctrlProp60.xml"/><Relationship Id="rId39" Type="http://schemas.openxmlformats.org/officeDocument/2006/relationships/ctrlProp" Target="../ctrlProps/ctrlProp73.xml"/><Relationship Id="rId21" Type="http://schemas.openxmlformats.org/officeDocument/2006/relationships/ctrlProp" Target="../ctrlProps/ctrlProp55.xml"/><Relationship Id="rId34" Type="http://schemas.openxmlformats.org/officeDocument/2006/relationships/ctrlProp" Target="../ctrlProps/ctrlProp68.xml"/><Relationship Id="rId42" Type="http://schemas.openxmlformats.org/officeDocument/2006/relationships/ctrlProp" Target="../ctrlProps/ctrlProp76.xml"/><Relationship Id="rId7" Type="http://schemas.openxmlformats.org/officeDocument/2006/relationships/ctrlProp" Target="../ctrlProps/ctrlProp41.xml"/><Relationship Id="rId2" Type="http://schemas.openxmlformats.org/officeDocument/2006/relationships/drawing" Target="../drawings/drawing3.xml"/><Relationship Id="rId16" Type="http://schemas.openxmlformats.org/officeDocument/2006/relationships/ctrlProp" Target="../ctrlProps/ctrlProp50.xml"/><Relationship Id="rId20" Type="http://schemas.openxmlformats.org/officeDocument/2006/relationships/ctrlProp" Target="../ctrlProps/ctrlProp54.xml"/><Relationship Id="rId29" Type="http://schemas.openxmlformats.org/officeDocument/2006/relationships/ctrlProp" Target="../ctrlProps/ctrlProp63.xml"/><Relationship Id="rId41" Type="http://schemas.openxmlformats.org/officeDocument/2006/relationships/ctrlProp" Target="../ctrlProps/ctrlProp75.xml"/><Relationship Id="rId1" Type="http://schemas.openxmlformats.org/officeDocument/2006/relationships/printerSettings" Target="../printerSettings/printerSettings2.bin"/><Relationship Id="rId6" Type="http://schemas.openxmlformats.org/officeDocument/2006/relationships/ctrlProp" Target="../ctrlProps/ctrlProp40.xml"/><Relationship Id="rId11" Type="http://schemas.openxmlformats.org/officeDocument/2006/relationships/ctrlProp" Target="../ctrlProps/ctrlProp45.xml"/><Relationship Id="rId24" Type="http://schemas.openxmlformats.org/officeDocument/2006/relationships/ctrlProp" Target="../ctrlProps/ctrlProp58.xml"/><Relationship Id="rId32" Type="http://schemas.openxmlformats.org/officeDocument/2006/relationships/ctrlProp" Target="../ctrlProps/ctrlProp66.xml"/><Relationship Id="rId37" Type="http://schemas.openxmlformats.org/officeDocument/2006/relationships/ctrlProp" Target="../ctrlProps/ctrlProp71.xml"/><Relationship Id="rId40" Type="http://schemas.openxmlformats.org/officeDocument/2006/relationships/ctrlProp" Target="../ctrlProps/ctrlProp74.xml"/><Relationship Id="rId5" Type="http://schemas.openxmlformats.org/officeDocument/2006/relationships/ctrlProp" Target="../ctrlProps/ctrlProp39.xml"/><Relationship Id="rId15" Type="http://schemas.openxmlformats.org/officeDocument/2006/relationships/ctrlProp" Target="../ctrlProps/ctrlProp49.xml"/><Relationship Id="rId23" Type="http://schemas.openxmlformats.org/officeDocument/2006/relationships/ctrlProp" Target="../ctrlProps/ctrlProp57.xml"/><Relationship Id="rId28" Type="http://schemas.openxmlformats.org/officeDocument/2006/relationships/ctrlProp" Target="../ctrlProps/ctrlProp62.xml"/><Relationship Id="rId36" Type="http://schemas.openxmlformats.org/officeDocument/2006/relationships/ctrlProp" Target="../ctrlProps/ctrlProp70.xml"/><Relationship Id="rId10" Type="http://schemas.openxmlformats.org/officeDocument/2006/relationships/ctrlProp" Target="../ctrlProps/ctrlProp44.xml"/><Relationship Id="rId19" Type="http://schemas.openxmlformats.org/officeDocument/2006/relationships/ctrlProp" Target="../ctrlProps/ctrlProp53.xml"/><Relationship Id="rId31" Type="http://schemas.openxmlformats.org/officeDocument/2006/relationships/ctrlProp" Target="../ctrlProps/ctrlProp65.xml"/><Relationship Id="rId4" Type="http://schemas.openxmlformats.org/officeDocument/2006/relationships/ctrlProp" Target="../ctrlProps/ctrlProp38.xml"/><Relationship Id="rId9" Type="http://schemas.openxmlformats.org/officeDocument/2006/relationships/ctrlProp" Target="../ctrlProps/ctrlProp43.xml"/><Relationship Id="rId14" Type="http://schemas.openxmlformats.org/officeDocument/2006/relationships/ctrlProp" Target="../ctrlProps/ctrlProp48.xml"/><Relationship Id="rId22" Type="http://schemas.openxmlformats.org/officeDocument/2006/relationships/ctrlProp" Target="../ctrlProps/ctrlProp56.xml"/><Relationship Id="rId27" Type="http://schemas.openxmlformats.org/officeDocument/2006/relationships/ctrlProp" Target="../ctrlProps/ctrlProp61.xml"/><Relationship Id="rId30" Type="http://schemas.openxmlformats.org/officeDocument/2006/relationships/ctrlProp" Target="../ctrlProps/ctrlProp64.xml"/><Relationship Id="rId35" Type="http://schemas.openxmlformats.org/officeDocument/2006/relationships/ctrlProp" Target="../ctrlProps/ctrlProp69.xml"/><Relationship Id="rId43" Type="http://schemas.openxmlformats.org/officeDocument/2006/relationships/ctrlProp" Target="../ctrlProps/ctrlProp77.xml"/><Relationship Id="rId8" Type="http://schemas.openxmlformats.org/officeDocument/2006/relationships/ctrlProp" Target="../ctrlProps/ctrlProp42.xml"/><Relationship Id="rId3" Type="http://schemas.openxmlformats.org/officeDocument/2006/relationships/vmlDrawing" Target="../drawings/vmlDrawing2.vml"/><Relationship Id="rId12" Type="http://schemas.openxmlformats.org/officeDocument/2006/relationships/ctrlProp" Target="../ctrlProps/ctrlProp46.xml"/><Relationship Id="rId17" Type="http://schemas.openxmlformats.org/officeDocument/2006/relationships/ctrlProp" Target="../ctrlProps/ctrlProp51.xml"/><Relationship Id="rId25" Type="http://schemas.openxmlformats.org/officeDocument/2006/relationships/ctrlProp" Target="../ctrlProps/ctrlProp59.xml"/><Relationship Id="rId33" Type="http://schemas.openxmlformats.org/officeDocument/2006/relationships/ctrlProp" Target="../ctrlProps/ctrlProp67.xml"/><Relationship Id="rId38" Type="http://schemas.openxmlformats.org/officeDocument/2006/relationships/ctrlProp" Target="../ctrlProps/ctrlProp72.xml"/></Relationships>
</file>

<file path=xl/worksheets/_rels/sheet7.xml.rels><?xml version="1.0" encoding="UTF-8" standalone="yes"?>
<Relationships xmlns="http://schemas.openxmlformats.org/package/2006/relationships"><Relationship Id="rId26" Type="http://schemas.openxmlformats.org/officeDocument/2006/relationships/ctrlProp" Target="../ctrlProps/ctrlProp100.xml"/><Relationship Id="rId21" Type="http://schemas.openxmlformats.org/officeDocument/2006/relationships/ctrlProp" Target="../ctrlProps/ctrlProp95.xml"/><Relationship Id="rId42" Type="http://schemas.openxmlformats.org/officeDocument/2006/relationships/ctrlProp" Target="../ctrlProps/ctrlProp116.xml"/><Relationship Id="rId47" Type="http://schemas.openxmlformats.org/officeDocument/2006/relationships/ctrlProp" Target="../ctrlProps/ctrlProp121.xml"/><Relationship Id="rId63" Type="http://schemas.openxmlformats.org/officeDocument/2006/relationships/ctrlProp" Target="../ctrlProps/ctrlProp137.xml"/><Relationship Id="rId68" Type="http://schemas.openxmlformats.org/officeDocument/2006/relationships/ctrlProp" Target="../ctrlProps/ctrlProp142.xml"/><Relationship Id="rId16" Type="http://schemas.openxmlformats.org/officeDocument/2006/relationships/ctrlProp" Target="../ctrlProps/ctrlProp90.xml"/><Relationship Id="rId11" Type="http://schemas.openxmlformats.org/officeDocument/2006/relationships/ctrlProp" Target="../ctrlProps/ctrlProp85.xml"/><Relationship Id="rId24" Type="http://schemas.openxmlformats.org/officeDocument/2006/relationships/ctrlProp" Target="../ctrlProps/ctrlProp98.xml"/><Relationship Id="rId32" Type="http://schemas.openxmlformats.org/officeDocument/2006/relationships/ctrlProp" Target="../ctrlProps/ctrlProp106.xml"/><Relationship Id="rId37" Type="http://schemas.openxmlformats.org/officeDocument/2006/relationships/ctrlProp" Target="../ctrlProps/ctrlProp111.xml"/><Relationship Id="rId40" Type="http://schemas.openxmlformats.org/officeDocument/2006/relationships/ctrlProp" Target="../ctrlProps/ctrlProp114.xml"/><Relationship Id="rId45" Type="http://schemas.openxmlformats.org/officeDocument/2006/relationships/ctrlProp" Target="../ctrlProps/ctrlProp119.xml"/><Relationship Id="rId53" Type="http://schemas.openxmlformats.org/officeDocument/2006/relationships/ctrlProp" Target="../ctrlProps/ctrlProp127.xml"/><Relationship Id="rId58" Type="http://schemas.openxmlformats.org/officeDocument/2006/relationships/ctrlProp" Target="../ctrlProps/ctrlProp132.xml"/><Relationship Id="rId66" Type="http://schemas.openxmlformats.org/officeDocument/2006/relationships/ctrlProp" Target="../ctrlProps/ctrlProp140.xml"/><Relationship Id="rId74" Type="http://schemas.openxmlformats.org/officeDocument/2006/relationships/ctrlProp" Target="../ctrlProps/ctrlProp148.xml"/><Relationship Id="rId79" Type="http://schemas.openxmlformats.org/officeDocument/2006/relationships/ctrlProp" Target="../ctrlProps/ctrlProp153.xml"/><Relationship Id="rId5" Type="http://schemas.openxmlformats.org/officeDocument/2006/relationships/ctrlProp" Target="../ctrlProps/ctrlProp79.xml"/><Relationship Id="rId61" Type="http://schemas.openxmlformats.org/officeDocument/2006/relationships/ctrlProp" Target="../ctrlProps/ctrlProp135.xml"/><Relationship Id="rId19" Type="http://schemas.openxmlformats.org/officeDocument/2006/relationships/ctrlProp" Target="../ctrlProps/ctrlProp93.xml"/><Relationship Id="rId14" Type="http://schemas.openxmlformats.org/officeDocument/2006/relationships/ctrlProp" Target="../ctrlProps/ctrlProp88.xml"/><Relationship Id="rId22" Type="http://schemas.openxmlformats.org/officeDocument/2006/relationships/ctrlProp" Target="../ctrlProps/ctrlProp96.xml"/><Relationship Id="rId27" Type="http://schemas.openxmlformats.org/officeDocument/2006/relationships/ctrlProp" Target="../ctrlProps/ctrlProp101.xml"/><Relationship Id="rId30" Type="http://schemas.openxmlformats.org/officeDocument/2006/relationships/ctrlProp" Target="../ctrlProps/ctrlProp104.xml"/><Relationship Id="rId35" Type="http://schemas.openxmlformats.org/officeDocument/2006/relationships/ctrlProp" Target="../ctrlProps/ctrlProp109.xml"/><Relationship Id="rId43" Type="http://schemas.openxmlformats.org/officeDocument/2006/relationships/ctrlProp" Target="../ctrlProps/ctrlProp117.xml"/><Relationship Id="rId48" Type="http://schemas.openxmlformats.org/officeDocument/2006/relationships/ctrlProp" Target="../ctrlProps/ctrlProp122.xml"/><Relationship Id="rId56" Type="http://schemas.openxmlformats.org/officeDocument/2006/relationships/ctrlProp" Target="../ctrlProps/ctrlProp130.xml"/><Relationship Id="rId64" Type="http://schemas.openxmlformats.org/officeDocument/2006/relationships/ctrlProp" Target="../ctrlProps/ctrlProp138.xml"/><Relationship Id="rId69" Type="http://schemas.openxmlformats.org/officeDocument/2006/relationships/ctrlProp" Target="../ctrlProps/ctrlProp143.xml"/><Relationship Id="rId77" Type="http://schemas.openxmlformats.org/officeDocument/2006/relationships/ctrlProp" Target="../ctrlProps/ctrlProp151.xml"/><Relationship Id="rId8" Type="http://schemas.openxmlformats.org/officeDocument/2006/relationships/ctrlProp" Target="../ctrlProps/ctrlProp82.xml"/><Relationship Id="rId51" Type="http://schemas.openxmlformats.org/officeDocument/2006/relationships/ctrlProp" Target="../ctrlProps/ctrlProp125.xml"/><Relationship Id="rId72" Type="http://schemas.openxmlformats.org/officeDocument/2006/relationships/ctrlProp" Target="../ctrlProps/ctrlProp146.xml"/><Relationship Id="rId3" Type="http://schemas.openxmlformats.org/officeDocument/2006/relationships/vmlDrawing" Target="../drawings/vmlDrawing3.vml"/><Relationship Id="rId12" Type="http://schemas.openxmlformats.org/officeDocument/2006/relationships/ctrlProp" Target="../ctrlProps/ctrlProp86.xml"/><Relationship Id="rId17" Type="http://schemas.openxmlformats.org/officeDocument/2006/relationships/ctrlProp" Target="../ctrlProps/ctrlProp91.xml"/><Relationship Id="rId25" Type="http://schemas.openxmlformats.org/officeDocument/2006/relationships/ctrlProp" Target="../ctrlProps/ctrlProp99.xml"/><Relationship Id="rId33" Type="http://schemas.openxmlformats.org/officeDocument/2006/relationships/ctrlProp" Target="../ctrlProps/ctrlProp107.xml"/><Relationship Id="rId38" Type="http://schemas.openxmlformats.org/officeDocument/2006/relationships/ctrlProp" Target="../ctrlProps/ctrlProp112.xml"/><Relationship Id="rId46" Type="http://schemas.openxmlformats.org/officeDocument/2006/relationships/ctrlProp" Target="../ctrlProps/ctrlProp120.xml"/><Relationship Id="rId59" Type="http://schemas.openxmlformats.org/officeDocument/2006/relationships/ctrlProp" Target="../ctrlProps/ctrlProp133.xml"/><Relationship Id="rId67" Type="http://schemas.openxmlformats.org/officeDocument/2006/relationships/ctrlProp" Target="../ctrlProps/ctrlProp141.xml"/><Relationship Id="rId20" Type="http://schemas.openxmlformats.org/officeDocument/2006/relationships/ctrlProp" Target="../ctrlProps/ctrlProp94.xml"/><Relationship Id="rId41" Type="http://schemas.openxmlformats.org/officeDocument/2006/relationships/ctrlProp" Target="../ctrlProps/ctrlProp115.xml"/><Relationship Id="rId54" Type="http://schemas.openxmlformats.org/officeDocument/2006/relationships/ctrlProp" Target="../ctrlProps/ctrlProp128.xml"/><Relationship Id="rId62" Type="http://schemas.openxmlformats.org/officeDocument/2006/relationships/ctrlProp" Target="../ctrlProps/ctrlProp136.xml"/><Relationship Id="rId70" Type="http://schemas.openxmlformats.org/officeDocument/2006/relationships/ctrlProp" Target="../ctrlProps/ctrlProp144.xml"/><Relationship Id="rId75" Type="http://schemas.openxmlformats.org/officeDocument/2006/relationships/ctrlProp" Target="../ctrlProps/ctrlProp149.xml"/><Relationship Id="rId1" Type="http://schemas.openxmlformats.org/officeDocument/2006/relationships/printerSettings" Target="../printerSettings/printerSettings3.bin"/><Relationship Id="rId6" Type="http://schemas.openxmlformats.org/officeDocument/2006/relationships/ctrlProp" Target="../ctrlProps/ctrlProp80.xml"/><Relationship Id="rId15" Type="http://schemas.openxmlformats.org/officeDocument/2006/relationships/ctrlProp" Target="../ctrlProps/ctrlProp89.xml"/><Relationship Id="rId23" Type="http://schemas.openxmlformats.org/officeDocument/2006/relationships/ctrlProp" Target="../ctrlProps/ctrlProp97.xml"/><Relationship Id="rId28" Type="http://schemas.openxmlformats.org/officeDocument/2006/relationships/ctrlProp" Target="../ctrlProps/ctrlProp102.xml"/><Relationship Id="rId36" Type="http://schemas.openxmlformats.org/officeDocument/2006/relationships/ctrlProp" Target="../ctrlProps/ctrlProp110.xml"/><Relationship Id="rId49" Type="http://schemas.openxmlformats.org/officeDocument/2006/relationships/ctrlProp" Target="../ctrlProps/ctrlProp123.xml"/><Relationship Id="rId57" Type="http://schemas.openxmlformats.org/officeDocument/2006/relationships/ctrlProp" Target="../ctrlProps/ctrlProp131.xml"/><Relationship Id="rId10" Type="http://schemas.openxmlformats.org/officeDocument/2006/relationships/ctrlProp" Target="../ctrlProps/ctrlProp84.xml"/><Relationship Id="rId31" Type="http://schemas.openxmlformats.org/officeDocument/2006/relationships/ctrlProp" Target="../ctrlProps/ctrlProp105.xml"/><Relationship Id="rId44" Type="http://schemas.openxmlformats.org/officeDocument/2006/relationships/ctrlProp" Target="../ctrlProps/ctrlProp118.xml"/><Relationship Id="rId52" Type="http://schemas.openxmlformats.org/officeDocument/2006/relationships/ctrlProp" Target="../ctrlProps/ctrlProp126.xml"/><Relationship Id="rId60" Type="http://schemas.openxmlformats.org/officeDocument/2006/relationships/ctrlProp" Target="../ctrlProps/ctrlProp134.xml"/><Relationship Id="rId65" Type="http://schemas.openxmlformats.org/officeDocument/2006/relationships/ctrlProp" Target="../ctrlProps/ctrlProp139.xml"/><Relationship Id="rId73" Type="http://schemas.openxmlformats.org/officeDocument/2006/relationships/ctrlProp" Target="../ctrlProps/ctrlProp147.xml"/><Relationship Id="rId78" Type="http://schemas.openxmlformats.org/officeDocument/2006/relationships/ctrlProp" Target="../ctrlProps/ctrlProp152.xml"/><Relationship Id="rId4" Type="http://schemas.openxmlformats.org/officeDocument/2006/relationships/ctrlProp" Target="../ctrlProps/ctrlProp78.xml"/><Relationship Id="rId9" Type="http://schemas.openxmlformats.org/officeDocument/2006/relationships/ctrlProp" Target="../ctrlProps/ctrlProp83.xml"/><Relationship Id="rId13" Type="http://schemas.openxmlformats.org/officeDocument/2006/relationships/ctrlProp" Target="../ctrlProps/ctrlProp87.xml"/><Relationship Id="rId18" Type="http://schemas.openxmlformats.org/officeDocument/2006/relationships/ctrlProp" Target="../ctrlProps/ctrlProp92.xml"/><Relationship Id="rId39" Type="http://schemas.openxmlformats.org/officeDocument/2006/relationships/ctrlProp" Target="../ctrlProps/ctrlProp113.xml"/><Relationship Id="rId34" Type="http://schemas.openxmlformats.org/officeDocument/2006/relationships/ctrlProp" Target="../ctrlProps/ctrlProp108.xml"/><Relationship Id="rId50" Type="http://schemas.openxmlformats.org/officeDocument/2006/relationships/ctrlProp" Target="../ctrlProps/ctrlProp124.xml"/><Relationship Id="rId55" Type="http://schemas.openxmlformats.org/officeDocument/2006/relationships/ctrlProp" Target="../ctrlProps/ctrlProp129.xml"/><Relationship Id="rId76" Type="http://schemas.openxmlformats.org/officeDocument/2006/relationships/ctrlProp" Target="../ctrlProps/ctrlProp150.xml"/><Relationship Id="rId7" Type="http://schemas.openxmlformats.org/officeDocument/2006/relationships/ctrlProp" Target="../ctrlProps/ctrlProp81.xml"/><Relationship Id="rId71" Type="http://schemas.openxmlformats.org/officeDocument/2006/relationships/ctrlProp" Target="../ctrlProps/ctrlProp145.xml"/><Relationship Id="rId2" Type="http://schemas.openxmlformats.org/officeDocument/2006/relationships/drawing" Target="../drawings/drawing4.xml"/><Relationship Id="rId29" Type="http://schemas.openxmlformats.org/officeDocument/2006/relationships/ctrlProp" Target="../ctrlProps/ctrlProp103.xml"/></Relationships>
</file>

<file path=xl/worksheets/_rels/sheet8.xml.rels><?xml version="1.0" encoding="UTF-8" standalone="yes"?>
<Relationships xmlns="http://schemas.openxmlformats.org/package/2006/relationships"><Relationship Id="rId13" Type="http://schemas.openxmlformats.org/officeDocument/2006/relationships/ctrlProp" Target="../ctrlProps/ctrlProp164.xml"/><Relationship Id="rId18" Type="http://schemas.openxmlformats.org/officeDocument/2006/relationships/ctrlProp" Target="../ctrlProps/ctrlProp169.xml"/><Relationship Id="rId26" Type="http://schemas.openxmlformats.org/officeDocument/2006/relationships/ctrlProp" Target="../ctrlProps/ctrlProp177.xml"/><Relationship Id="rId39" Type="http://schemas.openxmlformats.org/officeDocument/2006/relationships/ctrlProp" Target="../ctrlProps/ctrlProp190.xml"/><Relationship Id="rId21" Type="http://schemas.openxmlformats.org/officeDocument/2006/relationships/ctrlProp" Target="../ctrlProps/ctrlProp172.xml"/><Relationship Id="rId34" Type="http://schemas.openxmlformats.org/officeDocument/2006/relationships/ctrlProp" Target="../ctrlProps/ctrlProp185.xml"/><Relationship Id="rId42" Type="http://schemas.openxmlformats.org/officeDocument/2006/relationships/ctrlProp" Target="../ctrlProps/ctrlProp193.xml"/><Relationship Id="rId7" Type="http://schemas.openxmlformats.org/officeDocument/2006/relationships/ctrlProp" Target="../ctrlProps/ctrlProp158.xml"/><Relationship Id="rId2" Type="http://schemas.openxmlformats.org/officeDocument/2006/relationships/vmlDrawing" Target="../drawings/vmlDrawing4.vml"/><Relationship Id="rId16" Type="http://schemas.openxmlformats.org/officeDocument/2006/relationships/ctrlProp" Target="../ctrlProps/ctrlProp167.xml"/><Relationship Id="rId29" Type="http://schemas.openxmlformats.org/officeDocument/2006/relationships/ctrlProp" Target="../ctrlProps/ctrlProp180.xml"/><Relationship Id="rId1" Type="http://schemas.openxmlformats.org/officeDocument/2006/relationships/drawing" Target="../drawings/drawing5.xml"/><Relationship Id="rId6" Type="http://schemas.openxmlformats.org/officeDocument/2006/relationships/ctrlProp" Target="../ctrlProps/ctrlProp157.xml"/><Relationship Id="rId11" Type="http://schemas.openxmlformats.org/officeDocument/2006/relationships/ctrlProp" Target="../ctrlProps/ctrlProp162.xml"/><Relationship Id="rId24" Type="http://schemas.openxmlformats.org/officeDocument/2006/relationships/ctrlProp" Target="../ctrlProps/ctrlProp175.xml"/><Relationship Id="rId32" Type="http://schemas.openxmlformats.org/officeDocument/2006/relationships/ctrlProp" Target="../ctrlProps/ctrlProp183.xml"/><Relationship Id="rId37" Type="http://schemas.openxmlformats.org/officeDocument/2006/relationships/ctrlProp" Target="../ctrlProps/ctrlProp188.xml"/><Relationship Id="rId40" Type="http://schemas.openxmlformats.org/officeDocument/2006/relationships/ctrlProp" Target="../ctrlProps/ctrlProp191.xml"/><Relationship Id="rId45" Type="http://schemas.openxmlformats.org/officeDocument/2006/relationships/ctrlProp" Target="../ctrlProps/ctrlProp196.xml"/><Relationship Id="rId5" Type="http://schemas.openxmlformats.org/officeDocument/2006/relationships/ctrlProp" Target="../ctrlProps/ctrlProp156.xml"/><Relationship Id="rId15" Type="http://schemas.openxmlformats.org/officeDocument/2006/relationships/ctrlProp" Target="../ctrlProps/ctrlProp166.xml"/><Relationship Id="rId23" Type="http://schemas.openxmlformats.org/officeDocument/2006/relationships/ctrlProp" Target="../ctrlProps/ctrlProp174.xml"/><Relationship Id="rId28" Type="http://schemas.openxmlformats.org/officeDocument/2006/relationships/ctrlProp" Target="../ctrlProps/ctrlProp179.xml"/><Relationship Id="rId36" Type="http://schemas.openxmlformats.org/officeDocument/2006/relationships/ctrlProp" Target="../ctrlProps/ctrlProp187.xml"/><Relationship Id="rId10" Type="http://schemas.openxmlformats.org/officeDocument/2006/relationships/ctrlProp" Target="../ctrlProps/ctrlProp161.xml"/><Relationship Id="rId19" Type="http://schemas.openxmlformats.org/officeDocument/2006/relationships/ctrlProp" Target="../ctrlProps/ctrlProp170.xml"/><Relationship Id="rId31" Type="http://schemas.openxmlformats.org/officeDocument/2006/relationships/ctrlProp" Target="../ctrlProps/ctrlProp182.xml"/><Relationship Id="rId44" Type="http://schemas.openxmlformats.org/officeDocument/2006/relationships/ctrlProp" Target="../ctrlProps/ctrlProp195.xml"/><Relationship Id="rId4" Type="http://schemas.openxmlformats.org/officeDocument/2006/relationships/ctrlProp" Target="../ctrlProps/ctrlProp155.xml"/><Relationship Id="rId9" Type="http://schemas.openxmlformats.org/officeDocument/2006/relationships/ctrlProp" Target="../ctrlProps/ctrlProp160.xml"/><Relationship Id="rId14" Type="http://schemas.openxmlformats.org/officeDocument/2006/relationships/ctrlProp" Target="../ctrlProps/ctrlProp165.xml"/><Relationship Id="rId22" Type="http://schemas.openxmlformats.org/officeDocument/2006/relationships/ctrlProp" Target="../ctrlProps/ctrlProp173.xml"/><Relationship Id="rId27" Type="http://schemas.openxmlformats.org/officeDocument/2006/relationships/ctrlProp" Target="../ctrlProps/ctrlProp178.xml"/><Relationship Id="rId30" Type="http://schemas.openxmlformats.org/officeDocument/2006/relationships/ctrlProp" Target="../ctrlProps/ctrlProp181.xml"/><Relationship Id="rId35" Type="http://schemas.openxmlformats.org/officeDocument/2006/relationships/ctrlProp" Target="../ctrlProps/ctrlProp186.xml"/><Relationship Id="rId43" Type="http://schemas.openxmlformats.org/officeDocument/2006/relationships/ctrlProp" Target="../ctrlProps/ctrlProp194.xml"/><Relationship Id="rId8" Type="http://schemas.openxmlformats.org/officeDocument/2006/relationships/ctrlProp" Target="../ctrlProps/ctrlProp159.xml"/><Relationship Id="rId3" Type="http://schemas.openxmlformats.org/officeDocument/2006/relationships/ctrlProp" Target="../ctrlProps/ctrlProp154.xml"/><Relationship Id="rId12" Type="http://schemas.openxmlformats.org/officeDocument/2006/relationships/ctrlProp" Target="../ctrlProps/ctrlProp163.xml"/><Relationship Id="rId17" Type="http://schemas.openxmlformats.org/officeDocument/2006/relationships/ctrlProp" Target="../ctrlProps/ctrlProp168.xml"/><Relationship Id="rId25" Type="http://schemas.openxmlformats.org/officeDocument/2006/relationships/ctrlProp" Target="../ctrlProps/ctrlProp176.xml"/><Relationship Id="rId33" Type="http://schemas.openxmlformats.org/officeDocument/2006/relationships/ctrlProp" Target="../ctrlProps/ctrlProp184.xml"/><Relationship Id="rId38" Type="http://schemas.openxmlformats.org/officeDocument/2006/relationships/ctrlProp" Target="../ctrlProps/ctrlProp189.xml"/><Relationship Id="rId46" Type="http://schemas.openxmlformats.org/officeDocument/2006/relationships/ctrlProp" Target="../ctrlProps/ctrlProp197.xml"/><Relationship Id="rId20" Type="http://schemas.openxmlformats.org/officeDocument/2006/relationships/ctrlProp" Target="../ctrlProps/ctrlProp171.xml"/><Relationship Id="rId41" Type="http://schemas.openxmlformats.org/officeDocument/2006/relationships/ctrlProp" Target="../ctrlProps/ctrlProp192.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653F-A276-48AF-8290-3F0D3B3A428B}">
  <sheetPr codeName="Sheet1"/>
  <dimension ref="A1:X98"/>
  <sheetViews>
    <sheetView workbookViewId="0">
      <selection activeCell="H2" sqref="H2"/>
    </sheetView>
  </sheetViews>
  <sheetFormatPr defaultColWidth="9.140625" defaultRowHeight="15"/>
  <cols>
    <col min="1" max="1" width="12.42578125" style="99" bestFit="1" customWidth="1"/>
    <col min="2" max="3" width="12.42578125" style="99" customWidth="1"/>
    <col min="4" max="4" width="8.85546875" style="99" customWidth="1"/>
    <col min="5" max="7" width="13.42578125" style="99" customWidth="1"/>
    <col min="8" max="12" width="12.42578125" style="99" customWidth="1"/>
    <col min="13" max="13" width="10" style="99" customWidth="1"/>
    <col min="14" max="16" width="12.42578125" style="99" customWidth="1"/>
    <col min="17" max="17" width="12.42578125" style="99" bestFit="1" customWidth="1"/>
    <col min="18" max="18" width="16.140625" style="99" bestFit="1" customWidth="1"/>
    <col min="19" max="19" width="9.42578125" style="99" bestFit="1" customWidth="1"/>
    <col min="20" max="20" width="16.140625" style="99" bestFit="1" customWidth="1"/>
    <col min="21" max="21" width="14.42578125" style="99" customWidth="1"/>
    <col min="22" max="24" width="7.85546875" style="99" customWidth="1"/>
    <col min="25" max="16384" width="9.140625" style="99"/>
  </cols>
  <sheetData>
    <row r="1" spans="1:24" ht="30">
      <c r="A1" s="2" t="s">
        <v>0</v>
      </c>
      <c r="B1" s="2" t="s">
        <v>1</v>
      </c>
      <c r="C1" s="2" t="s">
        <v>2</v>
      </c>
      <c r="D1" s="2" t="s">
        <v>3</v>
      </c>
      <c r="E1" s="2" t="s">
        <v>4</v>
      </c>
      <c r="F1" s="2" t="s">
        <v>183</v>
      </c>
      <c r="G1" s="2" t="s">
        <v>184</v>
      </c>
      <c r="H1" s="2" t="s">
        <v>5</v>
      </c>
      <c r="I1" s="2" t="s">
        <v>185</v>
      </c>
      <c r="J1" s="2" t="s">
        <v>197</v>
      </c>
      <c r="K1" s="2" t="s">
        <v>199</v>
      </c>
      <c r="L1" s="2" t="s">
        <v>198</v>
      </c>
      <c r="M1" s="2" t="s">
        <v>196</v>
      </c>
      <c r="N1" s="2" t="s">
        <v>186</v>
      </c>
      <c r="O1" s="2" t="s">
        <v>187</v>
      </c>
      <c r="P1" s="2" t="s">
        <v>188</v>
      </c>
      <c r="Q1" s="2" t="s">
        <v>189</v>
      </c>
      <c r="R1" s="2" t="s">
        <v>190</v>
      </c>
      <c r="S1" s="2" t="s">
        <v>191</v>
      </c>
      <c r="T1" s="2" t="s">
        <v>192</v>
      </c>
      <c r="U1" s="2" t="s">
        <v>279</v>
      </c>
      <c r="V1" s="2" t="s">
        <v>193</v>
      </c>
      <c r="W1" s="2" t="s">
        <v>194</v>
      </c>
      <c r="X1" s="2" t="s">
        <v>195</v>
      </c>
    </row>
    <row r="2" spans="1:24">
      <c r="A2" s="99">
        <v>1</v>
      </c>
      <c r="L2" s="99">
        <f>J2*K2</f>
        <v>0</v>
      </c>
      <c r="W2" s="140" t="e">
        <f>+MAX($U$2:$U$97)/U2</f>
        <v>#DIV/0!</v>
      </c>
      <c r="X2" s="140" t="e">
        <f>+W2*1</f>
        <v>#DIV/0!</v>
      </c>
    </row>
    <row r="3" spans="1:24">
      <c r="A3" s="99">
        <v>2</v>
      </c>
      <c r="L3" s="99">
        <f t="shared" ref="L3:L66" si="0">J3*K3</f>
        <v>0</v>
      </c>
      <c r="W3" s="140" t="e">
        <f t="shared" ref="W3:W66" si="1">+MAX($U$2:$U$97)/U3</f>
        <v>#DIV/0!</v>
      </c>
      <c r="X3" s="140" t="e">
        <f t="shared" ref="X3:X66" si="2">+W3*1</f>
        <v>#DIV/0!</v>
      </c>
    </row>
    <row r="4" spans="1:24">
      <c r="A4" s="99">
        <v>3</v>
      </c>
      <c r="L4" s="99">
        <f t="shared" si="0"/>
        <v>0</v>
      </c>
      <c r="W4" s="140" t="e">
        <f t="shared" si="1"/>
        <v>#DIV/0!</v>
      </c>
      <c r="X4" s="140" t="e">
        <f t="shared" si="2"/>
        <v>#DIV/0!</v>
      </c>
    </row>
    <row r="5" spans="1:24">
      <c r="A5" s="99">
        <v>4</v>
      </c>
      <c r="L5" s="99">
        <f t="shared" si="0"/>
        <v>0</v>
      </c>
      <c r="W5" s="140" t="e">
        <f t="shared" si="1"/>
        <v>#DIV/0!</v>
      </c>
      <c r="X5" s="140" t="e">
        <f t="shared" si="2"/>
        <v>#DIV/0!</v>
      </c>
    </row>
    <row r="6" spans="1:24">
      <c r="A6" s="99">
        <v>5</v>
      </c>
      <c r="L6" s="99">
        <f t="shared" si="0"/>
        <v>0</v>
      </c>
      <c r="W6" s="140" t="e">
        <f t="shared" si="1"/>
        <v>#DIV/0!</v>
      </c>
      <c r="X6" s="140" t="e">
        <f t="shared" si="2"/>
        <v>#DIV/0!</v>
      </c>
    </row>
    <row r="7" spans="1:24">
      <c r="A7" s="99">
        <v>6</v>
      </c>
      <c r="L7" s="99">
        <f t="shared" si="0"/>
        <v>0</v>
      </c>
      <c r="W7" s="140" t="e">
        <f t="shared" si="1"/>
        <v>#DIV/0!</v>
      </c>
      <c r="X7" s="140" t="e">
        <f t="shared" si="2"/>
        <v>#DIV/0!</v>
      </c>
    </row>
    <row r="8" spans="1:24">
      <c r="A8" s="99">
        <v>7</v>
      </c>
      <c r="L8" s="99">
        <f t="shared" si="0"/>
        <v>0</v>
      </c>
      <c r="W8" s="140" t="e">
        <f t="shared" si="1"/>
        <v>#DIV/0!</v>
      </c>
      <c r="X8" s="140" t="e">
        <f t="shared" si="2"/>
        <v>#DIV/0!</v>
      </c>
    </row>
    <row r="9" spans="1:24">
      <c r="A9" s="99">
        <v>8</v>
      </c>
      <c r="L9" s="99">
        <f t="shared" si="0"/>
        <v>0</v>
      </c>
      <c r="W9" s="140" t="e">
        <f t="shared" si="1"/>
        <v>#DIV/0!</v>
      </c>
      <c r="X9" s="140" t="e">
        <f t="shared" si="2"/>
        <v>#DIV/0!</v>
      </c>
    </row>
    <row r="10" spans="1:24">
      <c r="A10" s="99">
        <v>9</v>
      </c>
      <c r="L10" s="99">
        <f t="shared" si="0"/>
        <v>0</v>
      </c>
      <c r="W10" s="140" t="e">
        <f t="shared" si="1"/>
        <v>#DIV/0!</v>
      </c>
      <c r="X10" s="140" t="e">
        <f t="shared" si="2"/>
        <v>#DIV/0!</v>
      </c>
    </row>
    <row r="11" spans="1:24">
      <c r="A11" s="99">
        <v>10</v>
      </c>
      <c r="L11" s="99">
        <f t="shared" si="0"/>
        <v>0</v>
      </c>
      <c r="W11" s="140" t="e">
        <f t="shared" si="1"/>
        <v>#DIV/0!</v>
      </c>
      <c r="X11" s="140" t="e">
        <f t="shared" si="2"/>
        <v>#DIV/0!</v>
      </c>
    </row>
    <row r="12" spans="1:24">
      <c r="A12" s="99">
        <v>11</v>
      </c>
      <c r="L12" s="99">
        <f t="shared" si="0"/>
        <v>0</v>
      </c>
      <c r="W12" s="140" t="e">
        <f t="shared" si="1"/>
        <v>#DIV/0!</v>
      </c>
      <c r="X12" s="140" t="e">
        <f t="shared" si="2"/>
        <v>#DIV/0!</v>
      </c>
    </row>
    <row r="13" spans="1:24">
      <c r="A13" s="99">
        <v>12</v>
      </c>
      <c r="L13" s="99">
        <f t="shared" si="0"/>
        <v>0</v>
      </c>
      <c r="W13" s="140" t="e">
        <f t="shared" si="1"/>
        <v>#DIV/0!</v>
      </c>
      <c r="X13" s="140" t="e">
        <f t="shared" si="2"/>
        <v>#DIV/0!</v>
      </c>
    </row>
    <row r="14" spans="1:24">
      <c r="A14" s="99">
        <v>13</v>
      </c>
      <c r="L14" s="99">
        <f t="shared" si="0"/>
        <v>0</v>
      </c>
      <c r="W14" s="140" t="e">
        <f t="shared" si="1"/>
        <v>#DIV/0!</v>
      </c>
      <c r="X14" s="140" t="e">
        <f t="shared" si="2"/>
        <v>#DIV/0!</v>
      </c>
    </row>
    <row r="15" spans="1:24">
      <c r="A15" s="99">
        <v>14</v>
      </c>
      <c r="L15" s="99">
        <f t="shared" si="0"/>
        <v>0</v>
      </c>
      <c r="W15" s="140" t="e">
        <f t="shared" si="1"/>
        <v>#DIV/0!</v>
      </c>
      <c r="X15" s="140" t="e">
        <f t="shared" si="2"/>
        <v>#DIV/0!</v>
      </c>
    </row>
    <row r="16" spans="1:24">
      <c r="A16" s="99">
        <v>15</v>
      </c>
      <c r="L16" s="99">
        <f t="shared" si="0"/>
        <v>0</v>
      </c>
      <c r="W16" s="140" t="e">
        <f t="shared" si="1"/>
        <v>#DIV/0!</v>
      </c>
      <c r="X16" s="140" t="e">
        <f t="shared" si="2"/>
        <v>#DIV/0!</v>
      </c>
    </row>
    <row r="17" spans="1:24">
      <c r="A17" s="99">
        <v>16</v>
      </c>
      <c r="L17" s="99">
        <f t="shared" si="0"/>
        <v>0</v>
      </c>
      <c r="W17" s="140" t="e">
        <f t="shared" si="1"/>
        <v>#DIV/0!</v>
      </c>
      <c r="X17" s="140" t="e">
        <f t="shared" si="2"/>
        <v>#DIV/0!</v>
      </c>
    </row>
    <row r="18" spans="1:24">
      <c r="A18" s="99">
        <v>17</v>
      </c>
      <c r="L18" s="99">
        <f t="shared" si="0"/>
        <v>0</v>
      </c>
      <c r="W18" s="140" t="e">
        <f t="shared" si="1"/>
        <v>#DIV/0!</v>
      </c>
      <c r="X18" s="140" t="e">
        <f t="shared" si="2"/>
        <v>#DIV/0!</v>
      </c>
    </row>
    <row r="19" spans="1:24">
      <c r="A19" s="99">
        <v>18</v>
      </c>
      <c r="L19" s="99">
        <f t="shared" si="0"/>
        <v>0</v>
      </c>
      <c r="W19" s="140" t="e">
        <f t="shared" si="1"/>
        <v>#DIV/0!</v>
      </c>
      <c r="X19" s="140" t="e">
        <f t="shared" si="2"/>
        <v>#DIV/0!</v>
      </c>
    </row>
    <row r="20" spans="1:24">
      <c r="A20" s="99">
        <v>19</v>
      </c>
      <c r="L20" s="99">
        <f t="shared" si="0"/>
        <v>0</v>
      </c>
      <c r="W20" s="140" t="e">
        <f t="shared" si="1"/>
        <v>#DIV/0!</v>
      </c>
      <c r="X20" s="140" t="e">
        <f t="shared" si="2"/>
        <v>#DIV/0!</v>
      </c>
    </row>
    <row r="21" spans="1:24">
      <c r="A21" s="99">
        <v>20</v>
      </c>
      <c r="L21" s="99">
        <f t="shared" si="0"/>
        <v>0</v>
      </c>
      <c r="W21" s="140" t="e">
        <f t="shared" si="1"/>
        <v>#DIV/0!</v>
      </c>
      <c r="X21" s="140" t="e">
        <f t="shared" si="2"/>
        <v>#DIV/0!</v>
      </c>
    </row>
    <row r="22" spans="1:24">
      <c r="A22" s="99">
        <v>21</v>
      </c>
      <c r="L22" s="99">
        <f t="shared" si="0"/>
        <v>0</v>
      </c>
      <c r="W22" s="140" t="e">
        <f t="shared" si="1"/>
        <v>#DIV/0!</v>
      </c>
      <c r="X22" s="140" t="e">
        <f t="shared" si="2"/>
        <v>#DIV/0!</v>
      </c>
    </row>
    <row r="23" spans="1:24">
      <c r="A23" s="99">
        <v>22</v>
      </c>
      <c r="L23" s="99">
        <f t="shared" si="0"/>
        <v>0</v>
      </c>
      <c r="W23" s="140" t="e">
        <f t="shared" si="1"/>
        <v>#DIV/0!</v>
      </c>
      <c r="X23" s="140" t="e">
        <f t="shared" si="2"/>
        <v>#DIV/0!</v>
      </c>
    </row>
    <row r="24" spans="1:24">
      <c r="A24" s="99">
        <v>23</v>
      </c>
      <c r="L24" s="99">
        <f t="shared" si="0"/>
        <v>0</v>
      </c>
      <c r="W24" s="140" t="e">
        <f t="shared" si="1"/>
        <v>#DIV/0!</v>
      </c>
      <c r="X24" s="140" t="e">
        <f t="shared" si="2"/>
        <v>#DIV/0!</v>
      </c>
    </row>
    <row r="25" spans="1:24">
      <c r="A25" s="99">
        <v>24</v>
      </c>
      <c r="L25" s="99">
        <f t="shared" si="0"/>
        <v>0</v>
      </c>
      <c r="W25" s="140" t="e">
        <f t="shared" si="1"/>
        <v>#DIV/0!</v>
      </c>
      <c r="X25" s="140" t="e">
        <f t="shared" si="2"/>
        <v>#DIV/0!</v>
      </c>
    </row>
    <row r="26" spans="1:24">
      <c r="A26" s="99">
        <v>25</v>
      </c>
      <c r="L26" s="99">
        <f t="shared" si="0"/>
        <v>0</v>
      </c>
      <c r="W26" s="140" t="e">
        <f t="shared" si="1"/>
        <v>#DIV/0!</v>
      </c>
      <c r="X26" s="140" t="e">
        <f t="shared" si="2"/>
        <v>#DIV/0!</v>
      </c>
    </row>
    <row r="27" spans="1:24">
      <c r="A27" s="99">
        <v>26</v>
      </c>
      <c r="L27" s="99">
        <f t="shared" si="0"/>
        <v>0</v>
      </c>
      <c r="W27" s="140" t="e">
        <f t="shared" si="1"/>
        <v>#DIV/0!</v>
      </c>
      <c r="X27" s="140" t="e">
        <f t="shared" si="2"/>
        <v>#DIV/0!</v>
      </c>
    </row>
    <row r="28" spans="1:24">
      <c r="A28" s="99">
        <v>27</v>
      </c>
      <c r="L28" s="99">
        <f t="shared" si="0"/>
        <v>0</v>
      </c>
      <c r="W28" s="140" t="e">
        <f t="shared" si="1"/>
        <v>#DIV/0!</v>
      </c>
      <c r="X28" s="140" t="e">
        <f t="shared" si="2"/>
        <v>#DIV/0!</v>
      </c>
    </row>
    <row r="29" spans="1:24">
      <c r="A29" s="99">
        <v>28</v>
      </c>
      <c r="L29" s="99">
        <f t="shared" si="0"/>
        <v>0</v>
      </c>
      <c r="W29" s="140" t="e">
        <f t="shared" si="1"/>
        <v>#DIV/0!</v>
      </c>
      <c r="X29" s="140" t="e">
        <f t="shared" si="2"/>
        <v>#DIV/0!</v>
      </c>
    </row>
    <row r="30" spans="1:24">
      <c r="A30" s="99">
        <v>29</v>
      </c>
      <c r="L30" s="99">
        <f t="shared" si="0"/>
        <v>0</v>
      </c>
      <c r="W30" s="140" t="e">
        <f t="shared" si="1"/>
        <v>#DIV/0!</v>
      </c>
      <c r="X30" s="140" t="e">
        <f t="shared" si="2"/>
        <v>#DIV/0!</v>
      </c>
    </row>
    <row r="31" spans="1:24">
      <c r="A31" s="99">
        <v>30</v>
      </c>
      <c r="L31" s="99">
        <f t="shared" si="0"/>
        <v>0</v>
      </c>
      <c r="W31" s="140" t="e">
        <f t="shared" si="1"/>
        <v>#DIV/0!</v>
      </c>
      <c r="X31" s="140" t="e">
        <f t="shared" si="2"/>
        <v>#DIV/0!</v>
      </c>
    </row>
    <row r="32" spans="1:24">
      <c r="A32" s="99">
        <v>31</v>
      </c>
      <c r="L32" s="99">
        <f t="shared" si="0"/>
        <v>0</v>
      </c>
      <c r="W32" s="140" t="e">
        <f t="shared" si="1"/>
        <v>#DIV/0!</v>
      </c>
      <c r="X32" s="140" t="e">
        <f t="shared" si="2"/>
        <v>#DIV/0!</v>
      </c>
    </row>
    <row r="33" spans="1:24">
      <c r="A33" s="99">
        <v>32</v>
      </c>
      <c r="L33" s="99">
        <f t="shared" si="0"/>
        <v>0</v>
      </c>
      <c r="W33" s="140" t="e">
        <f t="shared" si="1"/>
        <v>#DIV/0!</v>
      </c>
      <c r="X33" s="140" t="e">
        <f t="shared" si="2"/>
        <v>#DIV/0!</v>
      </c>
    </row>
    <row r="34" spans="1:24">
      <c r="A34" s="99">
        <v>33</v>
      </c>
      <c r="L34" s="99">
        <f t="shared" si="0"/>
        <v>0</v>
      </c>
      <c r="W34" s="140" t="e">
        <f t="shared" si="1"/>
        <v>#DIV/0!</v>
      </c>
      <c r="X34" s="140" t="e">
        <f t="shared" si="2"/>
        <v>#DIV/0!</v>
      </c>
    </row>
    <row r="35" spans="1:24">
      <c r="A35" s="99">
        <v>34</v>
      </c>
      <c r="L35" s="99">
        <f t="shared" si="0"/>
        <v>0</v>
      </c>
      <c r="W35" s="140" t="e">
        <f t="shared" si="1"/>
        <v>#DIV/0!</v>
      </c>
      <c r="X35" s="140" t="e">
        <f t="shared" si="2"/>
        <v>#DIV/0!</v>
      </c>
    </row>
    <row r="36" spans="1:24">
      <c r="A36" s="99">
        <v>35</v>
      </c>
      <c r="L36" s="99">
        <f t="shared" si="0"/>
        <v>0</v>
      </c>
      <c r="W36" s="140" t="e">
        <f t="shared" si="1"/>
        <v>#DIV/0!</v>
      </c>
      <c r="X36" s="140" t="e">
        <f t="shared" si="2"/>
        <v>#DIV/0!</v>
      </c>
    </row>
    <row r="37" spans="1:24">
      <c r="A37" s="99">
        <v>36</v>
      </c>
      <c r="L37" s="99">
        <f t="shared" si="0"/>
        <v>0</v>
      </c>
      <c r="W37" s="140" t="e">
        <f t="shared" si="1"/>
        <v>#DIV/0!</v>
      </c>
      <c r="X37" s="140" t="e">
        <f t="shared" si="2"/>
        <v>#DIV/0!</v>
      </c>
    </row>
    <row r="38" spans="1:24">
      <c r="A38" s="99">
        <v>37</v>
      </c>
      <c r="L38" s="99">
        <f t="shared" si="0"/>
        <v>0</v>
      </c>
      <c r="W38" s="140" t="e">
        <f t="shared" si="1"/>
        <v>#DIV/0!</v>
      </c>
      <c r="X38" s="140" t="e">
        <f t="shared" si="2"/>
        <v>#DIV/0!</v>
      </c>
    </row>
    <row r="39" spans="1:24">
      <c r="A39" s="99">
        <v>38</v>
      </c>
      <c r="L39" s="99">
        <f t="shared" si="0"/>
        <v>0</v>
      </c>
      <c r="W39" s="140" t="e">
        <f t="shared" si="1"/>
        <v>#DIV/0!</v>
      </c>
      <c r="X39" s="140" t="e">
        <f t="shared" si="2"/>
        <v>#DIV/0!</v>
      </c>
    </row>
    <row r="40" spans="1:24">
      <c r="A40" s="99">
        <v>39</v>
      </c>
      <c r="L40" s="99">
        <f t="shared" si="0"/>
        <v>0</v>
      </c>
      <c r="W40" s="140" t="e">
        <f t="shared" si="1"/>
        <v>#DIV/0!</v>
      </c>
      <c r="X40" s="140" t="e">
        <f t="shared" si="2"/>
        <v>#DIV/0!</v>
      </c>
    </row>
    <row r="41" spans="1:24">
      <c r="A41" s="99">
        <v>40</v>
      </c>
      <c r="L41" s="99">
        <f t="shared" si="0"/>
        <v>0</v>
      </c>
      <c r="W41" s="140" t="e">
        <f t="shared" si="1"/>
        <v>#DIV/0!</v>
      </c>
      <c r="X41" s="140" t="e">
        <f t="shared" si="2"/>
        <v>#DIV/0!</v>
      </c>
    </row>
    <row r="42" spans="1:24">
      <c r="A42" s="99">
        <v>41</v>
      </c>
      <c r="L42" s="99">
        <f t="shared" si="0"/>
        <v>0</v>
      </c>
      <c r="W42" s="140" t="e">
        <f t="shared" si="1"/>
        <v>#DIV/0!</v>
      </c>
      <c r="X42" s="140" t="e">
        <f t="shared" si="2"/>
        <v>#DIV/0!</v>
      </c>
    </row>
    <row r="43" spans="1:24">
      <c r="A43" s="99">
        <v>42</v>
      </c>
      <c r="L43" s="99">
        <f t="shared" si="0"/>
        <v>0</v>
      </c>
      <c r="W43" s="140" t="e">
        <f t="shared" si="1"/>
        <v>#DIV/0!</v>
      </c>
      <c r="X43" s="140" t="e">
        <f t="shared" si="2"/>
        <v>#DIV/0!</v>
      </c>
    </row>
    <row r="44" spans="1:24">
      <c r="A44" s="99">
        <v>43</v>
      </c>
      <c r="L44" s="99">
        <f t="shared" si="0"/>
        <v>0</v>
      </c>
      <c r="W44" s="140" t="e">
        <f t="shared" si="1"/>
        <v>#DIV/0!</v>
      </c>
      <c r="X44" s="140" t="e">
        <f t="shared" si="2"/>
        <v>#DIV/0!</v>
      </c>
    </row>
    <row r="45" spans="1:24">
      <c r="A45" s="99">
        <v>44</v>
      </c>
      <c r="L45" s="99">
        <f t="shared" si="0"/>
        <v>0</v>
      </c>
      <c r="W45" s="140" t="e">
        <f t="shared" si="1"/>
        <v>#DIV/0!</v>
      </c>
      <c r="X45" s="140" t="e">
        <f t="shared" si="2"/>
        <v>#DIV/0!</v>
      </c>
    </row>
    <row r="46" spans="1:24">
      <c r="A46" s="99">
        <v>45</v>
      </c>
      <c r="L46" s="99">
        <f t="shared" si="0"/>
        <v>0</v>
      </c>
      <c r="W46" s="140" t="e">
        <f t="shared" si="1"/>
        <v>#DIV/0!</v>
      </c>
      <c r="X46" s="140" t="e">
        <f t="shared" si="2"/>
        <v>#DIV/0!</v>
      </c>
    </row>
    <row r="47" spans="1:24">
      <c r="A47" s="99">
        <v>46</v>
      </c>
      <c r="L47" s="99">
        <f t="shared" si="0"/>
        <v>0</v>
      </c>
      <c r="W47" s="140" t="e">
        <f t="shared" si="1"/>
        <v>#DIV/0!</v>
      </c>
      <c r="X47" s="140" t="e">
        <f t="shared" si="2"/>
        <v>#DIV/0!</v>
      </c>
    </row>
    <row r="48" spans="1:24">
      <c r="A48" s="99">
        <v>47</v>
      </c>
      <c r="L48" s="99">
        <f t="shared" si="0"/>
        <v>0</v>
      </c>
      <c r="W48" s="140" t="e">
        <f t="shared" si="1"/>
        <v>#DIV/0!</v>
      </c>
      <c r="X48" s="140" t="e">
        <f t="shared" si="2"/>
        <v>#DIV/0!</v>
      </c>
    </row>
    <row r="49" spans="1:24">
      <c r="A49" s="99">
        <v>48</v>
      </c>
      <c r="L49" s="99">
        <f t="shared" si="0"/>
        <v>0</v>
      </c>
      <c r="W49" s="140" t="e">
        <f t="shared" si="1"/>
        <v>#DIV/0!</v>
      </c>
      <c r="X49" s="140" t="e">
        <f t="shared" si="2"/>
        <v>#DIV/0!</v>
      </c>
    </row>
    <row r="50" spans="1:24">
      <c r="A50" s="99">
        <v>49</v>
      </c>
      <c r="L50" s="99">
        <f t="shared" si="0"/>
        <v>0</v>
      </c>
      <c r="W50" s="140" t="e">
        <f t="shared" si="1"/>
        <v>#DIV/0!</v>
      </c>
      <c r="X50" s="140" t="e">
        <f t="shared" si="2"/>
        <v>#DIV/0!</v>
      </c>
    </row>
    <row r="51" spans="1:24">
      <c r="A51" s="99">
        <v>50</v>
      </c>
      <c r="L51" s="99">
        <f t="shared" si="0"/>
        <v>0</v>
      </c>
      <c r="W51" s="140" t="e">
        <f t="shared" si="1"/>
        <v>#DIV/0!</v>
      </c>
      <c r="X51" s="140" t="e">
        <f t="shared" si="2"/>
        <v>#DIV/0!</v>
      </c>
    </row>
    <row r="52" spans="1:24">
      <c r="A52" s="99">
        <v>51</v>
      </c>
      <c r="L52" s="99">
        <f t="shared" si="0"/>
        <v>0</v>
      </c>
      <c r="W52" s="140" t="e">
        <f t="shared" si="1"/>
        <v>#DIV/0!</v>
      </c>
      <c r="X52" s="140" t="e">
        <f t="shared" si="2"/>
        <v>#DIV/0!</v>
      </c>
    </row>
    <row r="53" spans="1:24">
      <c r="A53" s="99">
        <v>52</v>
      </c>
      <c r="L53" s="99">
        <f t="shared" si="0"/>
        <v>0</v>
      </c>
      <c r="W53" s="140" t="e">
        <f t="shared" si="1"/>
        <v>#DIV/0!</v>
      </c>
      <c r="X53" s="140" t="e">
        <f t="shared" si="2"/>
        <v>#DIV/0!</v>
      </c>
    </row>
    <row r="54" spans="1:24">
      <c r="A54" s="99">
        <v>53</v>
      </c>
      <c r="L54" s="99">
        <f t="shared" si="0"/>
        <v>0</v>
      </c>
      <c r="W54" s="140" t="e">
        <f t="shared" si="1"/>
        <v>#DIV/0!</v>
      </c>
      <c r="X54" s="140" t="e">
        <f t="shared" si="2"/>
        <v>#DIV/0!</v>
      </c>
    </row>
    <row r="55" spans="1:24">
      <c r="A55" s="99">
        <v>54</v>
      </c>
      <c r="L55" s="99">
        <f t="shared" si="0"/>
        <v>0</v>
      </c>
      <c r="W55" s="140" t="e">
        <f t="shared" si="1"/>
        <v>#DIV/0!</v>
      </c>
      <c r="X55" s="140" t="e">
        <f t="shared" si="2"/>
        <v>#DIV/0!</v>
      </c>
    </row>
    <row r="56" spans="1:24">
      <c r="A56" s="99">
        <v>55</v>
      </c>
      <c r="L56" s="99">
        <f t="shared" si="0"/>
        <v>0</v>
      </c>
      <c r="W56" s="140" t="e">
        <f t="shared" si="1"/>
        <v>#DIV/0!</v>
      </c>
      <c r="X56" s="140" t="e">
        <f t="shared" si="2"/>
        <v>#DIV/0!</v>
      </c>
    </row>
    <row r="57" spans="1:24">
      <c r="A57" s="99">
        <v>56</v>
      </c>
      <c r="L57" s="99">
        <f t="shared" si="0"/>
        <v>0</v>
      </c>
      <c r="W57" s="140" t="e">
        <f t="shared" si="1"/>
        <v>#DIV/0!</v>
      </c>
      <c r="X57" s="140" t="e">
        <f t="shared" si="2"/>
        <v>#DIV/0!</v>
      </c>
    </row>
    <row r="58" spans="1:24">
      <c r="A58" s="99">
        <v>57</v>
      </c>
      <c r="L58" s="99">
        <f t="shared" si="0"/>
        <v>0</v>
      </c>
      <c r="W58" s="140" t="e">
        <f t="shared" si="1"/>
        <v>#DIV/0!</v>
      </c>
      <c r="X58" s="140" t="e">
        <f t="shared" si="2"/>
        <v>#DIV/0!</v>
      </c>
    </row>
    <row r="59" spans="1:24">
      <c r="A59" s="99">
        <v>58</v>
      </c>
      <c r="L59" s="99">
        <f t="shared" si="0"/>
        <v>0</v>
      </c>
      <c r="W59" s="140" t="e">
        <f t="shared" si="1"/>
        <v>#DIV/0!</v>
      </c>
      <c r="X59" s="140" t="e">
        <f t="shared" si="2"/>
        <v>#DIV/0!</v>
      </c>
    </row>
    <row r="60" spans="1:24">
      <c r="A60" s="99">
        <v>59</v>
      </c>
      <c r="L60" s="99">
        <f t="shared" si="0"/>
        <v>0</v>
      </c>
      <c r="W60" s="140" t="e">
        <f t="shared" si="1"/>
        <v>#DIV/0!</v>
      </c>
      <c r="X60" s="140" t="e">
        <f t="shared" si="2"/>
        <v>#DIV/0!</v>
      </c>
    </row>
    <row r="61" spans="1:24">
      <c r="A61" s="99">
        <v>60</v>
      </c>
      <c r="L61" s="99">
        <f t="shared" si="0"/>
        <v>0</v>
      </c>
      <c r="W61" s="140" t="e">
        <f t="shared" si="1"/>
        <v>#DIV/0!</v>
      </c>
      <c r="X61" s="140" t="e">
        <f t="shared" si="2"/>
        <v>#DIV/0!</v>
      </c>
    </row>
    <row r="62" spans="1:24">
      <c r="A62" s="99">
        <v>61</v>
      </c>
      <c r="L62" s="99">
        <f t="shared" si="0"/>
        <v>0</v>
      </c>
      <c r="W62" s="140" t="e">
        <f t="shared" si="1"/>
        <v>#DIV/0!</v>
      </c>
      <c r="X62" s="140" t="e">
        <f t="shared" si="2"/>
        <v>#DIV/0!</v>
      </c>
    </row>
    <row r="63" spans="1:24">
      <c r="A63" s="99">
        <v>62</v>
      </c>
      <c r="L63" s="99">
        <f t="shared" si="0"/>
        <v>0</v>
      </c>
      <c r="W63" s="140" t="e">
        <f t="shared" si="1"/>
        <v>#DIV/0!</v>
      </c>
      <c r="X63" s="140" t="e">
        <f t="shared" si="2"/>
        <v>#DIV/0!</v>
      </c>
    </row>
    <row r="64" spans="1:24">
      <c r="A64" s="99">
        <v>63</v>
      </c>
      <c r="L64" s="99">
        <f t="shared" si="0"/>
        <v>0</v>
      </c>
      <c r="W64" s="140" t="e">
        <f t="shared" si="1"/>
        <v>#DIV/0!</v>
      </c>
      <c r="X64" s="140" t="e">
        <f t="shared" si="2"/>
        <v>#DIV/0!</v>
      </c>
    </row>
    <row r="65" spans="1:24">
      <c r="A65" s="99">
        <v>64</v>
      </c>
      <c r="L65" s="99">
        <f t="shared" si="0"/>
        <v>0</v>
      </c>
      <c r="W65" s="140" t="e">
        <f t="shared" si="1"/>
        <v>#DIV/0!</v>
      </c>
      <c r="X65" s="140" t="e">
        <f t="shared" si="2"/>
        <v>#DIV/0!</v>
      </c>
    </row>
    <row r="66" spans="1:24">
      <c r="A66" s="99">
        <v>65</v>
      </c>
      <c r="L66" s="99">
        <f t="shared" si="0"/>
        <v>0</v>
      </c>
      <c r="W66" s="140" t="e">
        <f t="shared" si="1"/>
        <v>#DIV/0!</v>
      </c>
      <c r="X66" s="140" t="e">
        <f t="shared" si="2"/>
        <v>#DIV/0!</v>
      </c>
    </row>
    <row r="67" spans="1:24">
      <c r="A67" s="99">
        <v>66</v>
      </c>
      <c r="L67" s="99">
        <f t="shared" ref="L67:L97" si="3">J67*K67</f>
        <v>0</v>
      </c>
      <c r="W67" s="140" t="e">
        <f t="shared" ref="W67:W97" si="4">+MAX($U$2:$U$97)/U67</f>
        <v>#DIV/0!</v>
      </c>
      <c r="X67" s="140" t="e">
        <f t="shared" ref="X67:X97" si="5">+W67*1</f>
        <v>#DIV/0!</v>
      </c>
    </row>
    <row r="68" spans="1:24">
      <c r="A68" s="99">
        <v>67</v>
      </c>
      <c r="L68" s="99">
        <f t="shared" si="3"/>
        <v>0</v>
      </c>
      <c r="W68" s="140" t="e">
        <f t="shared" si="4"/>
        <v>#DIV/0!</v>
      </c>
      <c r="X68" s="140" t="e">
        <f t="shared" si="5"/>
        <v>#DIV/0!</v>
      </c>
    </row>
    <row r="69" spans="1:24">
      <c r="A69" s="99">
        <v>68</v>
      </c>
      <c r="L69" s="99">
        <f t="shared" si="3"/>
        <v>0</v>
      </c>
      <c r="W69" s="140" t="e">
        <f t="shared" si="4"/>
        <v>#DIV/0!</v>
      </c>
      <c r="X69" s="140" t="e">
        <f t="shared" si="5"/>
        <v>#DIV/0!</v>
      </c>
    </row>
    <row r="70" spans="1:24">
      <c r="A70" s="99">
        <v>69</v>
      </c>
      <c r="L70" s="99">
        <f t="shared" si="3"/>
        <v>0</v>
      </c>
      <c r="W70" s="140" t="e">
        <f t="shared" si="4"/>
        <v>#DIV/0!</v>
      </c>
      <c r="X70" s="140" t="e">
        <f t="shared" si="5"/>
        <v>#DIV/0!</v>
      </c>
    </row>
    <row r="71" spans="1:24">
      <c r="A71" s="99">
        <v>70</v>
      </c>
      <c r="L71" s="99">
        <f t="shared" si="3"/>
        <v>0</v>
      </c>
      <c r="W71" s="140" t="e">
        <f t="shared" si="4"/>
        <v>#DIV/0!</v>
      </c>
      <c r="X71" s="140" t="e">
        <f t="shared" si="5"/>
        <v>#DIV/0!</v>
      </c>
    </row>
    <row r="72" spans="1:24">
      <c r="A72" s="99">
        <v>71</v>
      </c>
      <c r="L72" s="99">
        <f t="shared" si="3"/>
        <v>0</v>
      </c>
      <c r="W72" s="140" t="e">
        <f t="shared" si="4"/>
        <v>#DIV/0!</v>
      </c>
      <c r="X72" s="140" t="e">
        <f t="shared" si="5"/>
        <v>#DIV/0!</v>
      </c>
    </row>
    <row r="73" spans="1:24">
      <c r="A73" s="99">
        <v>72</v>
      </c>
      <c r="L73" s="99">
        <f t="shared" si="3"/>
        <v>0</v>
      </c>
      <c r="W73" s="140" t="e">
        <f t="shared" si="4"/>
        <v>#DIV/0!</v>
      </c>
      <c r="X73" s="140" t="e">
        <f t="shared" si="5"/>
        <v>#DIV/0!</v>
      </c>
    </row>
    <row r="74" spans="1:24">
      <c r="A74" s="99">
        <v>73</v>
      </c>
      <c r="L74" s="99">
        <f t="shared" si="3"/>
        <v>0</v>
      </c>
      <c r="W74" s="140" t="e">
        <f t="shared" si="4"/>
        <v>#DIV/0!</v>
      </c>
      <c r="X74" s="140" t="e">
        <f t="shared" si="5"/>
        <v>#DIV/0!</v>
      </c>
    </row>
    <row r="75" spans="1:24">
      <c r="A75" s="99">
        <v>74</v>
      </c>
      <c r="L75" s="99">
        <f t="shared" si="3"/>
        <v>0</v>
      </c>
      <c r="W75" s="140" t="e">
        <f t="shared" si="4"/>
        <v>#DIV/0!</v>
      </c>
      <c r="X75" s="140" t="e">
        <f t="shared" si="5"/>
        <v>#DIV/0!</v>
      </c>
    </row>
    <row r="76" spans="1:24">
      <c r="A76" s="99">
        <v>75</v>
      </c>
      <c r="L76" s="99">
        <f t="shared" si="3"/>
        <v>0</v>
      </c>
      <c r="W76" s="140" t="e">
        <f t="shared" si="4"/>
        <v>#DIV/0!</v>
      </c>
      <c r="X76" s="140" t="e">
        <f t="shared" si="5"/>
        <v>#DIV/0!</v>
      </c>
    </row>
    <row r="77" spans="1:24">
      <c r="A77" s="99">
        <v>76</v>
      </c>
      <c r="L77" s="99">
        <f t="shared" si="3"/>
        <v>0</v>
      </c>
      <c r="W77" s="140" t="e">
        <f t="shared" si="4"/>
        <v>#DIV/0!</v>
      </c>
      <c r="X77" s="140" t="e">
        <f t="shared" si="5"/>
        <v>#DIV/0!</v>
      </c>
    </row>
    <row r="78" spans="1:24">
      <c r="A78" s="99">
        <v>77</v>
      </c>
      <c r="L78" s="99">
        <f t="shared" si="3"/>
        <v>0</v>
      </c>
      <c r="W78" s="140" t="e">
        <f t="shared" si="4"/>
        <v>#DIV/0!</v>
      </c>
      <c r="X78" s="140" t="e">
        <f t="shared" si="5"/>
        <v>#DIV/0!</v>
      </c>
    </row>
    <row r="79" spans="1:24">
      <c r="A79" s="99">
        <v>78</v>
      </c>
      <c r="L79" s="99">
        <f t="shared" si="3"/>
        <v>0</v>
      </c>
      <c r="W79" s="140" t="e">
        <f t="shared" si="4"/>
        <v>#DIV/0!</v>
      </c>
      <c r="X79" s="140" t="e">
        <f t="shared" si="5"/>
        <v>#DIV/0!</v>
      </c>
    </row>
    <row r="80" spans="1:24">
      <c r="A80" s="99">
        <v>79</v>
      </c>
      <c r="L80" s="99">
        <f t="shared" si="3"/>
        <v>0</v>
      </c>
      <c r="W80" s="140" t="e">
        <f t="shared" si="4"/>
        <v>#DIV/0!</v>
      </c>
      <c r="X80" s="140" t="e">
        <f t="shared" si="5"/>
        <v>#DIV/0!</v>
      </c>
    </row>
    <row r="81" spans="1:24">
      <c r="A81" s="99">
        <v>80</v>
      </c>
      <c r="L81" s="99">
        <f t="shared" si="3"/>
        <v>0</v>
      </c>
      <c r="W81" s="140" t="e">
        <f t="shared" si="4"/>
        <v>#DIV/0!</v>
      </c>
      <c r="X81" s="140" t="e">
        <f t="shared" si="5"/>
        <v>#DIV/0!</v>
      </c>
    </row>
    <row r="82" spans="1:24">
      <c r="A82" s="99">
        <v>81</v>
      </c>
      <c r="L82" s="99">
        <f t="shared" si="3"/>
        <v>0</v>
      </c>
      <c r="W82" s="140" t="e">
        <f t="shared" si="4"/>
        <v>#DIV/0!</v>
      </c>
      <c r="X82" s="140" t="e">
        <f t="shared" si="5"/>
        <v>#DIV/0!</v>
      </c>
    </row>
    <row r="83" spans="1:24">
      <c r="A83" s="99">
        <v>82</v>
      </c>
      <c r="L83" s="99">
        <f t="shared" si="3"/>
        <v>0</v>
      </c>
      <c r="W83" s="140" t="e">
        <f t="shared" si="4"/>
        <v>#DIV/0!</v>
      </c>
      <c r="X83" s="140" t="e">
        <f t="shared" si="5"/>
        <v>#DIV/0!</v>
      </c>
    </row>
    <row r="84" spans="1:24">
      <c r="A84" s="99">
        <v>83</v>
      </c>
      <c r="L84" s="99">
        <f t="shared" si="3"/>
        <v>0</v>
      </c>
      <c r="W84" s="140" t="e">
        <f t="shared" si="4"/>
        <v>#DIV/0!</v>
      </c>
      <c r="X84" s="140" t="e">
        <f t="shared" si="5"/>
        <v>#DIV/0!</v>
      </c>
    </row>
    <row r="85" spans="1:24">
      <c r="A85" s="99">
        <v>84</v>
      </c>
      <c r="L85" s="99">
        <f t="shared" si="3"/>
        <v>0</v>
      </c>
      <c r="W85" s="140" t="e">
        <f t="shared" si="4"/>
        <v>#DIV/0!</v>
      </c>
      <c r="X85" s="140" t="e">
        <f t="shared" si="5"/>
        <v>#DIV/0!</v>
      </c>
    </row>
    <row r="86" spans="1:24">
      <c r="A86" s="99">
        <v>85</v>
      </c>
      <c r="L86" s="99">
        <f t="shared" si="3"/>
        <v>0</v>
      </c>
      <c r="W86" s="140" t="e">
        <f t="shared" si="4"/>
        <v>#DIV/0!</v>
      </c>
      <c r="X86" s="140" t="e">
        <f t="shared" si="5"/>
        <v>#DIV/0!</v>
      </c>
    </row>
    <row r="87" spans="1:24">
      <c r="A87" s="99">
        <v>86</v>
      </c>
      <c r="L87" s="99">
        <f t="shared" si="3"/>
        <v>0</v>
      </c>
      <c r="W87" s="140" t="e">
        <f t="shared" si="4"/>
        <v>#DIV/0!</v>
      </c>
      <c r="X87" s="140" t="e">
        <f t="shared" si="5"/>
        <v>#DIV/0!</v>
      </c>
    </row>
    <row r="88" spans="1:24">
      <c r="A88" s="99">
        <v>87</v>
      </c>
      <c r="L88" s="99">
        <f t="shared" si="3"/>
        <v>0</v>
      </c>
      <c r="W88" s="140" t="e">
        <f t="shared" si="4"/>
        <v>#DIV/0!</v>
      </c>
      <c r="X88" s="140" t="e">
        <f t="shared" si="5"/>
        <v>#DIV/0!</v>
      </c>
    </row>
    <row r="89" spans="1:24">
      <c r="A89" s="99">
        <v>88</v>
      </c>
      <c r="L89" s="99">
        <f t="shared" si="3"/>
        <v>0</v>
      </c>
      <c r="W89" s="140" t="e">
        <f t="shared" si="4"/>
        <v>#DIV/0!</v>
      </c>
      <c r="X89" s="140" t="e">
        <f t="shared" si="5"/>
        <v>#DIV/0!</v>
      </c>
    </row>
    <row r="90" spans="1:24">
      <c r="A90" s="99">
        <v>89</v>
      </c>
      <c r="L90" s="99">
        <f t="shared" si="3"/>
        <v>0</v>
      </c>
      <c r="W90" s="140" t="e">
        <f t="shared" si="4"/>
        <v>#DIV/0!</v>
      </c>
      <c r="X90" s="140" t="e">
        <f t="shared" si="5"/>
        <v>#DIV/0!</v>
      </c>
    </row>
    <row r="91" spans="1:24">
      <c r="A91" s="99">
        <v>90</v>
      </c>
      <c r="L91" s="99">
        <f t="shared" si="3"/>
        <v>0</v>
      </c>
      <c r="W91" s="140" t="e">
        <f t="shared" si="4"/>
        <v>#DIV/0!</v>
      </c>
      <c r="X91" s="140" t="e">
        <f t="shared" si="5"/>
        <v>#DIV/0!</v>
      </c>
    </row>
    <row r="92" spans="1:24">
      <c r="A92" s="99">
        <v>91</v>
      </c>
      <c r="L92" s="99">
        <f t="shared" si="3"/>
        <v>0</v>
      </c>
      <c r="W92" s="140" t="e">
        <f t="shared" si="4"/>
        <v>#DIV/0!</v>
      </c>
      <c r="X92" s="140" t="e">
        <f t="shared" si="5"/>
        <v>#DIV/0!</v>
      </c>
    </row>
    <row r="93" spans="1:24">
      <c r="A93" s="99">
        <v>92</v>
      </c>
      <c r="L93" s="99">
        <f t="shared" si="3"/>
        <v>0</v>
      </c>
      <c r="W93" s="140" t="e">
        <f t="shared" si="4"/>
        <v>#DIV/0!</v>
      </c>
      <c r="X93" s="140" t="e">
        <f t="shared" si="5"/>
        <v>#DIV/0!</v>
      </c>
    </row>
    <row r="94" spans="1:24">
      <c r="A94" s="99">
        <v>93</v>
      </c>
      <c r="L94" s="99">
        <f t="shared" si="3"/>
        <v>0</v>
      </c>
      <c r="W94" s="140" t="e">
        <f t="shared" si="4"/>
        <v>#DIV/0!</v>
      </c>
      <c r="X94" s="140" t="e">
        <f t="shared" si="5"/>
        <v>#DIV/0!</v>
      </c>
    </row>
    <row r="95" spans="1:24">
      <c r="A95" s="99">
        <v>94</v>
      </c>
      <c r="L95" s="99">
        <f t="shared" si="3"/>
        <v>0</v>
      </c>
      <c r="W95" s="140" t="e">
        <f t="shared" si="4"/>
        <v>#DIV/0!</v>
      </c>
      <c r="X95" s="140" t="e">
        <f t="shared" si="5"/>
        <v>#DIV/0!</v>
      </c>
    </row>
    <row r="96" spans="1:24">
      <c r="A96" s="99">
        <v>95</v>
      </c>
      <c r="L96" s="99">
        <f t="shared" si="3"/>
        <v>0</v>
      </c>
      <c r="W96" s="140" t="e">
        <f t="shared" si="4"/>
        <v>#DIV/0!</v>
      </c>
      <c r="X96" s="140" t="e">
        <f t="shared" si="5"/>
        <v>#DIV/0!</v>
      </c>
    </row>
    <row r="97" spans="1:24">
      <c r="A97" s="99">
        <v>96</v>
      </c>
      <c r="L97" s="99">
        <f t="shared" si="3"/>
        <v>0</v>
      </c>
      <c r="W97" s="140" t="e">
        <f t="shared" si="4"/>
        <v>#DIV/0!</v>
      </c>
      <c r="X97" s="140" t="e">
        <f t="shared" si="5"/>
        <v>#DIV/0!</v>
      </c>
    </row>
    <row r="98" spans="1:24">
      <c r="X98" s="140"/>
    </row>
  </sheetData>
  <conditionalFormatting sqref="W98:W1048576">
    <cfRule type="cellIs" dxfId="8" priority="10" operator="greaterThan">
      <formula>10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DF440-0A3F-4B16-B0A1-94C9E3C3CA61}">
  <sheetPr codeName="Sheet2"/>
  <dimension ref="A1:AA272"/>
  <sheetViews>
    <sheetView workbookViewId="0">
      <selection activeCell="B1" sqref="B1"/>
    </sheetView>
  </sheetViews>
  <sheetFormatPr defaultColWidth="9.140625" defaultRowHeight="15"/>
  <cols>
    <col min="1" max="1" width="12.42578125" style="3" bestFit="1" customWidth="1"/>
    <col min="2" max="3" width="12.42578125" style="3" customWidth="1"/>
    <col min="4" max="4" width="8.85546875" style="3" customWidth="1"/>
    <col min="5" max="5" width="13.42578125" style="3" customWidth="1"/>
    <col min="6" max="8" width="12.42578125" style="3" customWidth="1"/>
    <col min="9" max="9" width="10.5703125" style="3" customWidth="1"/>
    <col min="10" max="10" width="18.140625" style="3" customWidth="1"/>
    <col min="11" max="11" width="12.42578125" style="3" customWidth="1"/>
    <col min="12" max="12" width="9.5703125" style="3" customWidth="1"/>
    <col min="13" max="13" width="13.42578125" style="4" customWidth="1"/>
    <col min="14" max="14" width="9.85546875" style="5" customWidth="1"/>
    <col min="15" max="15" width="7.85546875" style="3" customWidth="1"/>
    <col min="16" max="18" width="12.42578125" style="3" customWidth="1"/>
    <col min="19" max="19" width="12.42578125" style="3" bestFit="1" customWidth="1"/>
    <col min="20" max="20" width="16.140625" style="3" bestFit="1" customWidth="1"/>
    <col min="21" max="21" width="9.42578125" style="3" bestFit="1" customWidth="1"/>
    <col min="22" max="22" width="16.140625" style="3" bestFit="1" customWidth="1"/>
    <col min="23" max="23" width="14.42578125" style="3" customWidth="1"/>
    <col min="24" max="26" width="7.85546875" style="3" customWidth="1"/>
    <col min="27" max="16384" width="9.140625" style="3"/>
  </cols>
  <sheetData>
    <row r="1" spans="1:13" customFormat="1" ht="30">
      <c r="A1" s="89" t="s">
        <v>0</v>
      </c>
      <c r="B1" s="2" t="s">
        <v>278</v>
      </c>
      <c r="C1" s="2" t="s">
        <v>2</v>
      </c>
      <c r="D1" s="2" t="s">
        <v>3</v>
      </c>
      <c r="E1" s="2" t="s">
        <v>4</v>
      </c>
      <c r="F1" s="2" t="s">
        <v>5</v>
      </c>
      <c r="G1" s="2" t="s">
        <v>6</v>
      </c>
      <c r="H1" s="2" t="s">
        <v>200</v>
      </c>
      <c r="I1" s="2" t="s">
        <v>7</v>
      </c>
      <c r="J1" s="2" t="s">
        <v>201</v>
      </c>
      <c r="K1" s="2" t="s">
        <v>202</v>
      </c>
      <c r="L1" s="2" t="s">
        <v>203</v>
      </c>
      <c r="M1" s="2" t="s">
        <v>204</v>
      </c>
    </row>
    <row r="2" spans="1:13" customFormat="1">
      <c r="A2" s="1">
        <v>1</v>
      </c>
      <c r="B2" s="139"/>
      <c r="C2" s="1">
        <f>prep_table!C2</f>
        <v>0</v>
      </c>
      <c r="D2" s="1">
        <f>prep_table!D2</f>
        <v>0</v>
      </c>
      <c r="E2" s="1">
        <f>prep_table!E2</f>
        <v>0</v>
      </c>
      <c r="F2" s="1"/>
      <c r="G2" s="1"/>
      <c r="H2" s="1">
        <f>G2*10^3</f>
        <v>0</v>
      </c>
      <c r="I2" s="1"/>
      <c r="J2" s="1"/>
      <c r="K2" s="1"/>
      <c r="L2" s="1"/>
      <c r="M2" s="1" t="str">
        <f>Equal_Pooling_RevB!H15</f>
        <v/>
      </c>
    </row>
    <row r="3" spans="1:13" customFormat="1">
      <c r="A3" s="1">
        <v>2</v>
      </c>
      <c r="B3" s="139"/>
      <c r="C3" s="1">
        <f>prep_table!C3</f>
        <v>0</v>
      </c>
      <c r="D3" s="1">
        <f>prep_table!D3</f>
        <v>0</v>
      </c>
      <c r="E3" s="1">
        <f>prep_table!E3</f>
        <v>0</v>
      </c>
      <c r="F3" s="1"/>
      <c r="G3" s="1"/>
      <c r="H3" s="1">
        <f t="shared" ref="H3:H17" si="0">G3*10^3</f>
        <v>0</v>
      </c>
      <c r="I3" s="1"/>
      <c r="J3" s="1"/>
      <c r="K3" s="1"/>
      <c r="L3" s="1"/>
      <c r="M3" s="1" t="str">
        <f>Equal_Pooling_RevB!H16</f>
        <v/>
      </c>
    </row>
    <row r="4" spans="1:13" customFormat="1">
      <c r="A4" s="1">
        <v>3</v>
      </c>
      <c r="B4" s="139"/>
      <c r="C4" s="1">
        <f>prep_table!C4</f>
        <v>0</v>
      </c>
      <c r="D4" s="1">
        <f>prep_table!D4</f>
        <v>0</v>
      </c>
      <c r="E4" s="1">
        <f>prep_table!E4</f>
        <v>0</v>
      </c>
      <c r="F4" s="1"/>
      <c r="G4" s="1"/>
      <c r="H4" s="1">
        <f t="shared" si="0"/>
        <v>0</v>
      </c>
      <c r="I4" s="1"/>
      <c r="J4" s="1"/>
      <c r="K4" s="1"/>
      <c r="L4" s="1"/>
      <c r="M4" s="1" t="str">
        <f>Equal_Pooling_RevB!H17</f>
        <v/>
      </c>
    </row>
    <row r="5" spans="1:13" customFormat="1">
      <c r="A5" s="1">
        <v>4</v>
      </c>
      <c r="B5" s="139"/>
      <c r="C5" s="1">
        <f>prep_table!C5</f>
        <v>0</v>
      </c>
      <c r="D5" s="1">
        <f>prep_table!D5</f>
        <v>0</v>
      </c>
      <c r="E5" s="1">
        <f>prep_table!E5</f>
        <v>0</v>
      </c>
      <c r="F5" s="1"/>
      <c r="G5" s="1"/>
      <c r="H5" s="1">
        <f t="shared" si="0"/>
        <v>0</v>
      </c>
      <c r="I5" s="1"/>
      <c r="J5" s="1"/>
      <c r="K5" s="1"/>
      <c r="L5" s="1"/>
      <c r="M5" s="1" t="str">
        <f>Equal_Pooling_RevB!H18</f>
        <v/>
      </c>
    </row>
    <row r="6" spans="1:13" customFormat="1">
      <c r="A6" s="1">
        <v>5</v>
      </c>
      <c r="B6" s="139"/>
      <c r="C6" s="1">
        <f>prep_table!C6</f>
        <v>0</v>
      </c>
      <c r="D6" s="1">
        <f>prep_table!D6</f>
        <v>0</v>
      </c>
      <c r="E6" s="1">
        <f>prep_table!E6</f>
        <v>0</v>
      </c>
      <c r="F6" s="1"/>
      <c r="G6" s="1"/>
      <c r="H6" s="1">
        <f t="shared" si="0"/>
        <v>0</v>
      </c>
      <c r="I6" s="1"/>
      <c r="J6" s="1"/>
      <c r="K6" s="1"/>
      <c r="L6" s="1"/>
      <c r="M6" s="1" t="str">
        <f>Equal_Pooling_RevB!H19</f>
        <v/>
      </c>
    </row>
    <row r="7" spans="1:13" customFormat="1">
      <c r="A7" s="1">
        <v>6</v>
      </c>
      <c r="B7" s="139"/>
      <c r="C7" s="1">
        <f>prep_table!C7</f>
        <v>0</v>
      </c>
      <c r="D7" s="1">
        <f>prep_table!D7</f>
        <v>0</v>
      </c>
      <c r="E7" s="1">
        <f>prep_table!E7</f>
        <v>0</v>
      </c>
      <c r="F7" s="1"/>
      <c r="G7" s="1"/>
      <c r="H7" s="1">
        <f t="shared" si="0"/>
        <v>0</v>
      </c>
      <c r="I7" s="1"/>
      <c r="J7" s="1"/>
      <c r="K7" s="1"/>
      <c r="L7" s="1"/>
      <c r="M7" s="1" t="str">
        <f>Equal_Pooling_RevB!H20</f>
        <v/>
      </c>
    </row>
    <row r="8" spans="1:13" customFormat="1">
      <c r="A8" s="1">
        <v>7</v>
      </c>
      <c r="B8" s="139"/>
      <c r="C8" s="1">
        <f>prep_table!C8</f>
        <v>0</v>
      </c>
      <c r="D8" s="1">
        <f>prep_table!D8</f>
        <v>0</v>
      </c>
      <c r="E8" s="1">
        <f>prep_table!E8</f>
        <v>0</v>
      </c>
      <c r="F8" s="1"/>
      <c r="G8" s="1"/>
      <c r="H8" s="1">
        <f t="shared" si="0"/>
        <v>0</v>
      </c>
      <c r="I8" s="1"/>
      <c r="J8" s="1"/>
      <c r="K8" s="1"/>
      <c r="L8" s="1"/>
      <c r="M8" s="1" t="str">
        <f>Equal_Pooling_RevB!H21</f>
        <v/>
      </c>
    </row>
    <row r="9" spans="1:13" customFormat="1">
      <c r="A9" s="1">
        <v>8</v>
      </c>
      <c r="B9" s="139"/>
      <c r="C9" s="1">
        <f>prep_table!C9</f>
        <v>0</v>
      </c>
      <c r="D9" s="1">
        <f>prep_table!D9</f>
        <v>0</v>
      </c>
      <c r="E9" s="1">
        <f>prep_table!E9</f>
        <v>0</v>
      </c>
      <c r="F9" s="1"/>
      <c r="G9" s="1"/>
      <c r="H9" s="1">
        <f t="shared" si="0"/>
        <v>0</v>
      </c>
      <c r="I9" s="1"/>
      <c r="J9" s="1"/>
      <c r="K9" s="1"/>
      <c r="L9" s="1"/>
      <c r="M9" s="1" t="str">
        <f>Equal_Pooling_RevB!H22</f>
        <v/>
      </c>
    </row>
    <row r="10" spans="1:13" customFormat="1">
      <c r="A10" s="1">
        <v>9</v>
      </c>
      <c r="B10" s="139"/>
      <c r="C10" s="1">
        <f>prep_table!C10</f>
        <v>0</v>
      </c>
      <c r="D10" s="1">
        <f>prep_table!D10</f>
        <v>0</v>
      </c>
      <c r="E10" s="1">
        <f>prep_table!E10</f>
        <v>0</v>
      </c>
      <c r="F10" s="1"/>
      <c r="G10" s="1"/>
      <c r="H10" s="1">
        <f t="shared" si="0"/>
        <v>0</v>
      </c>
      <c r="I10" s="1"/>
      <c r="J10" s="1"/>
      <c r="K10" s="1"/>
      <c r="L10" s="1"/>
      <c r="M10" s="1" t="str">
        <f>Equal_Pooling_RevB!H23</f>
        <v/>
      </c>
    </row>
    <row r="11" spans="1:13" customFormat="1">
      <c r="A11" s="1">
        <v>10</v>
      </c>
      <c r="B11" s="139"/>
      <c r="C11" s="1">
        <f>prep_table!C11</f>
        <v>0</v>
      </c>
      <c r="D11" s="1">
        <f>prep_table!D11</f>
        <v>0</v>
      </c>
      <c r="E11" s="1">
        <f>prep_table!E11</f>
        <v>0</v>
      </c>
      <c r="F11" s="1"/>
      <c r="G11" s="1"/>
      <c r="H11" s="1">
        <f t="shared" si="0"/>
        <v>0</v>
      </c>
      <c r="I11" s="1"/>
      <c r="J11" s="1"/>
      <c r="K11" s="1"/>
      <c r="L11" s="1"/>
      <c r="M11" s="1" t="str">
        <f>Equal_Pooling_RevB!H24</f>
        <v/>
      </c>
    </row>
    <row r="12" spans="1:13" customFormat="1">
      <c r="A12" s="1">
        <v>11</v>
      </c>
      <c r="B12" s="139"/>
      <c r="C12" s="1">
        <f>prep_table!C12</f>
        <v>0</v>
      </c>
      <c r="D12" s="1">
        <f>prep_table!D12</f>
        <v>0</v>
      </c>
      <c r="E12" s="1">
        <f>prep_table!E12</f>
        <v>0</v>
      </c>
      <c r="F12" s="1"/>
      <c r="G12" s="1"/>
      <c r="H12" s="1">
        <f t="shared" si="0"/>
        <v>0</v>
      </c>
      <c r="I12" s="1"/>
      <c r="J12" s="1"/>
      <c r="K12" s="1"/>
      <c r="L12" s="1"/>
      <c r="M12" s="1" t="str">
        <f>Equal_Pooling_RevB!H25</f>
        <v/>
      </c>
    </row>
    <row r="13" spans="1:13" customFormat="1">
      <c r="A13" s="1">
        <v>12</v>
      </c>
      <c r="B13" s="139"/>
      <c r="C13" s="1">
        <f>prep_table!C13</f>
        <v>0</v>
      </c>
      <c r="D13" s="1">
        <f>prep_table!D13</f>
        <v>0</v>
      </c>
      <c r="E13" s="1">
        <f>prep_table!E13</f>
        <v>0</v>
      </c>
      <c r="F13" s="1"/>
      <c r="G13" s="1"/>
      <c r="H13" s="1">
        <f t="shared" si="0"/>
        <v>0</v>
      </c>
      <c r="I13" s="1"/>
      <c r="J13" s="1"/>
      <c r="K13" s="1"/>
      <c r="L13" s="1"/>
      <c r="M13" s="1" t="str">
        <f>Equal_Pooling_RevB!H26</f>
        <v/>
      </c>
    </row>
    <row r="14" spans="1:13" customFormat="1">
      <c r="A14" s="1">
        <v>13</v>
      </c>
      <c r="B14" s="139"/>
      <c r="C14" s="1">
        <f>prep_table!C14</f>
        <v>0</v>
      </c>
      <c r="D14" s="1">
        <f>prep_table!D14</f>
        <v>0</v>
      </c>
      <c r="E14" s="1">
        <f>prep_table!E14</f>
        <v>0</v>
      </c>
      <c r="F14" s="1"/>
      <c r="G14" s="1"/>
      <c r="H14" s="1">
        <f t="shared" si="0"/>
        <v>0</v>
      </c>
      <c r="I14" s="1"/>
      <c r="J14" s="1"/>
      <c r="K14" s="1"/>
      <c r="L14" s="1"/>
      <c r="M14" s="1" t="str">
        <f>Equal_Pooling_RevB!H27</f>
        <v/>
      </c>
    </row>
    <row r="15" spans="1:13" customFormat="1">
      <c r="A15" s="1">
        <v>14</v>
      </c>
      <c r="B15" s="139"/>
      <c r="C15" s="1">
        <f>prep_table!C15</f>
        <v>0</v>
      </c>
      <c r="D15" s="1">
        <f>prep_table!D15</f>
        <v>0</v>
      </c>
      <c r="E15" s="1">
        <f>prep_table!E15</f>
        <v>0</v>
      </c>
      <c r="F15" s="1"/>
      <c r="G15" s="1"/>
      <c r="H15" s="1">
        <f t="shared" si="0"/>
        <v>0</v>
      </c>
      <c r="I15" s="1"/>
      <c r="J15" s="1"/>
      <c r="K15" s="1"/>
      <c r="L15" s="1"/>
      <c r="M15" s="1" t="str">
        <f>Equal_Pooling_RevB!H28</f>
        <v/>
      </c>
    </row>
    <row r="16" spans="1:13" customFormat="1">
      <c r="A16" s="1">
        <v>15</v>
      </c>
      <c r="B16" s="139"/>
      <c r="C16" s="1">
        <f>prep_table!C16</f>
        <v>0</v>
      </c>
      <c r="D16" s="1">
        <f>prep_table!D16</f>
        <v>0</v>
      </c>
      <c r="E16" s="1">
        <f>prep_table!E16</f>
        <v>0</v>
      </c>
      <c r="F16" s="1"/>
      <c r="G16" s="1"/>
      <c r="H16" s="1">
        <f t="shared" si="0"/>
        <v>0</v>
      </c>
      <c r="I16" s="1"/>
      <c r="J16" s="1"/>
      <c r="K16" s="1"/>
      <c r="L16" s="1"/>
      <c r="M16" s="1" t="str">
        <f>Equal_Pooling_RevB!H29</f>
        <v/>
      </c>
    </row>
    <row r="17" spans="1:26" customFormat="1">
      <c r="A17" s="1">
        <v>16</v>
      </c>
      <c r="B17" s="139"/>
      <c r="C17" s="1">
        <f>prep_table!C17</f>
        <v>0</v>
      </c>
      <c r="D17" s="1">
        <f>prep_table!D17</f>
        <v>0</v>
      </c>
      <c r="E17" s="1">
        <f>prep_table!E17</f>
        <v>0</v>
      </c>
      <c r="F17" s="1"/>
      <c r="G17" s="1"/>
      <c r="H17" s="1">
        <f t="shared" si="0"/>
        <v>0</v>
      </c>
      <c r="I17" s="1"/>
      <c r="J17" s="1"/>
      <c r="K17" s="1"/>
      <c r="L17" s="1"/>
      <c r="M17" s="1" t="str">
        <f>Equal_Pooling_RevB!H30</f>
        <v/>
      </c>
    </row>
    <row r="18" spans="1:26" customFormat="1"/>
    <row r="19" spans="1:26" customFormat="1"/>
    <row r="20" spans="1:26">
      <c r="A20"/>
      <c r="B20"/>
      <c r="C20"/>
      <c r="D20"/>
      <c r="E20"/>
      <c r="F20"/>
      <c r="G20"/>
      <c r="H20"/>
      <c r="I20"/>
      <c r="J20"/>
      <c r="K20"/>
      <c r="L20"/>
      <c r="M20"/>
      <c r="N20"/>
      <c r="O20"/>
      <c r="P20"/>
      <c r="Q20"/>
      <c r="R20"/>
      <c r="S20"/>
      <c r="T20"/>
      <c r="U20"/>
      <c r="V20"/>
      <c r="W20"/>
      <c r="X20"/>
      <c r="Y20"/>
      <c r="Z20"/>
    </row>
    <row r="21" spans="1:26">
      <c r="A21"/>
      <c r="B21"/>
      <c r="C21"/>
      <c r="D21"/>
      <c r="E21"/>
      <c r="F21"/>
      <c r="G21"/>
      <c r="H21"/>
      <c r="I21"/>
      <c r="J21"/>
      <c r="K21"/>
      <c r="L21"/>
      <c r="M21"/>
      <c r="N21"/>
      <c r="O21"/>
      <c r="P21"/>
      <c r="Q21"/>
      <c r="R21"/>
      <c r="S21"/>
      <c r="T21"/>
      <c r="U21"/>
      <c r="V21"/>
      <c r="W21"/>
      <c r="X21"/>
      <c r="Y21"/>
      <c r="Z21"/>
    </row>
    <row r="22" spans="1:26">
      <c r="A22"/>
      <c r="B22"/>
      <c r="C22"/>
      <c r="D22"/>
      <c r="E22"/>
      <c r="F22"/>
      <c r="G22"/>
      <c r="H22"/>
      <c r="I22"/>
      <c r="J22"/>
      <c r="K22"/>
      <c r="L22"/>
      <c r="M22"/>
      <c r="N22"/>
      <c r="O22"/>
      <c r="P22"/>
      <c r="Q22"/>
      <c r="R22"/>
      <c r="S22"/>
      <c r="T22"/>
      <c r="U22"/>
      <c r="V22"/>
      <c r="W22"/>
      <c r="X22"/>
      <c r="Y22"/>
      <c r="Z22"/>
    </row>
    <row r="23" spans="1:26">
      <c r="A23"/>
      <c r="B23"/>
      <c r="C23"/>
      <c r="D23"/>
      <c r="E23"/>
      <c r="F23"/>
      <c r="G23"/>
      <c r="H23"/>
      <c r="I23"/>
      <c r="J23"/>
      <c r="K23"/>
      <c r="L23"/>
      <c r="M23"/>
      <c r="N23"/>
      <c r="O23"/>
      <c r="P23"/>
      <c r="Q23"/>
      <c r="R23"/>
      <c r="S23"/>
      <c r="T23"/>
      <c r="U23"/>
      <c r="V23"/>
      <c r="W23"/>
      <c r="X23"/>
      <c r="Y23"/>
      <c r="Z23"/>
    </row>
    <row r="24" spans="1:26">
      <c r="A24"/>
      <c r="B24"/>
      <c r="C24"/>
      <c r="D24"/>
      <c r="E24"/>
      <c r="F24"/>
      <c r="G24"/>
      <c r="H24"/>
      <c r="I24"/>
      <c r="J24"/>
      <c r="K24"/>
      <c r="L24"/>
      <c r="M24"/>
      <c r="N24"/>
      <c r="O24"/>
      <c r="P24"/>
      <c r="Q24"/>
      <c r="R24"/>
      <c r="S24"/>
      <c r="T24"/>
      <c r="U24"/>
      <c r="V24"/>
      <c r="W24"/>
      <c r="X24"/>
      <c r="Y24"/>
      <c r="Z24"/>
    </row>
    <row r="25" spans="1:26">
      <c r="A25"/>
      <c r="B25"/>
      <c r="C25"/>
      <c r="D25"/>
      <c r="E25"/>
      <c r="F25"/>
      <c r="G25"/>
      <c r="H25"/>
      <c r="I25"/>
      <c r="J25"/>
      <c r="K25"/>
      <c r="L25"/>
      <c r="M25"/>
      <c r="N25"/>
      <c r="O25"/>
      <c r="P25"/>
      <c r="Q25"/>
      <c r="R25"/>
      <c r="S25"/>
      <c r="T25"/>
      <c r="U25"/>
      <c r="V25"/>
      <c r="W25"/>
      <c r="X25"/>
      <c r="Y25"/>
      <c r="Z25"/>
    </row>
    <row r="26" spans="1:26">
      <c r="A26"/>
      <c r="B26"/>
      <c r="C26"/>
      <c r="D26"/>
      <c r="E26"/>
      <c r="F26"/>
      <c r="G26"/>
      <c r="H26"/>
      <c r="I26"/>
      <c r="J26"/>
      <c r="K26"/>
      <c r="L26"/>
      <c r="M26"/>
      <c r="N26"/>
      <c r="O26"/>
      <c r="P26"/>
      <c r="Q26"/>
      <c r="R26"/>
      <c r="S26"/>
      <c r="T26"/>
      <c r="U26"/>
      <c r="V26"/>
      <c r="W26"/>
      <c r="X26"/>
      <c r="Y26"/>
      <c r="Z26"/>
    </row>
    <row r="27" spans="1:26">
      <c r="A27"/>
      <c r="B27"/>
      <c r="C27"/>
      <c r="D27"/>
      <c r="E27"/>
      <c r="F27"/>
      <c r="G27"/>
      <c r="H27"/>
      <c r="I27"/>
      <c r="J27"/>
      <c r="K27"/>
      <c r="L27"/>
      <c r="M27"/>
      <c r="N27"/>
      <c r="O27"/>
      <c r="P27"/>
      <c r="Q27"/>
      <c r="R27"/>
      <c r="S27"/>
      <c r="T27"/>
      <c r="U27"/>
      <c r="V27"/>
      <c r="W27"/>
      <c r="X27"/>
      <c r="Y27"/>
      <c r="Z27"/>
    </row>
    <row r="28" spans="1:26">
      <c r="A28"/>
      <c r="B28"/>
      <c r="C28"/>
      <c r="D28"/>
      <c r="E28"/>
      <c r="F28"/>
      <c r="G28"/>
      <c r="H28"/>
      <c r="I28"/>
      <c r="J28"/>
      <c r="K28"/>
      <c r="L28"/>
      <c r="M28"/>
      <c r="N28"/>
      <c r="O28"/>
      <c r="P28"/>
      <c r="Q28"/>
      <c r="R28"/>
      <c r="S28"/>
      <c r="T28"/>
      <c r="U28"/>
      <c r="V28"/>
      <c r="W28"/>
      <c r="X28"/>
      <c r="Y28"/>
      <c r="Z28"/>
    </row>
    <row r="29" spans="1:26">
      <c r="A29"/>
      <c r="B29"/>
      <c r="C29"/>
      <c r="D29"/>
      <c r="E29"/>
      <c r="F29"/>
      <c r="G29"/>
      <c r="H29"/>
      <c r="I29"/>
      <c r="J29"/>
      <c r="K29"/>
      <c r="L29"/>
      <c r="M29"/>
      <c r="N29"/>
      <c r="O29"/>
      <c r="P29"/>
      <c r="Q29"/>
      <c r="R29"/>
      <c r="S29"/>
      <c r="T29"/>
      <c r="U29"/>
      <c r="V29"/>
      <c r="W29"/>
      <c r="X29"/>
      <c r="Y29"/>
      <c r="Z29"/>
    </row>
    <row r="30" spans="1:26">
      <c r="A30"/>
      <c r="B30"/>
      <c r="C30"/>
      <c r="D30"/>
      <c r="E30"/>
      <c r="F30"/>
      <c r="G30"/>
      <c r="H30"/>
      <c r="I30"/>
      <c r="J30"/>
      <c r="K30"/>
      <c r="L30"/>
      <c r="M30"/>
      <c r="N30"/>
      <c r="O30"/>
      <c r="P30"/>
      <c r="Q30"/>
      <c r="R30"/>
      <c r="S30"/>
      <c r="T30"/>
      <c r="U30"/>
      <c r="V30"/>
      <c r="W30"/>
      <c r="X30"/>
      <c r="Y30"/>
      <c r="Z30"/>
    </row>
    <row r="31" spans="1:26">
      <c r="A31"/>
      <c r="B31"/>
      <c r="C31"/>
      <c r="D31"/>
      <c r="E31"/>
      <c r="F31"/>
      <c r="G31"/>
      <c r="H31"/>
      <c r="I31"/>
      <c r="J31"/>
      <c r="K31"/>
      <c r="L31"/>
      <c r="M31"/>
      <c r="N31"/>
      <c r="O31"/>
      <c r="P31"/>
      <c r="Q31"/>
      <c r="R31"/>
      <c r="S31"/>
      <c r="T31"/>
      <c r="U31"/>
      <c r="V31"/>
      <c r="W31"/>
      <c r="X31"/>
      <c r="Y31"/>
      <c r="Z31"/>
    </row>
    <row r="32" spans="1:26">
      <c r="A32"/>
      <c r="B32"/>
      <c r="C32"/>
      <c r="D32"/>
      <c r="E32"/>
      <c r="F32"/>
      <c r="G32"/>
      <c r="H32"/>
      <c r="I32"/>
      <c r="J32"/>
      <c r="K32"/>
      <c r="L32"/>
      <c r="M32"/>
      <c r="N32"/>
      <c r="O32"/>
      <c r="P32"/>
      <c r="Q32"/>
      <c r="R32"/>
      <c r="S32"/>
      <c r="T32"/>
      <c r="U32"/>
      <c r="V32"/>
      <c r="W32"/>
      <c r="X32"/>
      <c r="Y32"/>
      <c r="Z32"/>
    </row>
    <row r="33" spans="1:26">
      <c r="A33"/>
      <c r="B33"/>
      <c r="C33"/>
      <c r="D33"/>
      <c r="E33"/>
      <c r="F33"/>
      <c r="G33"/>
      <c r="H33"/>
      <c r="I33"/>
      <c r="J33"/>
      <c r="K33"/>
      <c r="L33"/>
      <c r="M33"/>
      <c r="N33"/>
      <c r="O33"/>
      <c r="P33"/>
      <c r="Q33"/>
      <c r="R33"/>
      <c r="S33"/>
      <c r="T33"/>
      <c r="U33"/>
      <c r="V33"/>
      <c r="W33"/>
      <c r="X33"/>
      <c r="Y33"/>
      <c r="Z33"/>
    </row>
    <row r="34" spans="1:26">
      <c r="A34"/>
      <c r="B34"/>
      <c r="C34"/>
      <c r="D34"/>
      <c r="E34"/>
      <c r="F34"/>
      <c r="G34"/>
      <c r="H34"/>
      <c r="I34"/>
      <c r="J34"/>
      <c r="K34"/>
      <c r="L34"/>
      <c r="M34"/>
      <c r="N34"/>
      <c r="O34"/>
      <c r="P34"/>
      <c r="Q34"/>
      <c r="R34"/>
      <c r="S34"/>
      <c r="T34"/>
      <c r="U34"/>
      <c r="V34"/>
      <c r="W34"/>
      <c r="X34"/>
      <c r="Y34"/>
      <c r="Z34"/>
    </row>
    <row r="35" spans="1:26">
      <c r="A35"/>
      <c r="B35"/>
      <c r="C35"/>
      <c r="D35"/>
      <c r="E35"/>
      <c r="F35"/>
      <c r="G35"/>
      <c r="H35"/>
      <c r="I35"/>
      <c r="J35"/>
      <c r="K35"/>
      <c r="L35"/>
      <c r="M35"/>
      <c r="N35"/>
      <c r="O35"/>
      <c r="P35"/>
      <c r="Q35"/>
      <c r="R35"/>
      <c r="S35"/>
      <c r="T35"/>
      <c r="U35"/>
      <c r="V35"/>
      <c r="W35"/>
      <c r="X35"/>
      <c r="Y35"/>
      <c r="Z35"/>
    </row>
    <row r="36" spans="1:26">
      <c r="A36"/>
      <c r="B36"/>
      <c r="C36"/>
      <c r="D36"/>
      <c r="E36"/>
      <c r="F36"/>
      <c r="G36"/>
      <c r="H36"/>
      <c r="I36"/>
      <c r="J36"/>
      <c r="K36"/>
      <c r="L36"/>
      <c r="M36"/>
      <c r="N36"/>
      <c r="O36"/>
      <c r="P36"/>
      <c r="Q36"/>
      <c r="R36"/>
      <c r="S36"/>
      <c r="T36"/>
      <c r="U36"/>
      <c r="V36"/>
      <c r="W36"/>
      <c r="X36"/>
      <c r="Y36"/>
      <c r="Z36"/>
    </row>
    <row r="37" spans="1:26">
      <c r="A37"/>
      <c r="B37"/>
      <c r="C37"/>
      <c r="D37"/>
      <c r="E37"/>
      <c r="F37"/>
      <c r="G37"/>
      <c r="H37"/>
      <c r="I37"/>
      <c r="J37"/>
      <c r="K37"/>
      <c r="L37"/>
      <c r="M37"/>
      <c r="N37"/>
      <c r="O37"/>
      <c r="P37"/>
      <c r="Q37"/>
      <c r="R37"/>
      <c r="S37"/>
      <c r="T37"/>
      <c r="U37"/>
      <c r="V37"/>
      <c r="W37"/>
      <c r="X37"/>
      <c r="Y37"/>
      <c r="Z37"/>
    </row>
    <row r="38" spans="1:26">
      <c r="A38"/>
      <c r="B38"/>
      <c r="C38"/>
      <c r="D38"/>
      <c r="E38"/>
      <c r="F38"/>
      <c r="G38"/>
      <c r="H38"/>
      <c r="I38"/>
      <c r="J38"/>
      <c r="K38"/>
      <c r="L38"/>
      <c r="M38"/>
      <c r="N38"/>
      <c r="O38"/>
      <c r="P38"/>
      <c r="Q38"/>
      <c r="R38"/>
      <c r="S38"/>
      <c r="T38"/>
      <c r="U38"/>
      <c r="V38"/>
      <c r="W38"/>
      <c r="X38"/>
      <c r="Y38"/>
      <c r="Z38"/>
    </row>
    <row r="39" spans="1:26">
      <c r="A39"/>
      <c r="B39"/>
      <c r="C39"/>
      <c r="D39"/>
      <c r="E39"/>
      <c r="F39"/>
      <c r="G39"/>
      <c r="H39"/>
      <c r="I39"/>
      <c r="J39"/>
      <c r="K39"/>
      <c r="L39"/>
      <c r="M39"/>
      <c r="N39"/>
      <c r="O39"/>
      <c r="P39"/>
      <c r="Q39"/>
      <c r="R39"/>
      <c r="S39"/>
      <c r="T39"/>
      <c r="U39"/>
      <c r="V39"/>
      <c r="W39"/>
      <c r="X39"/>
      <c r="Y39"/>
      <c r="Z39"/>
    </row>
    <row r="40" spans="1:26">
      <c r="A40"/>
      <c r="B40"/>
      <c r="C40"/>
      <c r="D40"/>
      <c r="E40"/>
      <c r="F40"/>
      <c r="G40"/>
      <c r="H40"/>
      <c r="I40"/>
      <c r="J40"/>
      <c r="K40"/>
      <c r="L40"/>
      <c r="M40"/>
      <c r="N40"/>
      <c r="O40"/>
      <c r="P40"/>
      <c r="Q40"/>
      <c r="R40"/>
      <c r="S40"/>
      <c r="T40"/>
      <c r="U40"/>
      <c r="V40"/>
      <c r="W40"/>
      <c r="X40"/>
      <c r="Y40"/>
      <c r="Z40"/>
    </row>
    <row r="41" spans="1:26">
      <c r="A41"/>
      <c r="B41"/>
      <c r="C41"/>
      <c r="D41"/>
      <c r="E41"/>
      <c r="F41"/>
      <c r="G41"/>
      <c r="H41"/>
      <c r="I41"/>
      <c r="J41"/>
      <c r="K41"/>
      <c r="L41"/>
      <c r="M41"/>
      <c r="N41"/>
      <c r="O41"/>
      <c r="P41"/>
      <c r="Q41"/>
      <c r="R41"/>
      <c r="S41"/>
      <c r="T41"/>
      <c r="U41"/>
      <c r="V41"/>
      <c r="W41"/>
      <c r="X41"/>
      <c r="Y41"/>
      <c r="Z41"/>
    </row>
    <row r="42" spans="1:26">
      <c r="A42"/>
      <c r="B42"/>
      <c r="C42"/>
      <c r="D42"/>
      <c r="E42"/>
      <c r="F42"/>
      <c r="G42"/>
      <c r="H42"/>
      <c r="I42"/>
      <c r="J42"/>
      <c r="K42"/>
      <c r="L42"/>
      <c r="M42"/>
      <c r="N42"/>
      <c r="O42"/>
      <c r="P42"/>
      <c r="Q42"/>
      <c r="R42"/>
      <c r="S42"/>
      <c r="T42"/>
      <c r="U42"/>
      <c r="V42"/>
      <c r="W42"/>
      <c r="X42"/>
      <c r="Y42"/>
      <c r="Z42"/>
    </row>
    <row r="43" spans="1:26">
      <c r="A43"/>
      <c r="B43"/>
      <c r="C43"/>
      <c r="D43"/>
      <c r="E43"/>
      <c r="F43"/>
      <c r="G43"/>
      <c r="H43"/>
      <c r="I43"/>
      <c r="J43"/>
      <c r="K43"/>
      <c r="L43"/>
      <c r="M43"/>
      <c r="N43"/>
      <c r="O43"/>
      <c r="P43"/>
      <c r="Q43"/>
      <c r="R43"/>
      <c r="S43"/>
      <c r="T43"/>
      <c r="U43"/>
      <c r="V43"/>
      <c r="W43"/>
      <c r="X43"/>
      <c r="Y43"/>
      <c r="Z43"/>
    </row>
    <row r="44" spans="1:26">
      <c r="A44"/>
      <c r="B44"/>
      <c r="C44"/>
      <c r="D44"/>
      <c r="E44"/>
      <c r="F44"/>
      <c r="G44"/>
      <c r="H44"/>
      <c r="I44"/>
      <c r="J44"/>
      <c r="K44"/>
      <c r="L44"/>
      <c r="M44"/>
      <c r="N44"/>
      <c r="O44"/>
      <c r="P44"/>
      <c r="Q44"/>
      <c r="R44"/>
      <c r="S44"/>
      <c r="T44"/>
      <c r="U44"/>
      <c r="V44"/>
      <c r="W44"/>
      <c r="X44"/>
      <c r="Y44"/>
      <c r="Z44"/>
    </row>
    <row r="45" spans="1:26">
      <c r="A45"/>
      <c r="B45"/>
      <c r="C45"/>
      <c r="D45"/>
      <c r="E45"/>
      <c r="F45"/>
      <c r="G45"/>
      <c r="H45"/>
      <c r="I45"/>
      <c r="J45"/>
      <c r="K45"/>
      <c r="L45"/>
      <c r="M45"/>
      <c r="N45"/>
      <c r="O45"/>
      <c r="P45"/>
      <c r="Q45"/>
      <c r="R45"/>
      <c r="S45"/>
      <c r="T45"/>
      <c r="U45"/>
      <c r="V45"/>
      <c r="W45"/>
      <c r="X45"/>
      <c r="Y45"/>
      <c r="Z45"/>
    </row>
    <row r="46" spans="1:26">
      <c r="A46"/>
      <c r="B46"/>
      <c r="C46"/>
      <c r="D46"/>
      <c r="E46"/>
      <c r="F46"/>
      <c r="G46"/>
      <c r="H46"/>
      <c r="I46"/>
      <c r="J46"/>
      <c r="K46"/>
      <c r="L46"/>
      <c r="M46"/>
      <c r="N46"/>
      <c r="O46"/>
      <c r="P46"/>
      <c r="Q46"/>
      <c r="R46"/>
      <c r="S46"/>
      <c r="T46"/>
      <c r="U46"/>
      <c r="V46"/>
      <c r="W46"/>
      <c r="X46"/>
      <c r="Y46"/>
      <c r="Z46"/>
    </row>
    <row r="47" spans="1:26">
      <c r="A47"/>
      <c r="B47"/>
      <c r="C47"/>
      <c r="D47"/>
      <c r="E47"/>
      <c r="F47"/>
      <c r="G47"/>
      <c r="H47"/>
      <c r="I47"/>
      <c r="J47"/>
      <c r="K47"/>
      <c r="L47"/>
      <c r="M47"/>
      <c r="N47"/>
      <c r="O47"/>
      <c r="P47"/>
      <c r="Q47"/>
      <c r="R47"/>
      <c r="S47"/>
      <c r="T47"/>
      <c r="U47"/>
      <c r="V47"/>
      <c r="W47"/>
      <c r="X47"/>
      <c r="Y47"/>
      <c r="Z47"/>
    </row>
    <row r="48" spans="1:26">
      <c r="A48"/>
      <c r="B48"/>
      <c r="C48"/>
      <c r="D48"/>
      <c r="E48"/>
      <c r="F48"/>
      <c r="G48"/>
      <c r="H48"/>
      <c r="I48"/>
      <c r="J48"/>
      <c r="K48"/>
      <c r="L48"/>
      <c r="M48"/>
      <c r="N48"/>
      <c r="O48"/>
      <c r="P48"/>
      <c r="Q48"/>
      <c r="R48"/>
      <c r="S48"/>
      <c r="T48"/>
      <c r="U48"/>
      <c r="V48"/>
      <c r="W48"/>
      <c r="X48"/>
      <c r="Y48"/>
      <c r="Z48"/>
    </row>
    <row r="49" spans="1:26">
      <c r="A49"/>
      <c r="B49"/>
      <c r="C49"/>
      <c r="D49"/>
      <c r="E49"/>
      <c r="F49"/>
      <c r="G49"/>
      <c r="H49"/>
      <c r="I49"/>
      <c r="J49"/>
      <c r="K49"/>
      <c r="L49"/>
      <c r="M49"/>
      <c r="N49"/>
      <c r="O49"/>
      <c r="P49"/>
      <c r="Q49"/>
      <c r="R49"/>
      <c r="S49"/>
      <c r="T49"/>
      <c r="U49"/>
      <c r="V49"/>
      <c r="W49"/>
      <c r="X49"/>
      <c r="Y49"/>
      <c r="Z49"/>
    </row>
    <row r="50" spans="1:26">
      <c r="A50"/>
      <c r="B50"/>
      <c r="C50"/>
      <c r="D50"/>
      <c r="E50"/>
      <c r="F50"/>
      <c r="G50"/>
      <c r="H50"/>
      <c r="I50"/>
      <c r="J50"/>
      <c r="K50"/>
      <c r="L50"/>
      <c r="M50"/>
      <c r="N50"/>
      <c r="O50"/>
      <c r="P50"/>
      <c r="Q50"/>
      <c r="R50"/>
      <c r="S50"/>
      <c r="T50"/>
      <c r="U50"/>
      <c r="V50"/>
      <c r="W50"/>
      <c r="X50"/>
      <c r="Y50"/>
      <c r="Z50"/>
    </row>
    <row r="51" spans="1:26">
      <c r="A51"/>
      <c r="B51"/>
      <c r="C51"/>
      <c r="D51"/>
      <c r="E51"/>
      <c r="F51"/>
      <c r="G51"/>
      <c r="H51"/>
      <c r="I51"/>
      <c r="J51"/>
      <c r="K51"/>
      <c r="L51"/>
      <c r="M51"/>
      <c r="N51"/>
      <c r="O51"/>
      <c r="P51"/>
      <c r="Q51"/>
      <c r="R51"/>
      <c r="S51"/>
      <c r="T51"/>
      <c r="U51"/>
      <c r="V51"/>
      <c r="W51"/>
      <c r="X51"/>
      <c r="Y51"/>
      <c r="Z51"/>
    </row>
    <row r="52" spans="1:26">
      <c r="A52"/>
      <c r="B52"/>
      <c r="C52"/>
      <c r="D52"/>
      <c r="E52"/>
      <c r="F52"/>
      <c r="G52"/>
      <c r="H52"/>
      <c r="I52"/>
      <c r="J52"/>
      <c r="K52"/>
      <c r="L52"/>
      <c r="M52"/>
      <c r="N52"/>
      <c r="O52"/>
      <c r="P52"/>
      <c r="Q52"/>
      <c r="R52"/>
      <c r="S52"/>
      <c r="T52"/>
      <c r="U52"/>
      <c r="V52"/>
      <c r="W52"/>
      <c r="X52"/>
      <c r="Y52"/>
      <c r="Z52"/>
    </row>
    <row r="53" spans="1:26">
      <c r="A53"/>
      <c r="B53"/>
      <c r="C53"/>
      <c r="D53"/>
      <c r="E53"/>
      <c r="F53"/>
      <c r="G53"/>
      <c r="H53"/>
      <c r="I53"/>
      <c r="J53"/>
      <c r="K53"/>
      <c r="L53"/>
      <c r="M53"/>
      <c r="N53"/>
      <c r="O53"/>
      <c r="P53"/>
      <c r="Q53"/>
      <c r="R53"/>
      <c r="S53"/>
      <c r="T53"/>
      <c r="U53"/>
      <c r="V53"/>
      <c r="W53"/>
      <c r="X53"/>
      <c r="Y53"/>
      <c r="Z53"/>
    </row>
    <row r="54" spans="1:26">
      <c r="A54"/>
      <c r="B54"/>
      <c r="C54"/>
      <c r="D54"/>
      <c r="E54"/>
      <c r="F54"/>
      <c r="G54"/>
      <c r="H54"/>
      <c r="I54"/>
      <c r="J54"/>
      <c r="K54"/>
      <c r="L54"/>
      <c r="M54"/>
      <c r="N54"/>
      <c r="O54"/>
      <c r="P54"/>
      <c r="Q54"/>
      <c r="R54"/>
      <c r="S54"/>
      <c r="T54"/>
      <c r="U54"/>
      <c r="V54"/>
      <c r="W54"/>
      <c r="X54"/>
      <c r="Y54"/>
      <c r="Z54"/>
    </row>
    <row r="55" spans="1:26">
      <c r="A55"/>
      <c r="B55"/>
      <c r="C55"/>
      <c r="D55"/>
      <c r="E55"/>
      <c r="F55"/>
      <c r="G55"/>
      <c r="H55"/>
      <c r="I55"/>
      <c r="J55"/>
      <c r="K55"/>
      <c r="L55"/>
      <c r="M55"/>
      <c r="N55"/>
      <c r="O55"/>
      <c r="P55"/>
      <c r="Q55"/>
      <c r="R55"/>
      <c r="S55"/>
      <c r="T55"/>
      <c r="U55"/>
      <c r="V55"/>
      <c r="W55"/>
      <c r="X55"/>
      <c r="Y55"/>
      <c r="Z55"/>
    </row>
    <row r="56" spans="1:26">
      <c r="A56"/>
      <c r="B56"/>
      <c r="C56"/>
      <c r="D56"/>
      <c r="E56"/>
      <c r="F56"/>
      <c r="G56"/>
      <c r="H56"/>
      <c r="I56"/>
      <c r="J56"/>
      <c r="K56"/>
      <c r="L56"/>
      <c r="M56"/>
      <c r="N56"/>
      <c r="O56"/>
      <c r="P56"/>
      <c r="Q56"/>
      <c r="R56"/>
      <c r="S56"/>
      <c r="T56"/>
      <c r="U56"/>
      <c r="V56"/>
      <c r="W56"/>
      <c r="X56"/>
      <c r="Y56"/>
      <c r="Z56"/>
    </row>
    <row r="57" spans="1:26">
      <c r="A57"/>
      <c r="B57"/>
      <c r="C57"/>
      <c r="D57"/>
      <c r="E57"/>
      <c r="F57"/>
      <c r="G57"/>
      <c r="H57"/>
      <c r="I57"/>
      <c r="J57"/>
      <c r="K57"/>
      <c r="L57"/>
      <c r="M57"/>
      <c r="N57"/>
      <c r="O57"/>
      <c r="P57"/>
      <c r="Q57"/>
      <c r="R57"/>
      <c r="S57"/>
      <c r="T57"/>
      <c r="U57"/>
      <c r="V57"/>
      <c r="W57"/>
      <c r="X57"/>
      <c r="Y57"/>
      <c r="Z57"/>
    </row>
    <row r="58" spans="1:26">
      <c r="A58"/>
      <c r="B58"/>
      <c r="C58"/>
      <c r="D58"/>
      <c r="E58"/>
      <c r="F58"/>
      <c r="G58"/>
      <c r="H58"/>
      <c r="I58"/>
      <c r="J58"/>
      <c r="K58"/>
      <c r="L58"/>
      <c r="M58"/>
      <c r="N58"/>
      <c r="O58"/>
      <c r="P58"/>
      <c r="Q58"/>
      <c r="R58"/>
      <c r="S58"/>
      <c r="T58"/>
      <c r="U58"/>
      <c r="V58"/>
      <c r="W58"/>
      <c r="X58"/>
      <c r="Y58"/>
      <c r="Z58"/>
    </row>
    <row r="59" spans="1:26">
      <c r="A59"/>
      <c r="B59"/>
      <c r="C59"/>
      <c r="D59"/>
      <c r="E59"/>
      <c r="F59"/>
      <c r="G59"/>
      <c r="H59"/>
      <c r="I59"/>
      <c r="J59"/>
      <c r="K59"/>
      <c r="L59"/>
      <c r="M59"/>
      <c r="N59"/>
      <c r="O59"/>
      <c r="P59"/>
      <c r="Q59"/>
      <c r="R59"/>
      <c r="S59"/>
      <c r="T59"/>
      <c r="U59"/>
      <c r="V59"/>
      <c r="W59"/>
      <c r="X59"/>
      <c r="Y59"/>
      <c r="Z59"/>
    </row>
    <row r="60" spans="1:26">
      <c r="A60"/>
      <c r="B60"/>
      <c r="C60"/>
      <c r="D60"/>
      <c r="E60"/>
      <c r="F60"/>
      <c r="G60"/>
      <c r="H60"/>
      <c r="I60"/>
      <c r="J60"/>
      <c r="K60"/>
      <c r="L60"/>
      <c r="M60"/>
      <c r="N60"/>
      <c r="O60"/>
      <c r="P60"/>
      <c r="Q60"/>
      <c r="R60"/>
      <c r="S60"/>
      <c r="T60"/>
      <c r="U60"/>
      <c r="V60"/>
      <c r="W60"/>
      <c r="X60"/>
      <c r="Y60"/>
      <c r="Z60"/>
    </row>
    <row r="61" spans="1:26">
      <c r="A61"/>
      <c r="B61"/>
      <c r="C61"/>
      <c r="D61"/>
      <c r="E61"/>
      <c r="F61"/>
      <c r="G61"/>
      <c r="H61"/>
      <c r="I61"/>
      <c r="J61"/>
      <c r="K61"/>
      <c r="L61"/>
      <c r="M61"/>
      <c r="N61"/>
      <c r="O61"/>
      <c r="P61"/>
      <c r="Q61"/>
      <c r="R61"/>
      <c r="S61"/>
      <c r="T61"/>
      <c r="U61"/>
      <c r="V61"/>
      <c r="W61"/>
      <c r="X61"/>
      <c r="Y61"/>
      <c r="Z61"/>
    </row>
    <row r="62" spans="1:26">
      <c r="A62"/>
      <c r="B62"/>
      <c r="C62"/>
      <c r="D62"/>
      <c r="E62"/>
      <c r="F62"/>
      <c r="G62"/>
      <c r="H62"/>
      <c r="I62"/>
      <c r="J62"/>
      <c r="K62"/>
      <c r="L62"/>
      <c r="M62"/>
      <c r="N62"/>
      <c r="O62"/>
      <c r="P62"/>
      <c r="Q62"/>
      <c r="R62"/>
      <c r="S62"/>
      <c r="T62"/>
      <c r="U62"/>
      <c r="V62"/>
      <c r="W62"/>
      <c r="X62"/>
      <c r="Y62"/>
      <c r="Z62"/>
    </row>
    <row r="63" spans="1:26">
      <c r="A63"/>
      <c r="B63"/>
      <c r="C63"/>
      <c r="D63"/>
      <c r="E63"/>
      <c r="F63"/>
      <c r="G63"/>
      <c r="H63"/>
      <c r="I63"/>
      <c r="J63"/>
      <c r="K63"/>
      <c r="L63"/>
      <c r="M63"/>
      <c r="N63"/>
      <c r="O63"/>
      <c r="P63"/>
      <c r="Q63"/>
      <c r="R63"/>
      <c r="S63"/>
      <c r="T63"/>
      <c r="U63"/>
      <c r="V63"/>
      <c r="W63"/>
      <c r="X63"/>
      <c r="Y63"/>
      <c r="Z63"/>
    </row>
    <row r="64" spans="1:26">
      <c r="A64"/>
      <c r="B64"/>
      <c r="C64"/>
      <c r="D64"/>
      <c r="E64"/>
      <c r="F64"/>
      <c r="G64"/>
      <c r="H64"/>
      <c r="I64"/>
      <c r="J64"/>
      <c r="K64"/>
      <c r="L64"/>
      <c r="M64"/>
      <c r="N64"/>
      <c r="O64"/>
      <c r="P64"/>
      <c r="Q64"/>
      <c r="R64"/>
      <c r="S64"/>
      <c r="T64"/>
      <c r="U64"/>
      <c r="V64"/>
      <c r="W64"/>
      <c r="X64"/>
      <c r="Y64"/>
      <c r="Z64"/>
    </row>
    <row r="65" spans="1:26">
      <c r="A65"/>
      <c r="B65"/>
      <c r="C65"/>
      <c r="D65"/>
      <c r="E65"/>
      <c r="F65"/>
      <c r="G65"/>
      <c r="H65"/>
      <c r="I65"/>
      <c r="J65"/>
      <c r="K65"/>
      <c r="L65"/>
      <c r="M65"/>
      <c r="N65"/>
      <c r="O65"/>
      <c r="P65"/>
      <c r="Q65"/>
      <c r="R65"/>
      <c r="S65"/>
      <c r="T65"/>
      <c r="U65"/>
      <c r="V65"/>
      <c r="W65"/>
      <c r="X65"/>
      <c r="Y65"/>
      <c r="Z65"/>
    </row>
    <row r="66" spans="1:26">
      <c r="A66"/>
      <c r="B66"/>
      <c r="C66"/>
      <c r="D66"/>
      <c r="E66"/>
      <c r="F66"/>
      <c r="G66"/>
      <c r="H66"/>
      <c r="I66"/>
      <c r="J66"/>
      <c r="K66"/>
      <c r="L66"/>
      <c r="M66"/>
      <c r="N66"/>
      <c r="O66"/>
      <c r="P66"/>
      <c r="Q66"/>
      <c r="R66"/>
      <c r="S66"/>
      <c r="T66"/>
      <c r="U66"/>
      <c r="V66"/>
      <c r="W66"/>
      <c r="X66"/>
      <c r="Y66"/>
      <c r="Z66"/>
    </row>
    <row r="67" spans="1:26">
      <c r="A67"/>
      <c r="B67"/>
      <c r="C67"/>
      <c r="D67"/>
      <c r="E67"/>
      <c r="F67"/>
      <c r="G67"/>
      <c r="H67"/>
      <c r="I67"/>
      <c r="J67"/>
      <c r="K67"/>
      <c r="L67"/>
      <c r="M67"/>
      <c r="N67"/>
      <c r="O67"/>
      <c r="P67"/>
      <c r="Q67"/>
      <c r="R67"/>
      <c r="S67"/>
      <c r="T67"/>
      <c r="U67"/>
      <c r="V67"/>
      <c r="W67"/>
      <c r="X67"/>
      <c r="Y67"/>
      <c r="Z67"/>
    </row>
    <row r="68" spans="1:26">
      <c r="A68"/>
      <c r="B68"/>
      <c r="C68"/>
      <c r="D68"/>
      <c r="E68"/>
      <c r="F68"/>
      <c r="G68"/>
      <c r="H68"/>
      <c r="I68"/>
      <c r="J68"/>
      <c r="K68"/>
      <c r="L68"/>
      <c r="M68"/>
      <c r="N68"/>
      <c r="O68"/>
      <c r="P68"/>
      <c r="Q68"/>
      <c r="R68"/>
      <c r="S68"/>
      <c r="T68"/>
      <c r="U68"/>
      <c r="V68"/>
      <c r="W68"/>
      <c r="X68"/>
      <c r="Y68"/>
      <c r="Z68"/>
    </row>
    <row r="69" spans="1:26">
      <c r="A69"/>
      <c r="B69"/>
      <c r="C69"/>
      <c r="D69"/>
      <c r="E69"/>
      <c r="F69"/>
      <c r="G69"/>
      <c r="H69"/>
      <c r="I69"/>
      <c r="J69"/>
      <c r="K69"/>
      <c r="L69"/>
      <c r="M69"/>
      <c r="N69"/>
      <c r="O69"/>
      <c r="P69"/>
      <c r="Q69"/>
      <c r="R69"/>
      <c r="S69"/>
      <c r="T69"/>
      <c r="U69"/>
      <c r="V69"/>
      <c r="W69"/>
      <c r="X69"/>
      <c r="Y69"/>
      <c r="Z69"/>
    </row>
    <row r="70" spans="1:26">
      <c r="A70"/>
      <c r="B70"/>
      <c r="C70"/>
      <c r="D70"/>
      <c r="E70"/>
      <c r="F70"/>
      <c r="G70"/>
      <c r="H70"/>
      <c r="I70"/>
      <c r="J70"/>
      <c r="K70"/>
      <c r="L70"/>
      <c r="M70"/>
      <c r="N70"/>
      <c r="O70"/>
      <c r="P70"/>
      <c r="Q70"/>
      <c r="R70"/>
      <c r="S70"/>
      <c r="T70"/>
      <c r="U70"/>
      <c r="V70"/>
      <c r="W70"/>
      <c r="X70"/>
      <c r="Y70"/>
      <c r="Z70"/>
    </row>
    <row r="71" spans="1:26">
      <c r="A71"/>
      <c r="B71"/>
      <c r="C71"/>
      <c r="D71"/>
      <c r="E71"/>
      <c r="F71"/>
      <c r="G71"/>
      <c r="H71"/>
      <c r="I71"/>
      <c r="J71"/>
      <c r="K71"/>
      <c r="L71"/>
      <c r="M71"/>
      <c r="N71"/>
      <c r="O71"/>
      <c r="P71"/>
      <c r="Q71"/>
      <c r="R71"/>
      <c r="S71"/>
      <c r="T71"/>
      <c r="U71"/>
      <c r="V71"/>
      <c r="W71"/>
      <c r="X71"/>
      <c r="Y71"/>
      <c r="Z71"/>
    </row>
    <row r="72" spans="1:26">
      <c r="A72"/>
      <c r="B72"/>
      <c r="C72"/>
      <c r="D72"/>
      <c r="E72"/>
      <c r="F72"/>
      <c r="G72"/>
      <c r="H72"/>
      <c r="I72"/>
      <c r="J72"/>
      <c r="K72"/>
      <c r="L72"/>
      <c r="M72"/>
      <c r="N72"/>
      <c r="O72"/>
      <c r="P72"/>
      <c r="Q72"/>
      <c r="R72"/>
      <c r="S72"/>
      <c r="T72"/>
      <c r="U72"/>
      <c r="V72"/>
      <c r="W72"/>
      <c r="X72"/>
      <c r="Y72"/>
      <c r="Z72"/>
    </row>
    <row r="73" spans="1:26">
      <c r="A73"/>
      <c r="B73"/>
      <c r="C73"/>
      <c r="D73"/>
      <c r="E73"/>
      <c r="F73"/>
      <c r="G73"/>
      <c r="H73"/>
      <c r="I73"/>
      <c r="J73"/>
      <c r="K73"/>
      <c r="L73"/>
      <c r="M73"/>
      <c r="N73"/>
      <c r="O73"/>
      <c r="P73"/>
      <c r="Q73"/>
      <c r="R73"/>
      <c r="S73"/>
      <c r="T73"/>
      <c r="U73"/>
      <c r="V73"/>
      <c r="W73"/>
      <c r="X73"/>
      <c r="Y73"/>
      <c r="Z73"/>
    </row>
    <row r="74" spans="1:26">
      <c r="A74"/>
      <c r="B74"/>
      <c r="C74"/>
      <c r="D74"/>
      <c r="E74"/>
      <c r="F74"/>
      <c r="G74"/>
      <c r="H74"/>
      <c r="I74"/>
      <c r="J74"/>
      <c r="K74"/>
      <c r="L74"/>
      <c r="M74"/>
      <c r="N74"/>
      <c r="O74"/>
      <c r="P74"/>
      <c r="Q74"/>
      <c r="R74"/>
      <c r="S74"/>
      <c r="T74"/>
      <c r="U74"/>
      <c r="V74"/>
      <c r="W74"/>
      <c r="X74"/>
      <c r="Y74"/>
      <c r="Z74"/>
    </row>
    <row r="75" spans="1:26">
      <c r="A75"/>
      <c r="B75"/>
      <c r="C75"/>
      <c r="D75"/>
      <c r="E75"/>
      <c r="F75"/>
      <c r="G75"/>
      <c r="H75"/>
      <c r="I75"/>
      <c r="J75"/>
      <c r="K75"/>
      <c r="L75"/>
      <c r="M75"/>
      <c r="N75"/>
      <c r="O75"/>
      <c r="P75"/>
      <c r="Q75"/>
      <c r="R75"/>
      <c r="S75"/>
      <c r="T75"/>
      <c r="U75"/>
      <c r="V75"/>
      <c r="W75"/>
      <c r="X75"/>
      <c r="Y75"/>
      <c r="Z75"/>
    </row>
    <row r="76" spans="1:26">
      <c r="A76"/>
      <c r="B76"/>
      <c r="C76"/>
      <c r="D76"/>
      <c r="E76"/>
      <c r="F76"/>
      <c r="G76"/>
      <c r="H76"/>
      <c r="I76"/>
      <c r="J76"/>
      <c r="K76"/>
      <c r="L76"/>
      <c r="M76"/>
      <c r="N76"/>
      <c r="O76"/>
      <c r="P76"/>
      <c r="Q76"/>
      <c r="R76"/>
      <c r="S76"/>
      <c r="T76"/>
      <c r="U76"/>
      <c r="V76"/>
      <c r="W76"/>
      <c r="X76"/>
      <c r="Y76"/>
      <c r="Z76"/>
    </row>
    <row r="77" spans="1:26">
      <c r="A77"/>
      <c r="B77"/>
      <c r="C77"/>
      <c r="D77"/>
      <c r="E77"/>
      <c r="F77"/>
      <c r="G77"/>
      <c r="H77"/>
      <c r="I77"/>
      <c r="J77"/>
      <c r="K77"/>
      <c r="L77"/>
      <c r="M77"/>
      <c r="N77"/>
      <c r="O77"/>
      <c r="P77"/>
      <c r="Q77"/>
      <c r="R77"/>
      <c r="S77"/>
      <c r="T77"/>
      <c r="U77"/>
      <c r="V77"/>
      <c r="W77"/>
      <c r="X77"/>
      <c r="Y77"/>
      <c r="Z77"/>
    </row>
    <row r="78" spans="1:26">
      <c r="A78"/>
      <c r="B78"/>
      <c r="C78"/>
      <c r="D78"/>
      <c r="E78"/>
      <c r="F78"/>
      <c r="G78"/>
      <c r="H78"/>
      <c r="I78"/>
      <c r="J78"/>
      <c r="K78"/>
      <c r="L78"/>
      <c r="M78"/>
      <c r="N78"/>
      <c r="O78"/>
      <c r="P78"/>
      <c r="Q78"/>
      <c r="R78"/>
      <c r="S78"/>
      <c r="T78"/>
      <c r="U78"/>
      <c r="V78"/>
      <c r="W78"/>
      <c r="X78"/>
      <c r="Y78"/>
      <c r="Z78"/>
    </row>
    <row r="79" spans="1:26">
      <c r="A79"/>
      <c r="B79"/>
      <c r="C79"/>
      <c r="D79"/>
      <c r="E79"/>
      <c r="F79"/>
      <c r="G79"/>
      <c r="H79"/>
      <c r="I79"/>
      <c r="J79"/>
      <c r="K79"/>
      <c r="L79"/>
      <c r="M79"/>
      <c r="N79"/>
      <c r="O79"/>
      <c r="P79"/>
      <c r="Q79"/>
      <c r="R79"/>
      <c r="S79"/>
      <c r="T79"/>
      <c r="U79"/>
      <c r="V79"/>
      <c r="W79"/>
      <c r="X79"/>
      <c r="Y79"/>
      <c r="Z79"/>
    </row>
    <row r="80" spans="1:26">
      <c r="A80"/>
      <c r="B80"/>
      <c r="C80"/>
      <c r="D80"/>
      <c r="E80"/>
      <c r="F80"/>
      <c r="G80"/>
      <c r="H80"/>
      <c r="I80"/>
      <c r="J80"/>
      <c r="K80"/>
      <c r="L80"/>
      <c r="M80"/>
      <c r="N80"/>
      <c r="O80"/>
      <c r="P80"/>
      <c r="Q80"/>
      <c r="R80"/>
      <c r="S80"/>
      <c r="T80"/>
      <c r="U80"/>
      <c r="V80"/>
      <c r="W80"/>
      <c r="X80"/>
      <c r="Y80"/>
      <c r="Z80"/>
    </row>
    <row r="81" spans="1:27">
      <c r="A81"/>
      <c r="B81"/>
      <c r="C81"/>
      <c r="D81"/>
      <c r="E81"/>
      <c r="F81"/>
      <c r="G81"/>
      <c r="H81"/>
      <c r="I81"/>
      <c r="J81"/>
      <c r="K81"/>
      <c r="L81"/>
      <c r="M81"/>
      <c r="N81"/>
      <c r="O81"/>
      <c r="P81"/>
      <c r="Q81"/>
      <c r="R81"/>
      <c r="S81"/>
      <c r="T81"/>
      <c r="U81"/>
      <c r="V81"/>
      <c r="W81"/>
      <c r="X81"/>
      <c r="Y81"/>
      <c r="Z81"/>
    </row>
    <row r="82" spans="1:27">
      <c r="A82"/>
      <c r="B82"/>
      <c r="C82"/>
      <c r="D82"/>
      <c r="E82"/>
      <c r="F82"/>
      <c r="G82"/>
      <c r="H82"/>
      <c r="I82"/>
      <c r="J82"/>
      <c r="K82"/>
      <c r="L82"/>
      <c r="M82"/>
      <c r="N82"/>
      <c r="O82"/>
      <c r="P82"/>
      <c r="Q82"/>
      <c r="R82"/>
      <c r="S82"/>
      <c r="T82"/>
      <c r="U82"/>
      <c r="V82"/>
      <c r="W82"/>
      <c r="X82"/>
      <c r="Y82"/>
      <c r="Z82"/>
    </row>
    <row r="83" spans="1:27">
      <c r="A83"/>
      <c r="B83"/>
      <c r="C83"/>
      <c r="D83"/>
      <c r="E83"/>
      <c r="F83"/>
      <c r="G83"/>
      <c r="H83"/>
      <c r="I83"/>
      <c r="J83"/>
      <c r="K83"/>
      <c r="L83"/>
      <c r="M83"/>
      <c r="N83"/>
      <c r="O83"/>
      <c r="P83"/>
      <c r="Q83"/>
      <c r="R83"/>
      <c r="S83"/>
      <c r="T83"/>
      <c r="U83"/>
      <c r="V83"/>
      <c r="W83"/>
      <c r="X83"/>
      <c r="Y83"/>
      <c r="Z83"/>
    </row>
    <row r="84" spans="1:27">
      <c r="A84"/>
      <c r="B84"/>
      <c r="C84"/>
      <c r="D84"/>
      <c r="E84"/>
      <c r="F84"/>
      <c r="G84"/>
      <c r="H84"/>
      <c r="I84"/>
      <c r="J84"/>
      <c r="K84"/>
      <c r="L84"/>
      <c r="M84"/>
      <c r="N84"/>
      <c r="O84"/>
      <c r="P84"/>
      <c r="Q84"/>
      <c r="R84"/>
      <c r="S84"/>
      <c r="T84"/>
      <c r="U84"/>
      <c r="V84"/>
      <c r="W84"/>
      <c r="X84"/>
      <c r="Y84"/>
      <c r="Z84"/>
    </row>
    <row r="85" spans="1:27">
      <c r="A85"/>
      <c r="B85"/>
      <c r="C85"/>
      <c r="D85"/>
      <c r="E85"/>
      <c r="F85"/>
      <c r="G85"/>
      <c r="H85"/>
      <c r="I85"/>
      <c r="J85"/>
      <c r="K85"/>
      <c r="L85"/>
      <c r="M85"/>
      <c r="N85"/>
      <c r="O85"/>
      <c r="P85"/>
      <c r="Q85"/>
      <c r="R85"/>
      <c r="S85"/>
      <c r="T85"/>
      <c r="U85"/>
      <c r="V85"/>
      <c r="W85"/>
      <c r="X85"/>
      <c r="Y85"/>
      <c r="Z85"/>
    </row>
    <row r="86" spans="1:27">
      <c r="A86"/>
      <c r="B86"/>
      <c r="C86"/>
      <c r="D86"/>
      <c r="E86"/>
      <c r="F86"/>
      <c r="G86"/>
      <c r="H86"/>
      <c r="I86"/>
      <c r="J86"/>
      <c r="K86"/>
      <c r="L86"/>
      <c r="M86"/>
      <c r="N86"/>
      <c r="O86"/>
      <c r="P86"/>
      <c r="Q86"/>
      <c r="R86"/>
      <c r="S86"/>
      <c r="T86"/>
      <c r="U86"/>
      <c r="V86"/>
      <c r="W86"/>
      <c r="X86"/>
      <c r="Y86"/>
      <c r="Z86"/>
    </row>
    <row r="87" spans="1:27">
      <c r="A87"/>
      <c r="B87"/>
      <c r="C87"/>
      <c r="D87"/>
      <c r="E87"/>
      <c r="F87"/>
      <c r="G87"/>
      <c r="H87"/>
      <c r="I87"/>
      <c r="J87"/>
      <c r="K87"/>
      <c r="L87"/>
      <c r="M87"/>
      <c r="N87"/>
      <c r="O87"/>
      <c r="P87"/>
      <c r="Q87"/>
      <c r="R87"/>
      <c r="S87"/>
      <c r="T87"/>
      <c r="U87"/>
      <c r="V87"/>
      <c r="W87"/>
      <c r="X87"/>
      <c r="Y87"/>
      <c r="Z87"/>
    </row>
    <row r="88" spans="1:27">
      <c r="A88"/>
      <c r="B88"/>
      <c r="C88"/>
      <c r="D88"/>
      <c r="E88"/>
      <c r="F88"/>
      <c r="G88"/>
      <c r="H88"/>
      <c r="I88"/>
      <c r="J88"/>
      <c r="K88"/>
      <c r="L88"/>
      <c r="M88"/>
      <c r="N88"/>
      <c r="O88"/>
      <c r="P88"/>
      <c r="Q88"/>
      <c r="R88"/>
      <c r="S88"/>
      <c r="T88"/>
      <c r="U88"/>
      <c r="V88"/>
      <c r="W88"/>
      <c r="X88"/>
      <c r="Y88"/>
      <c r="Z88"/>
    </row>
    <row r="89" spans="1:27">
      <c r="A89"/>
      <c r="B89"/>
      <c r="C89"/>
      <c r="D89"/>
      <c r="E89"/>
      <c r="F89"/>
      <c r="G89"/>
      <c r="H89"/>
      <c r="I89"/>
      <c r="J89"/>
      <c r="K89"/>
      <c r="L89"/>
      <c r="M89"/>
      <c r="N89"/>
      <c r="O89"/>
      <c r="P89"/>
      <c r="Q89"/>
      <c r="R89"/>
      <c r="S89"/>
      <c r="T89"/>
      <c r="U89"/>
      <c r="V89"/>
      <c r="W89"/>
      <c r="X89"/>
      <c r="Y89"/>
      <c r="Z89"/>
    </row>
    <row r="90" spans="1:27">
      <c r="A90"/>
      <c r="B90"/>
      <c r="C90"/>
      <c r="D90"/>
      <c r="E90"/>
      <c r="F90"/>
      <c r="G90"/>
      <c r="H90"/>
      <c r="I90"/>
      <c r="J90"/>
      <c r="K90"/>
      <c r="L90"/>
      <c r="M90"/>
      <c r="N90"/>
      <c r="O90"/>
      <c r="P90"/>
      <c r="Q90"/>
      <c r="R90"/>
      <c r="S90"/>
      <c r="T90"/>
      <c r="U90"/>
      <c r="V90"/>
      <c r="W90"/>
      <c r="X90"/>
      <c r="Y90"/>
      <c r="Z90"/>
      <c r="AA90"/>
    </row>
    <row r="91" spans="1:27">
      <c r="A91"/>
      <c r="B91"/>
      <c r="C91"/>
      <c r="D91"/>
      <c r="E91"/>
      <c r="F91"/>
      <c r="G91"/>
      <c r="H91"/>
      <c r="I91"/>
      <c r="J91"/>
      <c r="K91"/>
      <c r="L91"/>
      <c r="M91"/>
      <c r="N91"/>
      <c r="O91"/>
      <c r="P91"/>
      <c r="Q91"/>
      <c r="R91"/>
      <c r="S91"/>
      <c r="T91"/>
      <c r="U91"/>
      <c r="V91"/>
      <c r="W91"/>
      <c r="X91"/>
      <c r="Y91"/>
      <c r="Z91"/>
      <c r="AA91"/>
    </row>
    <row r="92" spans="1:27">
      <c r="A92"/>
      <c r="B92"/>
      <c r="C92"/>
      <c r="D92"/>
      <c r="E92"/>
      <c r="F92"/>
      <c r="G92"/>
      <c r="H92"/>
      <c r="I92"/>
      <c r="J92"/>
      <c r="K92"/>
      <c r="L92"/>
      <c r="M92"/>
      <c r="N92"/>
      <c r="O92"/>
      <c r="P92"/>
      <c r="Q92"/>
      <c r="R92"/>
      <c r="S92"/>
      <c r="T92"/>
      <c r="U92"/>
      <c r="V92"/>
      <c r="W92"/>
      <c r="X92"/>
      <c r="Y92"/>
      <c r="Z92"/>
      <c r="AA92"/>
    </row>
    <row r="93" spans="1:27">
      <c r="A93"/>
      <c r="B93"/>
      <c r="C93"/>
      <c r="D93"/>
      <c r="E93"/>
      <c r="F93"/>
      <c r="G93"/>
      <c r="H93"/>
      <c r="I93"/>
      <c r="J93"/>
      <c r="K93"/>
      <c r="L93"/>
      <c r="M93"/>
      <c r="N93"/>
      <c r="O93"/>
      <c r="P93"/>
      <c r="Q93"/>
      <c r="R93"/>
      <c r="S93"/>
      <c r="T93"/>
      <c r="U93"/>
      <c r="V93"/>
      <c r="W93"/>
      <c r="X93"/>
      <c r="Y93"/>
      <c r="Z93"/>
      <c r="AA93"/>
    </row>
    <row r="94" spans="1:27">
      <c r="A94"/>
      <c r="B94"/>
      <c r="C94"/>
      <c r="D94"/>
      <c r="E94"/>
      <c r="F94"/>
      <c r="G94"/>
      <c r="H94"/>
      <c r="I94"/>
      <c r="J94"/>
      <c r="K94"/>
      <c r="L94"/>
      <c r="M94"/>
      <c r="N94"/>
      <c r="O94"/>
      <c r="P94"/>
      <c r="Q94"/>
      <c r="R94"/>
      <c r="S94"/>
      <c r="T94"/>
      <c r="U94"/>
      <c r="V94"/>
      <c r="W94"/>
      <c r="X94"/>
      <c r="Y94"/>
      <c r="Z94"/>
      <c r="AA94"/>
    </row>
    <row r="95" spans="1:27">
      <c r="A95"/>
      <c r="B95"/>
      <c r="C95"/>
      <c r="D95"/>
      <c r="E95"/>
      <c r="F95"/>
      <c r="G95"/>
      <c r="H95"/>
      <c r="I95"/>
      <c r="J95"/>
      <c r="K95"/>
      <c r="L95"/>
      <c r="M95"/>
      <c r="N95"/>
      <c r="O95"/>
      <c r="P95"/>
      <c r="Q95"/>
      <c r="R95"/>
      <c r="S95"/>
      <c r="T95"/>
      <c r="U95"/>
      <c r="V95"/>
      <c r="W95"/>
      <c r="X95"/>
      <c r="Y95"/>
      <c r="Z95"/>
      <c r="AA95"/>
    </row>
    <row r="96" spans="1:27">
      <c r="A96"/>
      <c r="B96"/>
      <c r="C96"/>
      <c r="D96"/>
      <c r="E96"/>
      <c r="F96"/>
      <c r="G96"/>
      <c r="H96"/>
      <c r="I96"/>
      <c r="J96"/>
      <c r="K96"/>
      <c r="L96"/>
      <c r="M96"/>
      <c r="N96"/>
      <c r="O96"/>
      <c r="P96"/>
      <c r="Q96"/>
      <c r="R96"/>
      <c r="S96"/>
      <c r="T96"/>
      <c r="U96"/>
      <c r="V96"/>
      <c r="W96"/>
      <c r="X96"/>
      <c r="Y96"/>
      <c r="Z96"/>
      <c r="AA96"/>
    </row>
    <row r="97" spans="1:27">
      <c r="A97"/>
      <c r="B97"/>
      <c r="C97"/>
      <c r="D97"/>
      <c r="E97"/>
      <c r="F97"/>
      <c r="G97"/>
      <c r="H97"/>
      <c r="I97"/>
      <c r="J97"/>
      <c r="K97"/>
      <c r="L97"/>
      <c r="M97"/>
      <c r="N97"/>
      <c r="O97"/>
      <c r="P97"/>
      <c r="Q97"/>
      <c r="R97"/>
      <c r="S97"/>
      <c r="T97"/>
      <c r="U97"/>
      <c r="V97"/>
      <c r="W97"/>
      <c r="X97"/>
      <c r="Y97"/>
      <c r="Z97"/>
      <c r="AA97"/>
    </row>
    <row r="98" spans="1:27">
      <c r="A98"/>
      <c r="B98"/>
      <c r="C98"/>
      <c r="D98"/>
      <c r="E98"/>
      <c r="F98"/>
      <c r="G98"/>
      <c r="H98"/>
      <c r="I98"/>
      <c r="J98"/>
      <c r="K98"/>
      <c r="L98"/>
      <c r="M98"/>
      <c r="N98"/>
      <c r="O98"/>
      <c r="P98"/>
      <c r="Q98"/>
      <c r="R98"/>
      <c r="S98"/>
      <c r="T98"/>
      <c r="U98"/>
      <c r="V98"/>
      <c r="W98"/>
      <c r="X98"/>
      <c r="Y98"/>
      <c r="Z98"/>
      <c r="AA98"/>
    </row>
    <row r="99" spans="1:27">
      <c r="I99"/>
      <c r="J99"/>
      <c r="K99"/>
      <c r="L99"/>
      <c r="M99"/>
      <c r="N99"/>
      <c r="O99"/>
      <c r="P99"/>
      <c r="Q99"/>
      <c r="R99"/>
      <c r="S99"/>
      <c r="T99"/>
      <c r="U99"/>
      <c r="V99"/>
      <c r="W99"/>
      <c r="X99"/>
      <c r="Y99"/>
      <c r="Z99"/>
      <c r="AA99"/>
    </row>
    <row r="100" spans="1:27">
      <c r="I100"/>
      <c r="J100"/>
      <c r="K100"/>
      <c r="L100"/>
      <c r="M100"/>
      <c r="N100"/>
      <c r="O100"/>
      <c r="P100"/>
      <c r="Q100"/>
      <c r="R100"/>
      <c r="S100"/>
      <c r="T100"/>
      <c r="U100"/>
      <c r="V100"/>
      <c r="W100"/>
      <c r="X100"/>
      <c r="Y100"/>
      <c r="Z100"/>
      <c r="AA100"/>
    </row>
    <row r="101" spans="1:27">
      <c r="I101"/>
      <c r="J101"/>
      <c r="K101"/>
      <c r="L101"/>
      <c r="M101"/>
      <c r="N101"/>
      <c r="O101"/>
      <c r="P101"/>
      <c r="Q101"/>
      <c r="R101"/>
      <c r="S101"/>
      <c r="T101"/>
      <c r="U101"/>
      <c r="V101"/>
      <c r="W101"/>
      <c r="X101"/>
      <c r="Y101"/>
      <c r="Z101"/>
      <c r="AA101"/>
    </row>
    <row r="102" spans="1:27">
      <c r="I102"/>
      <c r="J102"/>
      <c r="K102"/>
      <c r="L102"/>
      <c r="M102"/>
      <c r="N102"/>
      <c r="O102"/>
      <c r="P102"/>
      <c r="Q102"/>
      <c r="R102"/>
      <c r="S102"/>
      <c r="T102"/>
      <c r="U102"/>
      <c r="V102"/>
      <c r="W102"/>
      <c r="X102"/>
      <c r="Y102"/>
      <c r="Z102"/>
      <c r="AA102"/>
    </row>
    <row r="103" spans="1:27">
      <c r="I103"/>
      <c r="J103"/>
      <c r="K103"/>
      <c r="L103"/>
      <c r="M103"/>
      <c r="N103"/>
      <c r="O103"/>
      <c r="P103"/>
      <c r="Q103"/>
      <c r="R103"/>
      <c r="S103"/>
      <c r="T103"/>
      <c r="U103"/>
      <c r="V103"/>
      <c r="W103"/>
      <c r="X103"/>
      <c r="Y103"/>
      <c r="Z103"/>
      <c r="AA103"/>
    </row>
    <row r="104" spans="1:27">
      <c r="I104"/>
      <c r="J104"/>
      <c r="K104"/>
      <c r="L104"/>
      <c r="M104"/>
      <c r="N104"/>
      <c r="O104"/>
      <c r="P104"/>
      <c r="Q104"/>
      <c r="R104"/>
      <c r="S104"/>
      <c r="T104"/>
      <c r="U104"/>
      <c r="V104"/>
      <c r="W104"/>
      <c r="X104"/>
      <c r="Y104"/>
      <c r="Z104"/>
      <c r="AA104"/>
    </row>
    <row r="105" spans="1:27">
      <c r="I105"/>
      <c r="J105"/>
      <c r="K105"/>
      <c r="L105"/>
      <c r="M105"/>
      <c r="N105"/>
      <c r="O105"/>
      <c r="P105"/>
      <c r="Q105"/>
      <c r="R105"/>
      <c r="S105"/>
      <c r="T105"/>
      <c r="U105"/>
      <c r="V105"/>
      <c r="W105"/>
      <c r="X105"/>
      <c r="Y105"/>
      <c r="Z105"/>
      <c r="AA105"/>
    </row>
    <row r="106" spans="1:27">
      <c r="I106"/>
      <c r="J106"/>
      <c r="K106"/>
      <c r="L106"/>
      <c r="M106"/>
      <c r="N106"/>
      <c r="O106"/>
      <c r="P106"/>
      <c r="Q106"/>
      <c r="R106"/>
      <c r="S106"/>
      <c r="T106"/>
      <c r="U106"/>
      <c r="V106"/>
      <c r="W106"/>
      <c r="X106"/>
      <c r="Y106"/>
      <c r="Z106"/>
      <c r="AA106"/>
    </row>
    <row r="107" spans="1:27">
      <c r="I107"/>
      <c r="J107"/>
      <c r="K107"/>
      <c r="L107"/>
      <c r="M107"/>
      <c r="N107"/>
      <c r="O107"/>
      <c r="P107"/>
      <c r="Q107"/>
      <c r="R107"/>
      <c r="S107"/>
      <c r="T107"/>
      <c r="U107"/>
      <c r="V107"/>
      <c r="W107"/>
      <c r="X107"/>
      <c r="Y107"/>
      <c r="Z107"/>
      <c r="AA107"/>
    </row>
    <row r="108" spans="1:27">
      <c r="I108"/>
      <c r="J108"/>
      <c r="K108"/>
      <c r="L108"/>
      <c r="M108"/>
      <c r="N108"/>
      <c r="O108"/>
      <c r="P108"/>
      <c r="Q108"/>
      <c r="R108"/>
      <c r="S108"/>
      <c r="T108"/>
      <c r="U108"/>
      <c r="V108"/>
      <c r="W108"/>
      <c r="X108"/>
      <c r="Y108"/>
      <c r="Z108"/>
      <c r="AA108"/>
    </row>
    <row r="109" spans="1:27">
      <c r="I109"/>
      <c r="J109"/>
      <c r="K109"/>
      <c r="L109"/>
      <c r="M109"/>
      <c r="N109"/>
      <c r="O109"/>
      <c r="P109"/>
      <c r="Q109"/>
      <c r="R109"/>
      <c r="S109"/>
      <c r="T109"/>
      <c r="U109"/>
      <c r="V109"/>
      <c r="W109"/>
      <c r="X109"/>
      <c r="Y109"/>
      <c r="Z109"/>
      <c r="AA109"/>
    </row>
    <row r="110" spans="1:27">
      <c r="I110"/>
      <c r="J110"/>
      <c r="K110"/>
      <c r="L110"/>
      <c r="M110"/>
      <c r="N110"/>
      <c r="O110"/>
      <c r="P110"/>
      <c r="Q110"/>
      <c r="R110"/>
      <c r="S110"/>
      <c r="T110"/>
      <c r="U110"/>
      <c r="V110"/>
      <c r="W110"/>
      <c r="X110"/>
      <c r="Y110"/>
      <c r="Z110"/>
      <c r="AA110"/>
    </row>
    <row r="111" spans="1:27">
      <c r="I111"/>
      <c r="J111"/>
      <c r="K111"/>
      <c r="L111"/>
      <c r="M111"/>
      <c r="N111"/>
      <c r="O111"/>
      <c r="P111"/>
      <c r="Q111"/>
      <c r="R111"/>
      <c r="S111"/>
      <c r="T111"/>
      <c r="U111"/>
      <c r="V111"/>
      <c r="W111"/>
      <c r="X111"/>
      <c r="Y111"/>
      <c r="Z111"/>
      <c r="AA111"/>
    </row>
    <row r="112" spans="1:27">
      <c r="I112"/>
      <c r="J112"/>
      <c r="K112"/>
      <c r="L112"/>
      <c r="M112"/>
      <c r="N112"/>
      <c r="O112"/>
      <c r="P112"/>
      <c r="Q112"/>
      <c r="R112"/>
      <c r="S112"/>
      <c r="T112"/>
      <c r="U112"/>
      <c r="V112"/>
      <c r="W112"/>
      <c r="X112"/>
      <c r="Y112"/>
      <c r="Z112"/>
      <c r="AA112"/>
    </row>
    <row r="113" spans="9:27">
      <c r="I113"/>
      <c r="J113"/>
      <c r="K113"/>
      <c r="L113"/>
      <c r="M113"/>
      <c r="N113"/>
      <c r="O113"/>
      <c r="P113"/>
      <c r="Q113"/>
      <c r="R113"/>
      <c r="S113"/>
      <c r="T113"/>
      <c r="U113"/>
      <c r="V113"/>
      <c r="W113"/>
      <c r="X113"/>
      <c r="Y113"/>
      <c r="Z113"/>
      <c r="AA113"/>
    </row>
    <row r="114" spans="9:27">
      <c r="I114"/>
      <c r="J114"/>
      <c r="K114"/>
      <c r="L114"/>
      <c r="M114"/>
      <c r="N114"/>
      <c r="O114"/>
      <c r="P114"/>
      <c r="Q114"/>
      <c r="R114"/>
      <c r="S114"/>
      <c r="T114"/>
      <c r="U114"/>
      <c r="V114"/>
      <c r="W114"/>
      <c r="X114"/>
      <c r="Y114"/>
      <c r="Z114"/>
      <c r="AA114"/>
    </row>
    <row r="115" spans="9:27">
      <c r="I115"/>
      <c r="J115"/>
      <c r="K115"/>
      <c r="L115"/>
      <c r="M115"/>
      <c r="N115"/>
      <c r="O115"/>
      <c r="P115"/>
      <c r="Q115"/>
      <c r="R115"/>
      <c r="S115"/>
      <c r="T115"/>
      <c r="U115"/>
      <c r="V115"/>
      <c r="W115"/>
      <c r="X115"/>
      <c r="Y115"/>
      <c r="Z115"/>
      <c r="AA115"/>
    </row>
    <row r="116" spans="9:27">
      <c r="I116"/>
      <c r="J116"/>
      <c r="K116"/>
      <c r="L116"/>
      <c r="M116"/>
      <c r="N116"/>
      <c r="O116"/>
      <c r="P116"/>
      <c r="Q116"/>
      <c r="R116"/>
      <c r="S116"/>
      <c r="T116"/>
      <c r="U116"/>
      <c r="V116"/>
      <c r="W116"/>
      <c r="X116"/>
      <c r="Y116"/>
      <c r="Z116"/>
      <c r="AA116"/>
    </row>
    <row r="117" spans="9:27">
      <c r="I117"/>
      <c r="J117"/>
      <c r="K117"/>
      <c r="L117"/>
      <c r="M117"/>
      <c r="N117"/>
      <c r="O117"/>
      <c r="P117"/>
      <c r="Q117"/>
      <c r="R117"/>
      <c r="S117"/>
      <c r="T117"/>
      <c r="U117"/>
      <c r="V117"/>
      <c r="W117"/>
      <c r="X117"/>
      <c r="Y117"/>
      <c r="Z117"/>
      <c r="AA117"/>
    </row>
    <row r="118" spans="9:27">
      <c r="I118"/>
      <c r="J118"/>
      <c r="K118"/>
      <c r="L118"/>
      <c r="M118"/>
      <c r="N118"/>
      <c r="O118"/>
      <c r="P118"/>
      <c r="Q118"/>
      <c r="R118"/>
      <c r="S118"/>
      <c r="T118"/>
      <c r="U118"/>
      <c r="V118"/>
      <c r="W118"/>
      <c r="X118"/>
      <c r="Y118"/>
      <c r="Z118"/>
      <c r="AA118"/>
    </row>
    <row r="119" spans="9:27">
      <c r="I119"/>
      <c r="J119"/>
      <c r="K119"/>
      <c r="L119"/>
      <c r="M119"/>
      <c r="N119"/>
      <c r="O119"/>
      <c r="P119"/>
      <c r="Q119"/>
      <c r="R119"/>
      <c r="S119"/>
      <c r="T119"/>
      <c r="U119"/>
      <c r="V119"/>
      <c r="W119"/>
      <c r="X119"/>
      <c r="Y119"/>
      <c r="Z119"/>
      <c r="AA119"/>
    </row>
    <row r="120" spans="9:27">
      <c r="I120"/>
      <c r="J120"/>
      <c r="K120"/>
      <c r="L120"/>
      <c r="M120"/>
      <c r="N120"/>
      <c r="O120"/>
      <c r="P120"/>
      <c r="Q120"/>
      <c r="R120"/>
      <c r="S120"/>
      <c r="T120"/>
      <c r="U120"/>
      <c r="V120"/>
      <c r="W120"/>
      <c r="X120"/>
      <c r="Y120"/>
      <c r="Z120"/>
      <c r="AA120"/>
    </row>
    <row r="121" spans="9:27">
      <c r="I121"/>
      <c r="J121"/>
      <c r="K121"/>
      <c r="L121"/>
      <c r="M121"/>
      <c r="N121"/>
      <c r="O121"/>
      <c r="P121"/>
      <c r="Q121"/>
      <c r="R121"/>
      <c r="S121"/>
      <c r="T121"/>
      <c r="U121"/>
      <c r="V121"/>
      <c r="W121"/>
      <c r="X121"/>
      <c r="Y121"/>
      <c r="Z121"/>
      <c r="AA121"/>
    </row>
    <row r="122" spans="9:27">
      <c r="I122"/>
      <c r="J122"/>
      <c r="K122"/>
      <c r="L122"/>
      <c r="M122"/>
      <c r="N122"/>
      <c r="O122"/>
      <c r="P122"/>
      <c r="Q122"/>
      <c r="R122"/>
      <c r="S122"/>
      <c r="T122"/>
      <c r="U122"/>
      <c r="V122"/>
      <c r="W122"/>
      <c r="X122"/>
      <c r="Y122"/>
      <c r="Z122"/>
      <c r="AA122"/>
    </row>
    <row r="123" spans="9:27">
      <c r="I123"/>
      <c r="J123"/>
      <c r="K123"/>
      <c r="L123"/>
      <c r="M123"/>
      <c r="N123"/>
      <c r="O123"/>
      <c r="P123"/>
      <c r="Q123"/>
      <c r="R123"/>
      <c r="S123"/>
      <c r="T123"/>
      <c r="U123"/>
      <c r="V123"/>
      <c r="W123"/>
      <c r="X123"/>
      <c r="Y123"/>
      <c r="Z123"/>
      <c r="AA123"/>
    </row>
    <row r="124" spans="9:27">
      <c r="I124"/>
      <c r="J124"/>
      <c r="K124"/>
      <c r="L124"/>
      <c r="M124"/>
      <c r="N124"/>
      <c r="O124"/>
      <c r="P124"/>
      <c r="Q124"/>
      <c r="R124"/>
      <c r="S124"/>
      <c r="T124"/>
      <c r="U124"/>
      <c r="V124"/>
      <c r="W124"/>
      <c r="X124"/>
      <c r="Y124"/>
      <c r="Z124"/>
      <c r="AA124"/>
    </row>
    <row r="125" spans="9:27">
      <c r="I125"/>
      <c r="J125"/>
      <c r="K125"/>
      <c r="L125"/>
      <c r="M125"/>
      <c r="N125"/>
      <c r="O125"/>
      <c r="P125"/>
      <c r="Q125"/>
      <c r="R125"/>
      <c r="S125"/>
      <c r="T125"/>
      <c r="U125"/>
      <c r="V125"/>
      <c r="W125"/>
      <c r="X125"/>
      <c r="Y125"/>
      <c r="Z125"/>
      <c r="AA125"/>
    </row>
    <row r="126" spans="9:27">
      <c r="I126"/>
      <c r="J126"/>
      <c r="K126"/>
      <c r="L126"/>
      <c r="M126"/>
      <c r="N126"/>
      <c r="O126"/>
      <c r="P126"/>
      <c r="Q126"/>
      <c r="R126"/>
      <c r="S126"/>
      <c r="T126"/>
      <c r="U126"/>
      <c r="V126"/>
      <c r="W126"/>
      <c r="X126"/>
      <c r="Y126"/>
      <c r="Z126"/>
      <c r="AA126"/>
    </row>
    <row r="127" spans="9:27">
      <c r="I127"/>
      <c r="J127"/>
      <c r="K127"/>
      <c r="L127"/>
      <c r="M127"/>
      <c r="N127"/>
      <c r="O127"/>
      <c r="P127"/>
      <c r="Q127"/>
      <c r="R127"/>
      <c r="S127"/>
      <c r="T127"/>
      <c r="U127"/>
      <c r="V127"/>
      <c r="W127"/>
      <c r="X127"/>
      <c r="Y127"/>
      <c r="Z127"/>
      <c r="AA127"/>
    </row>
    <row r="128" spans="9:27">
      <c r="I128"/>
      <c r="J128"/>
      <c r="K128"/>
      <c r="L128"/>
      <c r="M128"/>
      <c r="N128"/>
      <c r="O128"/>
      <c r="P128"/>
      <c r="Q128"/>
      <c r="R128"/>
      <c r="S128"/>
      <c r="T128"/>
      <c r="U128"/>
      <c r="V128"/>
      <c r="W128"/>
      <c r="X128"/>
      <c r="Y128"/>
      <c r="Z128"/>
      <c r="AA128"/>
    </row>
    <row r="129" spans="9:27">
      <c r="I129"/>
      <c r="J129"/>
      <c r="K129"/>
      <c r="L129"/>
      <c r="M129"/>
      <c r="N129"/>
      <c r="O129"/>
      <c r="P129"/>
      <c r="Q129"/>
      <c r="R129"/>
      <c r="S129"/>
      <c r="T129"/>
      <c r="U129"/>
      <c r="V129"/>
      <c r="W129"/>
      <c r="X129"/>
      <c r="Y129"/>
      <c r="Z129"/>
      <c r="AA129"/>
    </row>
    <row r="130" spans="9:27">
      <c r="I130"/>
      <c r="J130"/>
      <c r="K130"/>
      <c r="L130"/>
      <c r="M130"/>
      <c r="N130"/>
      <c r="O130"/>
      <c r="P130"/>
      <c r="Q130"/>
      <c r="R130"/>
      <c r="S130"/>
      <c r="T130"/>
      <c r="U130"/>
      <c r="V130"/>
      <c r="W130"/>
      <c r="X130"/>
      <c r="Y130"/>
      <c r="Z130"/>
      <c r="AA130"/>
    </row>
    <row r="131" spans="9:27">
      <c r="I131"/>
      <c r="J131"/>
      <c r="K131"/>
      <c r="L131"/>
      <c r="M131"/>
      <c r="N131"/>
      <c r="O131"/>
      <c r="P131"/>
      <c r="Q131"/>
      <c r="R131"/>
      <c r="S131"/>
      <c r="T131"/>
      <c r="U131"/>
      <c r="V131"/>
      <c r="W131"/>
      <c r="X131"/>
      <c r="Y131"/>
      <c r="Z131"/>
      <c r="AA131"/>
    </row>
    <row r="132" spans="9:27">
      <c r="I132"/>
      <c r="J132"/>
      <c r="K132"/>
      <c r="L132"/>
      <c r="M132"/>
      <c r="N132"/>
      <c r="O132"/>
      <c r="P132"/>
      <c r="Q132"/>
      <c r="R132"/>
      <c r="S132"/>
      <c r="T132"/>
      <c r="U132"/>
      <c r="V132"/>
      <c r="W132"/>
      <c r="X132"/>
      <c r="Y132"/>
      <c r="Z132"/>
      <c r="AA132"/>
    </row>
    <row r="133" spans="9:27">
      <c r="I133"/>
      <c r="J133"/>
      <c r="K133"/>
      <c r="L133"/>
      <c r="M133"/>
      <c r="N133"/>
      <c r="O133"/>
      <c r="P133"/>
      <c r="Q133"/>
      <c r="R133"/>
      <c r="S133"/>
      <c r="T133"/>
      <c r="U133"/>
      <c r="V133"/>
      <c r="W133"/>
      <c r="X133"/>
      <c r="Y133"/>
      <c r="Z133"/>
      <c r="AA133"/>
    </row>
    <row r="134" spans="9:27">
      <c r="I134"/>
      <c r="J134"/>
      <c r="K134"/>
      <c r="L134"/>
      <c r="M134"/>
      <c r="N134"/>
      <c r="O134"/>
      <c r="P134"/>
      <c r="Q134"/>
      <c r="R134"/>
      <c r="S134"/>
      <c r="T134"/>
      <c r="U134"/>
      <c r="V134"/>
      <c r="W134"/>
      <c r="X134"/>
      <c r="Y134"/>
      <c r="Z134"/>
      <c r="AA134"/>
    </row>
    <row r="135" spans="9:27">
      <c r="I135"/>
      <c r="J135"/>
      <c r="K135"/>
      <c r="L135"/>
      <c r="M135"/>
      <c r="N135"/>
      <c r="O135"/>
      <c r="P135"/>
      <c r="Q135"/>
      <c r="R135"/>
      <c r="S135"/>
      <c r="T135"/>
      <c r="U135"/>
      <c r="V135"/>
      <c r="W135"/>
      <c r="X135"/>
      <c r="Y135"/>
      <c r="Z135"/>
      <c r="AA135"/>
    </row>
    <row r="136" spans="9:27">
      <c r="I136"/>
      <c r="J136"/>
      <c r="K136"/>
      <c r="L136"/>
      <c r="M136"/>
      <c r="N136"/>
      <c r="O136"/>
      <c r="P136"/>
      <c r="Q136"/>
      <c r="R136"/>
      <c r="S136"/>
      <c r="T136"/>
      <c r="U136"/>
      <c r="V136"/>
      <c r="W136"/>
      <c r="X136"/>
      <c r="Y136"/>
      <c r="Z136"/>
      <c r="AA136"/>
    </row>
    <row r="137" spans="9:27">
      <c r="I137"/>
      <c r="J137"/>
      <c r="K137"/>
      <c r="L137"/>
      <c r="M137"/>
      <c r="N137"/>
      <c r="O137"/>
      <c r="P137"/>
      <c r="Q137"/>
      <c r="R137"/>
      <c r="S137"/>
      <c r="T137"/>
      <c r="U137"/>
      <c r="V137"/>
      <c r="W137"/>
      <c r="X137"/>
      <c r="Y137"/>
      <c r="Z137"/>
      <c r="AA137"/>
    </row>
    <row r="138" spans="9:27">
      <c r="I138"/>
      <c r="J138"/>
      <c r="K138"/>
      <c r="L138"/>
      <c r="M138"/>
      <c r="N138"/>
      <c r="O138"/>
      <c r="P138"/>
      <c r="Q138"/>
      <c r="R138"/>
      <c r="S138"/>
      <c r="T138"/>
      <c r="U138"/>
      <c r="V138"/>
      <c r="W138"/>
      <c r="X138"/>
      <c r="Y138"/>
      <c r="Z138"/>
      <c r="AA138"/>
    </row>
    <row r="139" spans="9:27">
      <c r="I139"/>
      <c r="J139"/>
      <c r="K139"/>
      <c r="L139"/>
      <c r="M139"/>
      <c r="N139"/>
      <c r="O139"/>
      <c r="P139"/>
      <c r="Q139"/>
      <c r="R139"/>
      <c r="S139"/>
      <c r="T139"/>
      <c r="U139"/>
      <c r="V139"/>
      <c r="W139"/>
      <c r="X139"/>
      <c r="Y139"/>
      <c r="Z139"/>
      <c r="AA139"/>
    </row>
    <row r="140" spans="9:27">
      <c r="I140"/>
      <c r="J140"/>
      <c r="K140"/>
      <c r="L140"/>
      <c r="M140"/>
      <c r="N140"/>
      <c r="O140"/>
      <c r="P140"/>
      <c r="Q140"/>
      <c r="R140"/>
      <c r="S140"/>
      <c r="T140"/>
      <c r="U140"/>
      <c r="V140"/>
      <c r="W140"/>
      <c r="X140"/>
      <c r="Y140"/>
      <c r="Z140"/>
      <c r="AA140"/>
    </row>
    <row r="141" spans="9:27">
      <c r="I141"/>
      <c r="J141"/>
      <c r="K141"/>
      <c r="L141"/>
      <c r="M141"/>
      <c r="N141"/>
      <c r="O141"/>
      <c r="P141"/>
      <c r="Q141"/>
      <c r="R141"/>
      <c r="S141"/>
      <c r="T141"/>
      <c r="U141"/>
      <c r="V141"/>
      <c r="W141"/>
      <c r="X141"/>
      <c r="Y141"/>
      <c r="Z141"/>
      <c r="AA141"/>
    </row>
    <row r="142" spans="9:27">
      <c r="I142"/>
      <c r="J142"/>
      <c r="K142"/>
      <c r="L142"/>
      <c r="M142"/>
      <c r="N142"/>
      <c r="O142"/>
      <c r="P142"/>
      <c r="Q142"/>
      <c r="R142"/>
      <c r="S142"/>
      <c r="T142"/>
      <c r="U142"/>
      <c r="V142"/>
      <c r="W142"/>
      <c r="X142"/>
      <c r="Y142"/>
      <c r="Z142"/>
      <c r="AA142"/>
    </row>
    <row r="143" spans="9:27">
      <c r="I143"/>
      <c r="J143"/>
      <c r="K143"/>
      <c r="L143"/>
      <c r="M143"/>
      <c r="N143"/>
      <c r="O143"/>
      <c r="P143"/>
      <c r="Q143"/>
      <c r="R143"/>
      <c r="S143"/>
      <c r="T143"/>
      <c r="U143"/>
      <c r="V143"/>
      <c r="W143"/>
      <c r="X143"/>
      <c r="Y143"/>
      <c r="Z143"/>
      <c r="AA143"/>
    </row>
    <row r="144" spans="9:27">
      <c r="I144"/>
      <c r="J144"/>
      <c r="K144"/>
      <c r="L144"/>
      <c r="M144"/>
      <c r="N144"/>
      <c r="O144"/>
      <c r="P144"/>
      <c r="Q144"/>
      <c r="R144"/>
      <c r="S144"/>
      <c r="T144"/>
      <c r="U144"/>
      <c r="V144"/>
      <c r="W144"/>
      <c r="X144"/>
      <c r="Y144"/>
      <c r="Z144"/>
      <c r="AA144"/>
    </row>
    <row r="145" spans="9:27">
      <c r="I145"/>
      <c r="J145"/>
      <c r="K145"/>
      <c r="L145"/>
      <c r="M145"/>
      <c r="N145"/>
      <c r="O145"/>
      <c r="P145"/>
      <c r="Q145"/>
      <c r="R145"/>
      <c r="S145"/>
      <c r="T145"/>
      <c r="U145"/>
      <c r="V145"/>
      <c r="W145"/>
      <c r="X145"/>
      <c r="Y145"/>
      <c r="Z145"/>
      <c r="AA145"/>
    </row>
    <row r="146" spans="9:27">
      <c r="I146"/>
      <c r="J146"/>
      <c r="K146"/>
      <c r="L146"/>
      <c r="M146"/>
      <c r="N146"/>
      <c r="O146"/>
      <c r="P146"/>
      <c r="Q146"/>
      <c r="R146"/>
      <c r="S146"/>
      <c r="T146"/>
      <c r="U146"/>
      <c r="V146"/>
      <c r="W146"/>
      <c r="X146"/>
      <c r="Y146"/>
      <c r="Z146"/>
      <c r="AA146"/>
    </row>
    <row r="147" spans="9:27">
      <c r="I147"/>
      <c r="J147"/>
      <c r="K147"/>
      <c r="L147"/>
      <c r="M147"/>
      <c r="N147"/>
      <c r="O147"/>
      <c r="P147"/>
      <c r="Q147"/>
      <c r="R147"/>
      <c r="S147"/>
      <c r="T147"/>
      <c r="U147"/>
      <c r="V147"/>
      <c r="W147"/>
      <c r="X147"/>
      <c r="Y147"/>
      <c r="Z147"/>
      <c r="AA147"/>
    </row>
    <row r="148" spans="9:27">
      <c r="I148"/>
      <c r="J148"/>
      <c r="K148"/>
      <c r="L148"/>
      <c r="M148"/>
      <c r="N148"/>
      <c r="O148"/>
      <c r="P148"/>
      <c r="Q148"/>
      <c r="R148"/>
      <c r="S148"/>
      <c r="T148"/>
      <c r="U148"/>
      <c r="V148"/>
      <c r="W148"/>
      <c r="X148"/>
      <c r="Y148"/>
      <c r="Z148"/>
      <c r="AA148"/>
    </row>
    <row r="149" spans="9:27">
      <c r="I149"/>
      <c r="J149"/>
      <c r="K149"/>
      <c r="L149"/>
      <c r="M149"/>
      <c r="N149"/>
      <c r="O149"/>
      <c r="P149"/>
      <c r="Q149"/>
      <c r="R149"/>
      <c r="S149"/>
      <c r="T149"/>
      <c r="U149"/>
      <c r="V149"/>
      <c r="W149"/>
      <c r="X149"/>
      <c r="Y149"/>
      <c r="Z149"/>
      <c r="AA149"/>
    </row>
    <row r="150" spans="9:27">
      <c r="I150"/>
      <c r="J150"/>
      <c r="K150"/>
      <c r="L150"/>
      <c r="M150"/>
      <c r="N150"/>
      <c r="O150"/>
      <c r="P150"/>
      <c r="Q150"/>
      <c r="R150"/>
      <c r="S150"/>
      <c r="T150"/>
      <c r="U150"/>
      <c r="V150"/>
      <c r="W150"/>
      <c r="X150"/>
      <c r="Y150"/>
      <c r="Z150"/>
      <c r="AA150"/>
    </row>
    <row r="151" spans="9:27">
      <c r="I151"/>
      <c r="J151"/>
      <c r="K151"/>
      <c r="L151"/>
      <c r="M151"/>
      <c r="N151"/>
      <c r="O151"/>
      <c r="P151"/>
      <c r="Q151"/>
      <c r="R151"/>
      <c r="S151"/>
      <c r="T151"/>
      <c r="U151"/>
      <c r="V151"/>
      <c r="W151"/>
      <c r="X151"/>
      <c r="Y151"/>
      <c r="Z151"/>
      <c r="AA151"/>
    </row>
    <row r="152" spans="9:27">
      <c r="I152"/>
      <c r="J152"/>
      <c r="K152"/>
      <c r="L152"/>
      <c r="M152"/>
      <c r="N152"/>
      <c r="O152"/>
      <c r="P152"/>
      <c r="Q152"/>
      <c r="R152"/>
      <c r="S152"/>
      <c r="T152"/>
      <c r="U152"/>
      <c r="V152"/>
      <c r="W152"/>
      <c r="X152"/>
      <c r="Y152"/>
      <c r="Z152"/>
      <c r="AA152"/>
    </row>
    <row r="153" spans="9:27">
      <c r="I153"/>
      <c r="J153"/>
      <c r="K153"/>
      <c r="L153"/>
      <c r="M153"/>
      <c r="N153"/>
      <c r="O153"/>
      <c r="P153"/>
      <c r="Q153"/>
      <c r="R153"/>
      <c r="S153"/>
      <c r="T153"/>
      <c r="U153"/>
      <c r="V153"/>
      <c r="W153"/>
      <c r="X153"/>
      <c r="Y153"/>
      <c r="Z153"/>
      <c r="AA153"/>
    </row>
    <row r="154" spans="9:27">
      <c r="I154"/>
      <c r="J154"/>
      <c r="K154"/>
      <c r="L154"/>
      <c r="M154"/>
      <c r="N154"/>
      <c r="O154"/>
      <c r="P154"/>
      <c r="Q154"/>
      <c r="R154"/>
      <c r="S154"/>
      <c r="T154"/>
      <c r="U154"/>
      <c r="V154"/>
      <c r="W154"/>
      <c r="X154"/>
      <c r="Y154"/>
      <c r="Z154"/>
      <c r="AA154"/>
    </row>
    <row r="155" spans="9:27">
      <c r="I155"/>
      <c r="J155"/>
      <c r="K155"/>
      <c r="L155"/>
      <c r="M155"/>
      <c r="N155"/>
      <c r="O155"/>
      <c r="P155"/>
      <c r="Q155"/>
      <c r="R155"/>
      <c r="S155"/>
      <c r="T155"/>
      <c r="U155"/>
      <c r="V155"/>
      <c r="W155"/>
      <c r="X155"/>
      <c r="Y155"/>
      <c r="Z155"/>
      <c r="AA155"/>
    </row>
    <row r="156" spans="9:27">
      <c r="I156"/>
      <c r="J156"/>
      <c r="K156"/>
      <c r="L156"/>
      <c r="M156"/>
      <c r="N156"/>
      <c r="O156"/>
      <c r="P156"/>
      <c r="Q156"/>
      <c r="R156"/>
      <c r="S156"/>
      <c r="T156"/>
      <c r="U156"/>
      <c r="V156"/>
      <c r="W156"/>
      <c r="X156"/>
      <c r="Y156"/>
      <c r="Z156"/>
      <c r="AA156"/>
    </row>
    <row r="157" spans="9:27">
      <c r="I157"/>
      <c r="J157"/>
      <c r="K157"/>
      <c r="L157"/>
      <c r="M157"/>
      <c r="N157"/>
      <c r="O157"/>
      <c r="P157"/>
      <c r="Q157"/>
      <c r="R157"/>
      <c r="S157"/>
      <c r="T157"/>
      <c r="U157"/>
      <c r="V157"/>
      <c r="W157"/>
      <c r="X157"/>
      <c r="Y157"/>
      <c r="Z157"/>
      <c r="AA157"/>
    </row>
    <row r="158" spans="9:27">
      <c r="I158"/>
      <c r="J158"/>
      <c r="K158"/>
      <c r="L158"/>
      <c r="M158"/>
      <c r="N158"/>
      <c r="O158"/>
      <c r="P158"/>
      <c r="Q158"/>
      <c r="R158"/>
      <c r="S158"/>
      <c r="T158"/>
      <c r="U158"/>
      <c r="V158"/>
      <c r="W158"/>
      <c r="X158"/>
      <c r="Y158"/>
      <c r="Z158"/>
      <c r="AA158"/>
    </row>
    <row r="159" spans="9:27">
      <c r="I159"/>
      <c r="J159"/>
      <c r="K159"/>
      <c r="L159"/>
      <c r="M159"/>
      <c r="N159"/>
      <c r="O159"/>
      <c r="P159"/>
      <c r="Q159"/>
      <c r="R159"/>
      <c r="S159"/>
      <c r="T159"/>
      <c r="U159"/>
      <c r="V159"/>
      <c r="W159"/>
      <c r="X159"/>
      <c r="Y159"/>
      <c r="Z159"/>
      <c r="AA159"/>
    </row>
    <row r="160" spans="9:27">
      <c r="I160"/>
      <c r="J160"/>
      <c r="K160"/>
      <c r="L160"/>
      <c r="M160"/>
      <c r="N160"/>
      <c r="O160"/>
      <c r="P160"/>
      <c r="Q160"/>
      <c r="R160"/>
      <c r="S160"/>
      <c r="T160"/>
      <c r="U160"/>
      <c r="V160"/>
      <c r="W160"/>
      <c r="X160"/>
      <c r="Y160"/>
      <c r="Z160"/>
      <c r="AA160"/>
    </row>
    <row r="161" spans="9:27">
      <c r="I161"/>
      <c r="J161"/>
      <c r="K161"/>
      <c r="L161"/>
      <c r="M161"/>
      <c r="N161"/>
      <c r="O161"/>
      <c r="P161"/>
      <c r="Q161"/>
      <c r="R161"/>
      <c r="S161"/>
      <c r="T161"/>
      <c r="U161"/>
      <c r="V161"/>
      <c r="W161"/>
      <c r="X161"/>
      <c r="Y161"/>
      <c r="Z161"/>
      <c r="AA161"/>
    </row>
    <row r="162" spans="9:27">
      <c r="I162"/>
      <c r="J162"/>
      <c r="K162"/>
      <c r="L162"/>
      <c r="M162"/>
      <c r="N162"/>
      <c r="O162"/>
      <c r="P162"/>
      <c r="Q162"/>
      <c r="R162"/>
      <c r="S162"/>
      <c r="T162"/>
      <c r="U162"/>
      <c r="V162"/>
      <c r="W162"/>
      <c r="X162"/>
      <c r="Y162"/>
      <c r="Z162"/>
      <c r="AA162"/>
    </row>
    <row r="163" spans="9:27">
      <c r="I163"/>
      <c r="J163"/>
      <c r="K163"/>
      <c r="L163"/>
      <c r="M163"/>
      <c r="N163"/>
      <c r="O163"/>
      <c r="P163"/>
      <c r="Q163"/>
      <c r="R163"/>
      <c r="S163"/>
      <c r="T163"/>
      <c r="U163"/>
      <c r="V163"/>
      <c r="W163"/>
      <c r="X163"/>
      <c r="Y163"/>
      <c r="Z163"/>
      <c r="AA163"/>
    </row>
    <row r="164" spans="9:27">
      <c r="I164"/>
      <c r="J164"/>
      <c r="K164"/>
      <c r="L164"/>
      <c r="M164"/>
      <c r="N164"/>
      <c r="O164"/>
      <c r="P164"/>
      <c r="Q164"/>
      <c r="R164"/>
      <c r="S164"/>
      <c r="T164"/>
      <c r="U164"/>
      <c r="V164"/>
      <c r="W164"/>
      <c r="X164"/>
      <c r="Y164"/>
      <c r="Z164"/>
      <c r="AA164"/>
    </row>
    <row r="165" spans="9:27">
      <c r="I165"/>
      <c r="J165"/>
      <c r="K165"/>
      <c r="L165"/>
      <c r="M165"/>
      <c r="N165"/>
      <c r="O165"/>
      <c r="P165"/>
      <c r="Q165"/>
      <c r="R165"/>
      <c r="S165"/>
      <c r="T165"/>
      <c r="U165"/>
      <c r="V165"/>
      <c r="W165"/>
      <c r="X165"/>
      <c r="Y165"/>
      <c r="Z165"/>
      <c r="AA165"/>
    </row>
    <row r="166" spans="9:27">
      <c r="I166"/>
      <c r="J166"/>
      <c r="K166"/>
      <c r="L166"/>
      <c r="M166"/>
      <c r="N166"/>
      <c r="O166"/>
      <c r="P166"/>
      <c r="Q166"/>
      <c r="R166"/>
      <c r="S166"/>
      <c r="T166"/>
      <c r="U166"/>
      <c r="V166"/>
      <c r="W166"/>
      <c r="X166"/>
      <c r="Y166"/>
      <c r="Z166"/>
      <c r="AA166"/>
    </row>
    <row r="167" spans="9:27">
      <c r="I167"/>
      <c r="J167"/>
      <c r="K167"/>
      <c r="L167"/>
      <c r="M167"/>
      <c r="N167"/>
      <c r="O167"/>
      <c r="P167"/>
      <c r="Q167"/>
      <c r="R167"/>
      <c r="S167"/>
      <c r="T167"/>
      <c r="U167"/>
      <c r="V167"/>
      <c r="W167"/>
      <c r="X167"/>
      <c r="Y167"/>
      <c r="Z167"/>
      <c r="AA167"/>
    </row>
    <row r="168" spans="9:27">
      <c r="I168"/>
      <c r="J168"/>
      <c r="K168"/>
      <c r="L168"/>
      <c r="M168"/>
      <c r="N168"/>
      <c r="O168"/>
      <c r="P168"/>
      <c r="Q168"/>
      <c r="R168"/>
      <c r="S168"/>
      <c r="T168"/>
      <c r="U168"/>
      <c r="V168"/>
      <c r="W168"/>
      <c r="X168"/>
      <c r="Y168"/>
      <c r="Z168"/>
      <c r="AA168"/>
    </row>
    <row r="169" spans="9:27">
      <c r="I169"/>
      <c r="J169"/>
      <c r="K169"/>
      <c r="L169"/>
      <c r="M169"/>
      <c r="N169"/>
      <c r="O169"/>
      <c r="P169"/>
      <c r="Q169"/>
      <c r="R169"/>
      <c r="S169"/>
      <c r="T169"/>
      <c r="U169"/>
      <c r="V169"/>
      <c r="W169"/>
      <c r="X169"/>
      <c r="Y169"/>
      <c r="Z169"/>
      <c r="AA169"/>
    </row>
    <row r="170" spans="9:27">
      <c r="I170"/>
      <c r="J170"/>
      <c r="K170"/>
      <c r="L170"/>
      <c r="M170"/>
      <c r="N170"/>
      <c r="O170"/>
      <c r="P170"/>
      <c r="Q170"/>
      <c r="R170"/>
      <c r="S170"/>
      <c r="T170"/>
      <c r="U170"/>
      <c r="V170"/>
      <c r="W170"/>
      <c r="X170"/>
      <c r="Y170"/>
      <c r="Z170"/>
      <c r="AA170"/>
    </row>
    <row r="171" spans="9:27">
      <c r="I171"/>
      <c r="J171"/>
      <c r="K171"/>
      <c r="L171"/>
      <c r="M171"/>
      <c r="N171"/>
      <c r="O171"/>
      <c r="P171"/>
      <c r="Q171"/>
      <c r="R171"/>
      <c r="S171"/>
      <c r="T171"/>
      <c r="U171"/>
      <c r="V171"/>
      <c r="W171"/>
      <c r="X171"/>
      <c r="Y171"/>
      <c r="Z171"/>
      <c r="AA171"/>
    </row>
    <row r="172" spans="9:27">
      <c r="I172"/>
      <c r="J172"/>
      <c r="K172"/>
      <c r="L172"/>
      <c r="M172"/>
      <c r="N172"/>
      <c r="O172"/>
      <c r="P172"/>
      <c r="Q172"/>
      <c r="R172"/>
      <c r="S172"/>
      <c r="T172"/>
      <c r="U172"/>
      <c r="V172"/>
      <c r="W172"/>
      <c r="X172"/>
      <c r="Y172"/>
      <c r="Z172"/>
      <c r="AA172"/>
    </row>
    <row r="173" spans="9:27">
      <c r="I173"/>
      <c r="J173"/>
      <c r="K173"/>
      <c r="L173"/>
      <c r="M173"/>
      <c r="N173"/>
      <c r="O173"/>
      <c r="P173"/>
      <c r="Q173"/>
      <c r="R173"/>
      <c r="S173"/>
      <c r="T173"/>
      <c r="U173"/>
      <c r="V173"/>
      <c r="W173"/>
      <c r="X173"/>
      <c r="Y173"/>
      <c r="Z173"/>
      <c r="AA173"/>
    </row>
    <row r="174" spans="9:27">
      <c r="I174"/>
      <c r="J174"/>
      <c r="K174"/>
      <c r="L174"/>
      <c r="M174"/>
      <c r="N174"/>
      <c r="O174"/>
      <c r="P174"/>
      <c r="Q174"/>
      <c r="R174"/>
      <c r="S174"/>
      <c r="T174"/>
      <c r="U174"/>
      <c r="V174"/>
      <c r="W174"/>
      <c r="X174"/>
      <c r="Y174"/>
      <c r="Z174"/>
      <c r="AA174"/>
    </row>
    <row r="175" spans="9:27">
      <c r="I175"/>
      <c r="J175"/>
      <c r="K175"/>
      <c r="L175"/>
      <c r="M175"/>
      <c r="N175"/>
      <c r="O175"/>
      <c r="P175"/>
      <c r="Q175"/>
      <c r="R175"/>
      <c r="S175"/>
      <c r="T175"/>
      <c r="U175"/>
      <c r="V175"/>
      <c r="W175"/>
      <c r="X175"/>
      <c r="Y175"/>
      <c r="Z175"/>
      <c r="AA175"/>
    </row>
    <row r="176" spans="9:27">
      <c r="I176"/>
      <c r="J176"/>
      <c r="K176"/>
      <c r="L176"/>
      <c r="M176"/>
      <c r="N176"/>
      <c r="O176"/>
      <c r="P176"/>
      <c r="Q176"/>
      <c r="R176"/>
      <c r="S176"/>
      <c r="T176"/>
      <c r="U176"/>
      <c r="V176"/>
      <c r="W176"/>
      <c r="X176"/>
      <c r="Y176"/>
      <c r="Z176"/>
      <c r="AA176"/>
    </row>
    <row r="177" spans="9:27">
      <c r="I177"/>
      <c r="J177"/>
      <c r="K177"/>
      <c r="L177"/>
      <c r="M177"/>
      <c r="N177"/>
      <c r="O177"/>
      <c r="P177"/>
      <c r="Q177"/>
      <c r="R177"/>
      <c r="S177"/>
      <c r="T177"/>
      <c r="U177"/>
      <c r="V177"/>
      <c r="W177"/>
      <c r="X177"/>
      <c r="Y177"/>
      <c r="Z177"/>
      <c r="AA177"/>
    </row>
    <row r="178" spans="9:27">
      <c r="I178"/>
      <c r="J178"/>
      <c r="K178"/>
      <c r="L178"/>
      <c r="M178"/>
      <c r="N178"/>
      <c r="O178"/>
      <c r="P178"/>
      <c r="Q178"/>
      <c r="R178"/>
      <c r="S178"/>
      <c r="T178"/>
      <c r="U178"/>
      <c r="V178"/>
      <c r="W178"/>
      <c r="X178"/>
      <c r="Y178"/>
      <c r="Z178"/>
      <c r="AA178"/>
    </row>
    <row r="179" spans="9:27">
      <c r="I179"/>
      <c r="J179"/>
      <c r="K179"/>
      <c r="L179"/>
      <c r="M179"/>
      <c r="N179"/>
      <c r="O179"/>
      <c r="P179"/>
      <c r="Q179"/>
      <c r="R179"/>
      <c r="S179"/>
      <c r="T179"/>
      <c r="U179"/>
      <c r="V179"/>
      <c r="W179"/>
      <c r="X179"/>
      <c r="Y179"/>
      <c r="Z179"/>
      <c r="AA179"/>
    </row>
    <row r="180" spans="9:27">
      <c r="I180"/>
      <c r="J180"/>
      <c r="K180"/>
      <c r="L180"/>
      <c r="M180"/>
      <c r="N180"/>
      <c r="O180"/>
      <c r="P180"/>
      <c r="Q180"/>
      <c r="R180"/>
      <c r="S180"/>
      <c r="T180"/>
      <c r="U180"/>
      <c r="V180"/>
      <c r="W180"/>
      <c r="X180"/>
      <c r="Y180"/>
      <c r="Z180"/>
      <c r="AA180"/>
    </row>
    <row r="181" spans="9:27">
      <c r="I181"/>
      <c r="J181"/>
      <c r="K181"/>
      <c r="L181"/>
      <c r="M181"/>
      <c r="N181"/>
      <c r="O181"/>
      <c r="P181"/>
      <c r="Q181"/>
      <c r="R181"/>
      <c r="S181"/>
      <c r="T181"/>
      <c r="U181"/>
      <c r="V181"/>
      <c r="W181"/>
      <c r="X181"/>
      <c r="Y181"/>
      <c r="Z181"/>
      <c r="AA181"/>
    </row>
    <row r="182" spans="9:27">
      <c r="I182"/>
      <c r="J182"/>
      <c r="K182"/>
      <c r="L182"/>
      <c r="M182"/>
      <c r="N182"/>
      <c r="O182"/>
      <c r="P182"/>
      <c r="Q182"/>
      <c r="R182"/>
      <c r="S182"/>
      <c r="T182"/>
      <c r="U182"/>
      <c r="V182"/>
      <c r="W182"/>
      <c r="X182"/>
      <c r="Y182"/>
      <c r="Z182"/>
      <c r="AA182"/>
    </row>
    <row r="183" spans="9:27">
      <c r="I183"/>
      <c r="J183"/>
      <c r="K183"/>
      <c r="L183"/>
      <c r="M183"/>
      <c r="N183"/>
      <c r="O183"/>
      <c r="P183"/>
      <c r="Q183"/>
      <c r="R183"/>
      <c r="S183"/>
      <c r="T183"/>
      <c r="U183"/>
      <c r="V183"/>
      <c r="W183"/>
      <c r="X183"/>
      <c r="Y183"/>
      <c r="Z183"/>
      <c r="AA183"/>
    </row>
    <row r="184" spans="9:27">
      <c r="I184"/>
      <c r="J184"/>
      <c r="K184"/>
      <c r="L184"/>
      <c r="M184"/>
      <c r="N184"/>
      <c r="O184"/>
      <c r="P184"/>
      <c r="Q184"/>
      <c r="R184"/>
      <c r="S184"/>
      <c r="T184"/>
      <c r="U184"/>
      <c r="V184"/>
      <c r="W184"/>
      <c r="X184"/>
      <c r="Y184"/>
      <c r="Z184"/>
      <c r="AA184"/>
    </row>
    <row r="185" spans="9:27">
      <c r="I185"/>
      <c r="J185"/>
      <c r="K185"/>
      <c r="L185"/>
      <c r="M185"/>
      <c r="N185"/>
      <c r="O185"/>
      <c r="P185"/>
      <c r="Q185"/>
      <c r="R185"/>
      <c r="S185"/>
      <c r="T185"/>
      <c r="U185"/>
      <c r="V185"/>
      <c r="W185"/>
      <c r="X185"/>
      <c r="Y185"/>
      <c r="Z185"/>
      <c r="AA185"/>
    </row>
    <row r="186" spans="9:27">
      <c r="I186"/>
      <c r="J186"/>
      <c r="K186"/>
      <c r="L186"/>
      <c r="M186"/>
      <c r="N186"/>
      <c r="O186"/>
      <c r="P186"/>
      <c r="Q186"/>
      <c r="R186"/>
      <c r="S186"/>
      <c r="T186"/>
      <c r="U186"/>
      <c r="V186"/>
      <c r="W186"/>
      <c r="X186"/>
      <c r="Y186"/>
      <c r="Z186"/>
      <c r="AA186"/>
    </row>
    <row r="187" spans="9:27">
      <c r="I187"/>
      <c r="J187"/>
      <c r="K187"/>
      <c r="L187"/>
      <c r="M187"/>
      <c r="N187"/>
      <c r="O187"/>
      <c r="P187"/>
      <c r="Q187"/>
      <c r="R187"/>
      <c r="S187"/>
      <c r="T187"/>
      <c r="U187"/>
      <c r="V187"/>
      <c r="W187"/>
      <c r="X187"/>
      <c r="Y187"/>
      <c r="Z187"/>
      <c r="AA187"/>
    </row>
    <row r="188" spans="9:27">
      <c r="I188"/>
      <c r="J188"/>
      <c r="K188"/>
      <c r="L188"/>
      <c r="M188"/>
      <c r="N188"/>
      <c r="O188"/>
      <c r="P188"/>
      <c r="Q188"/>
      <c r="R188"/>
      <c r="S188"/>
      <c r="T188"/>
      <c r="U188"/>
      <c r="V188"/>
      <c r="W188"/>
      <c r="X188"/>
      <c r="Y188"/>
      <c r="Z188"/>
      <c r="AA188"/>
    </row>
    <row r="189" spans="9:27">
      <c r="I189"/>
      <c r="J189"/>
      <c r="K189"/>
      <c r="L189"/>
      <c r="M189"/>
      <c r="N189"/>
      <c r="O189"/>
      <c r="P189"/>
      <c r="Q189"/>
      <c r="R189"/>
      <c r="S189"/>
      <c r="T189"/>
      <c r="U189"/>
      <c r="V189"/>
      <c r="W189"/>
      <c r="X189"/>
      <c r="Y189"/>
      <c r="Z189"/>
      <c r="AA189"/>
    </row>
    <row r="190" spans="9:27">
      <c r="I190"/>
      <c r="J190"/>
      <c r="K190"/>
      <c r="L190"/>
      <c r="M190"/>
      <c r="N190"/>
      <c r="O190"/>
      <c r="P190"/>
      <c r="Q190"/>
      <c r="R190"/>
      <c r="S190"/>
      <c r="T190"/>
      <c r="U190"/>
      <c r="V190"/>
      <c r="W190"/>
      <c r="X190"/>
      <c r="Y190"/>
      <c r="Z190"/>
      <c r="AA190"/>
    </row>
    <row r="191" spans="9:27">
      <c r="I191"/>
      <c r="J191"/>
      <c r="K191"/>
      <c r="L191"/>
      <c r="M191"/>
      <c r="N191"/>
      <c r="O191"/>
      <c r="P191"/>
      <c r="Q191"/>
      <c r="R191"/>
      <c r="S191"/>
      <c r="T191"/>
      <c r="U191"/>
      <c r="V191"/>
      <c r="W191"/>
      <c r="X191"/>
      <c r="Y191"/>
      <c r="Z191"/>
      <c r="AA191"/>
    </row>
    <row r="192" spans="9:27">
      <c r="I192"/>
      <c r="J192"/>
      <c r="K192"/>
      <c r="L192"/>
      <c r="M192"/>
      <c r="N192"/>
      <c r="O192"/>
      <c r="P192"/>
      <c r="Q192"/>
      <c r="R192"/>
      <c r="S192"/>
      <c r="T192"/>
      <c r="U192"/>
      <c r="V192"/>
      <c r="W192"/>
      <c r="X192"/>
      <c r="Y192"/>
      <c r="Z192"/>
      <c r="AA192"/>
    </row>
    <row r="193" spans="9:27">
      <c r="I193"/>
      <c r="J193"/>
      <c r="K193"/>
      <c r="L193"/>
      <c r="M193"/>
      <c r="N193"/>
      <c r="O193"/>
      <c r="P193"/>
      <c r="Q193"/>
      <c r="R193"/>
      <c r="S193"/>
      <c r="T193"/>
      <c r="U193"/>
      <c r="V193"/>
      <c r="W193"/>
      <c r="X193"/>
      <c r="Y193"/>
      <c r="Z193"/>
      <c r="AA193"/>
    </row>
    <row r="194" spans="9:27">
      <c r="I194"/>
      <c r="J194"/>
      <c r="K194"/>
      <c r="L194"/>
      <c r="M194"/>
      <c r="N194"/>
      <c r="O194"/>
      <c r="P194"/>
      <c r="Q194"/>
      <c r="R194"/>
      <c r="S194"/>
      <c r="T194"/>
      <c r="U194"/>
      <c r="V194"/>
      <c r="W194"/>
      <c r="X194"/>
      <c r="Y194"/>
      <c r="Z194"/>
      <c r="AA194"/>
    </row>
    <row r="195" spans="9:27">
      <c r="I195"/>
      <c r="J195"/>
      <c r="K195"/>
      <c r="L195"/>
      <c r="M195"/>
      <c r="N195"/>
      <c r="O195"/>
      <c r="P195"/>
      <c r="Q195"/>
      <c r="R195"/>
      <c r="S195"/>
      <c r="T195"/>
      <c r="U195"/>
      <c r="V195"/>
      <c r="W195"/>
      <c r="X195"/>
      <c r="Y195"/>
      <c r="Z195"/>
      <c r="AA195"/>
    </row>
    <row r="196" spans="9:27">
      <c r="I196"/>
      <c r="J196"/>
      <c r="K196"/>
      <c r="L196"/>
      <c r="M196"/>
      <c r="N196"/>
      <c r="O196"/>
      <c r="P196"/>
      <c r="Q196"/>
      <c r="R196"/>
      <c r="S196"/>
      <c r="T196"/>
      <c r="U196"/>
      <c r="V196"/>
      <c r="W196"/>
      <c r="X196"/>
      <c r="Y196"/>
      <c r="Z196"/>
      <c r="AA196"/>
    </row>
    <row r="197" spans="9:27">
      <c r="I197"/>
      <c r="J197"/>
      <c r="K197"/>
      <c r="L197"/>
      <c r="M197"/>
      <c r="N197"/>
      <c r="O197"/>
      <c r="P197"/>
      <c r="Q197"/>
      <c r="R197"/>
      <c r="S197"/>
      <c r="T197"/>
      <c r="U197"/>
      <c r="V197"/>
      <c r="W197"/>
      <c r="X197"/>
      <c r="Y197"/>
      <c r="Z197"/>
      <c r="AA197"/>
    </row>
    <row r="198" spans="9:27">
      <c r="I198"/>
      <c r="J198"/>
      <c r="K198"/>
      <c r="L198"/>
      <c r="M198"/>
      <c r="N198"/>
      <c r="O198"/>
      <c r="P198"/>
      <c r="Q198"/>
      <c r="R198"/>
      <c r="S198"/>
      <c r="T198"/>
      <c r="U198"/>
      <c r="V198"/>
      <c r="W198"/>
      <c r="X198"/>
      <c r="Y198"/>
      <c r="Z198"/>
      <c r="AA198"/>
    </row>
    <row r="199" spans="9:27">
      <c r="I199"/>
      <c r="J199"/>
      <c r="K199"/>
      <c r="L199"/>
      <c r="M199"/>
      <c r="N199"/>
      <c r="O199"/>
      <c r="P199"/>
      <c r="Q199"/>
      <c r="R199"/>
      <c r="S199"/>
      <c r="T199"/>
      <c r="U199"/>
      <c r="V199"/>
      <c r="W199"/>
      <c r="X199"/>
      <c r="Y199"/>
      <c r="Z199"/>
      <c r="AA199"/>
    </row>
    <row r="200" spans="9:27">
      <c r="I200"/>
      <c r="J200"/>
      <c r="K200"/>
      <c r="L200"/>
      <c r="M200"/>
      <c r="N200"/>
      <c r="O200"/>
      <c r="P200"/>
      <c r="Q200"/>
      <c r="R200"/>
      <c r="S200"/>
      <c r="T200"/>
      <c r="U200"/>
      <c r="V200"/>
      <c r="W200"/>
      <c r="X200"/>
      <c r="Y200"/>
      <c r="Z200"/>
      <c r="AA200"/>
    </row>
    <row r="201" spans="9:27">
      <c r="I201"/>
      <c r="J201"/>
      <c r="K201"/>
      <c r="L201"/>
      <c r="M201"/>
      <c r="N201"/>
      <c r="O201"/>
      <c r="P201"/>
      <c r="Q201"/>
      <c r="R201"/>
      <c r="S201"/>
      <c r="T201"/>
      <c r="U201"/>
      <c r="V201"/>
      <c r="W201"/>
      <c r="X201"/>
      <c r="Y201"/>
      <c r="Z201"/>
      <c r="AA201"/>
    </row>
    <row r="202" spans="9:27">
      <c r="I202"/>
      <c r="J202"/>
      <c r="K202"/>
      <c r="L202"/>
      <c r="M202"/>
      <c r="N202"/>
      <c r="O202"/>
      <c r="P202"/>
      <c r="Q202"/>
      <c r="R202"/>
      <c r="S202"/>
      <c r="T202"/>
      <c r="U202"/>
      <c r="V202"/>
      <c r="W202"/>
      <c r="X202"/>
      <c r="Y202"/>
      <c r="Z202"/>
      <c r="AA202"/>
    </row>
    <row r="203" spans="9:27">
      <c r="I203"/>
      <c r="J203"/>
      <c r="K203"/>
      <c r="L203"/>
      <c r="M203"/>
      <c r="N203"/>
      <c r="O203"/>
      <c r="P203"/>
      <c r="Q203"/>
      <c r="R203"/>
      <c r="S203"/>
      <c r="T203"/>
      <c r="U203"/>
      <c r="V203"/>
      <c r="W203"/>
      <c r="X203"/>
      <c r="Y203"/>
      <c r="Z203"/>
      <c r="AA203"/>
    </row>
    <row r="204" spans="9:27">
      <c r="I204"/>
      <c r="J204"/>
      <c r="K204"/>
      <c r="L204"/>
      <c r="M204"/>
      <c r="N204"/>
      <c r="O204"/>
      <c r="P204"/>
      <c r="Q204"/>
      <c r="R204"/>
      <c r="S204"/>
      <c r="T204"/>
      <c r="U204"/>
      <c r="V204"/>
      <c r="W204"/>
      <c r="X204"/>
      <c r="Y204"/>
      <c r="Z204"/>
      <c r="AA204"/>
    </row>
    <row r="205" spans="9:27">
      <c r="I205"/>
      <c r="J205"/>
      <c r="K205"/>
      <c r="L205"/>
      <c r="M205"/>
      <c r="N205"/>
      <c r="O205"/>
      <c r="P205"/>
      <c r="Q205"/>
      <c r="R205"/>
      <c r="S205"/>
      <c r="T205"/>
      <c r="U205"/>
      <c r="V205"/>
      <c r="W205"/>
      <c r="X205"/>
      <c r="Y205"/>
      <c r="Z205"/>
      <c r="AA205"/>
    </row>
    <row r="206" spans="9:27">
      <c r="I206"/>
      <c r="J206"/>
      <c r="K206"/>
      <c r="L206"/>
      <c r="M206"/>
      <c r="N206"/>
      <c r="O206"/>
      <c r="P206"/>
      <c r="Q206"/>
      <c r="R206"/>
      <c r="S206"/>
      <c r="T206"/>
      <c r="U206"/>
      <c r="V206"/>
      <c r="W206"/>
      <c r="X206"/>
      <c r="Y206"/>
      <c r="Z206"/>
      <c r="AA206"/>
    </row>
    <row r="207" spans="9:27">
      <c r="I207"/>
      <c r="J207"/>
      <c r="K207"/>
      <c r="L207"/>
      <c r="M207"/>
      <c r="N207"/>
      <c r="O207"/>
      <c r="P207"/>
      <c r="Q207"/>
      <c r="R207"/>
      <c r="S207"/>
      <c r="T207"/>
      <c r="U207"/>
      <c r="V207"/>
      <c r="W207"/>
      <c r="X207"/>
      <c r="Y207"/>
      <c r="Z207"/>
      <c r="AA207"/>
    </row>
    <row r="208" spans="9:27">
      <c r="I208"/>
      <c r="J208"/>
      <c r="K208"/>
      <c r="L208"/>
      <c r="M208"/>
      <c r="N208"/>
      <c r="O208"/>
      <c r="P208"/>
      <c r="Q208"/>
      <c r="R208"/>
      <c r="S208"/>
      <c r="T208"/>
      <c r="U208"/>
      <c r="V208"/>
      <c r="W208"/>
      <c r="X208"/>
      <c r="Y208"/>
      <c r="Z208"/>
      <c r="AA208"/>
    </row>
    <row r="209" spans="9:27">
      <c r="I209"/>
      <c r="J209"/>
      <c r="K209"/>
      <c r="L209"/>
      <c r="M209"/>
      <c r="N209"/>
      <c r="O209"/>
      <c r="P209"/>
      <c r="Q209"/>
      <c r="R209"/>
      <c r="S209"/>
      <c r="T209"/>
      <c r="U209"/>
      <c r="V209"/>
      <c r="W209"/>
      <c r="X209"/>
      <c r="Y209"/>
      <c r="Z209"/>
      <c r="AA209"/>
    </row>
    <row r="210" spans="9:27">
      <c r="I210"/>
      <c r="J210"/>
      <c r="K210"/>
      <c r="L210"/>
      <c r="M210"/>
      <c r="N210"/>
      <c r="O210"/>
      <c r="P210"/>
      <c r="Q210"/>
      <c r="R210"/>
      <c r="S210"/>
      <c r="T210"/>
      <c r="U210"/>
      <c r="V210"/>
      <c r="W210"/>
      <c r="X210"/>
      <c r="Y210"/>
      <c r="Z210"/>
      <c r="AA210"/>
    </row>
    <row r="211" spans="9:27">
      <c r="I211"/>
      <c r="J211"/>
      <c r="K211"/>
      <c r="L211"/>
      <c r="M211"/>
      <c r="N211"/>
      <c r="O211"/>
      <c r="P211"/>
      <c r="Q211"/>
      <c r="R211"/>
      <c r="S211"/>
      <c r="T211"/>
      <c r="U211"/>
      <c r="V211"/>
      <c r="W211"/>
      <c r="X211"/>
      <c r="Y211"/>
      <c r="Z211"/>
      <c r="AA211"/>
    </row>
    <row r="212" spans="9:27">
      <c r="I212"/>
      <c r="J212"/>
      <c r="K212"/>
      <c r="L212"/>
      <c r="M212"/>
      <c r="N212"/>
      <c r="O212"/>
      <c r="P212"/>
      <c r="Q212"/>
      <c r="R212"/>
      <c r="S212"/>
      <c r="T212"/>
      <c r="U212"/>
      <c r="V212"/>
      <c r="W212"/>
      <c r="X212"/>
      <c r="Y212"/>
      <c r="Z212"/>
      <c r="AA212"/>
    </row>
    <row r="213" spans="9:27">
      <c r="I213"/>
      <c r="J213"/>
      <c r="K213"/>
      <c r="L213"/>
      <c r="M213"/>
      <c r="N213"/>
      <c r="O213"/>
      <c r="P213"/>
      <c r="Q213"/>
      <c r="R213"/>
      <c r="S213"/>
      <c r="T213"/>
      <c r="U213"/>
      <c r="V213"/>
      <c r="W213"/>
      <c r="X213"/>
      <c r="Y213"/>
      <c r="Z213"/>
      <c r="AA213"/>
    </row>
    <row r="214" spans="9:27">
      <c r="I214"/>
      <c r="J214"/>
      <c r="K214"/>
      <c r="L214"/>
      <c r="M214"/>
      <c r="N214"/>
      <c r="O214"/>
      <c r="P214"/>
      <c r="Q214"/>
      <c r="R214"/>
      <c r="S214"/>
      <c r="T214"/>
      <c r="U214"/>
      <c r="V214"/>
      <c r="W214"/>
      <c r="X214"/>
      <c r="Y214"/>
      <c r="Z214"/>
      <c r="AA214"/>
    </row>
    <row r="215" spans="9:27">
      <c r="I215"/>
      <c r="J215"/>
      <c r="K215"/>
      <c r="L215"/>
      <c r="M215"/>
      <c r="N215"/>
      <c r="O215"/>
      <c r="P215"/>
      <c r="Q215"/>
      <c r="R215"/>
      <c r="S215"/>
      <c r="T215"/>
      <c r="U215"/>
      <c r="V215"/>
      <c r="W215"/>
      <c r="X215"/>
      <c r="Y215"/>
      <c r="Z215"/>
      <c r="AA215"/>
    </row>
    <row r="216" spans="9:27">
      <c r="I216"/>
      <c r="J216"/>
      <c r="K216"/>
      <c r="L216"/>
      <c r="M216"/>
      <c r="N216"/>
      <c r="O216"/>
      <c r="P216"/>
      <c r="Q216"/>
      <c r="R216"/>
      <c r="S216"/>
      <c r="T216"/>
      <c r="U216"/>
      <c r="V216"/>
      <c r="W216"/>
      <c r="X216"/>
      <c r="Y216"/>
      <c r="Z216"/>
      <c r="AA216"/>
    </row>
    <row r="217" spans="9:27">
      <c r="I217"/>
      <c r="J217"/>
      <c r="K217"/>
      <c r="L217"/>
      <c r="M217"/>
      <c r="N217"/>
      <c r="O217"/>
      <c r="P217"/>
      <c r="Q217"/>
      <c r="R217"/>
      <c r="S217"/>
      <c r="T217"/>
      <c r="U217"/>
      <c r="V217"/>
      <c r="W217"/>
      <c r="X217"/>
      <c r="Y217"/>
      <c r="Z217"/>
      <c r="AA217"/>
    </row>
    <row r="218" spans="9:27">
      <c r="I218"/>
      <c r="J218"/>
      <c r="K218"/>
      <c r="L218"/>
      <c r="M218"/>
      <c r="N218"/>
      <c r="O218"/>
      <c r="P218"/>
      <c r="Q218"/>
      <c r="R218"/>
      <c r="S218"/>
      <c r="T218"/>
      <c r="U218"/>
      <c r="V218"/>
      <c r="W218"/>
      <c r="X218"/>
      <c r="Y218"/>
      <c r="Z218"/>
      <c r="AA218"/>
    </row>
    <row r="219" spans="9:27">
      <c r="I219"/>
      <c r="J219"/>
      <c r="K219"/>
      <c r="L219"/>
      <c r="M219"/>
      <c r="N219"/>
      <c r="O219"/>
      <c r="P219"/>
      <c r="Q219"/>
      <c r="R219"/>
      <c r="S219"/>
      <c r="T219"/>
      <c r="U219"/>
      <c r="V219"/>
      <c r="W219"/>
      <c r="X219"/>
      <c r="Y219"/>
      <c r="Z219"/>
      <c r="AA219"/>
    </row>
    <row r="220" spans="9:27">
      <c r="I220"/>
      <c r="J220"/>
      <c r="K220"/>
      <c r="L220"/>
      <c r="M220"/>
      <c r="N220"/>
      <c r="O220"/>
      <c r="P220"/>
      <c r="Q220"/>
      <c r="R220"/>
      <c r="S220"/>
      <c r="T220"/>
      <c r="U220"/>
      <c r="V220"/>
      <c r="W220"/>
      <c r="X220"/>
      <c r="Y220"/>
      <c r="Z220"/>
      <c r="AA220"/>
    </row>
    <row r="221" spans="9:27">
      <c r="I221"/>
      <c r="J221"/>
      <c r="K221"/>
      <c r="L221"/>
      <c r="M221"/>
      <c r="N221"/>
      <c r="O221"/>
      <c r="P221"/>
      <c r="Q221"/>
      <c r="R221"/>
      <c r="S221"/>
      <c r="T221"/>
      <c r="U221"/>
      <c r="V221"/>
      <c r="W221"/>
      <c r="X221"/>
      <c r="Y221"/>
      <c r="Z221"/>
      <c r="AA221"/>
    </row>
    <row r="222" spans="9:27">
      <c r="I222"/>
      <c r="J222"/>
      <c r="K222"/>
      <c r="L222"/>
      <c r="M222"/>
      <c r="N222"/>
      <c r="O222"/>
      <c r="P222"/>
      <c r="Q222"/>
      <c r="R222"/>
      <c r="S222"/>
      <c r="T222"/>
      <c r="U222"/>
      <c r="V222"/>
      <c r="W222"/>
      <c r="X222"/>
      <c r="Y222"/>
      <c r="Z222"/>
      <c r="AA222"/>
    </row>
    <row r="223" spans="9:27">
      <c r="I223"/>
      <c r="J223"/>
      <c r="K223"/>
      <c r="L223"/>
      <c r="M223"/>
      <c r="N223"/>
      <c r="O223"/>
      <c r="P223"/>
      <c r="Q223"/>
      <c r="R223"/>
      <c r="S223"/>
      <c r="T223"/>
      <c r="U223"/>
      <c r="V223"/>
      <c r="W223"/>
      <c r="X223"/>
      <c r="Y223"/>
      <c r="Z223"/>
      <c r="AA223"/>
    </row>
    <row r="224" spans="9:27">
      <c r="I224"/>
      <c r="J224"/>
      <c r="K224"/>
      <c r="L224"/>
      <c r="M224"/>
      <c r="N224"/>
      <c r="O224"/>
      <c r="P224"/>
      <c r="Q224"/>
      <c r="R224"/>
      <c r="S224"/>
      <c r="T224"/>
      <c r="U224"/>
      <c r="V224"/>
      <c r="W224"/>
      <c r="X224"/>
      <c r="Y224"/>
      <c r="Z224"/>
      <c r="AA224"/>
    </row>
    <row r="225" spans="9:27">
      <c r="I225"/>
      <c r="J225"/>
      <c r="K225"/>
      <c r="L225"/>
      <c r="M225"/>
      <c r="N225"/>
      <c r="O225"/>
      <c r="P225"/>
      <c r="Q225"/>
      <c r="R225"/>
      <c r="S225"/>
      <c r="T225"/>
      <c r="U225"/>
      <c r="V225"/>
      <c r="W225"/>
      <c r="X225"/>
      <c r="Y225"/>
      <c r="Z225"/>
      <c r="AA225"/>
    </row>
    <row r="226" spans="9:27">
      <c r="I226"/>
      <c r="J226"/>
      <c r="K226"/>
      <c r="L226"/>
      <c r="M226"/>
      <c r="N226"/>
      <c r="O226"/>
      <c r="P226"/>
      <c r="Q226"/>
      <c r="R226"/>
      <c r="S226"/>
      <c r="T226"/>
      <c r="U226"/>
      <c r="V226"/>
      <c r="W226"/>
      <c r="X226"/>
      <c r="Y226"/>
      <c r="Z226"/>
      <c r="AA226"/>
    </row>
    <row r="227" spans="9:27">
      <c r="I227"/>
      <c r="J227"/>
      <c r="K227"/>
      <c r="L227"/>
      <c r="M227"/>
      <c r="N227"/>
      <c r="O227"/>
      <c r="P227"/>
      <c r="Q227"/>
      <c r="R227"/>
      <c r="S227"/>
      <c r="T227"/>
      <c r="U227"/>
      <c r="V227"/>
      <c r="W227"/>
      <c r="X227"/>
      <c r="Y227"/>
      <c r="Z227"/>
      <c r="AA227"/>
    </row>
    <row r="228" spans="9:27">
      <c r="I228"/>
      <c r="J228"/>
      <c r="K228"/>
      <c r="L228"/>
      <c r="M228"/>
      <c r="N228"/>
      <c r="O228"/>
      <c r="P228"/>
      <c r="Q228"/>
      <c r="R228"/>
      <c r="S228"/>
      <c r="T228"/>
      <c r="U228"/>
      <c r="V228"/>
      <c r="W228"/>
      <c r="X228"/>
      <c r="Y228"/>
      <c r="Z228"/>
      <c r="AA228"/>
    </row>
    <row r="229" spans="9:27">
      <c r="I229"/>
      <c r="J229"/>
      <c r="K229"/>
      <c r="L229"/>
      <c r="M229"/>
      <c r="N229"/>
      <c r="O229"/>
      <c r="P229"/>
      <c r="Q229"/>
      <c r="R229"/>
      <c r="S229"/>
      <c r="T229"/>
      <c r="U229"/>
      <c r="V229"/>
      <c r="W229"/>
      <c r="X229"/>
      <c r="Y229"/>
      <c r="Z229"/>
      <c r="AA229"/>
    </row>
    <row r="230" spans="9:27">
      <c r="I230"/>
      <c r="J230"/>
      <c r="K230"/>
      <c r="L230"/>
      <c r="M230"/>
      <c r="N230"/>
      <c r="O230"/>
      <c r="P230"/>
      <c r="Q230"/>
      <c r="R230"/>
      <c r="S230"/>
      <c r="T230"/>
      <c r="U230"/>
      <c r="V230"/>
      <c r="W230"/>
      <c r="X230"/>
      <c r="Y230"/>
      <c r="Z230"/>
      <c r="AA230"/>
    </row>
    <row r="231" spans="9:27">
      <c r="I231"/>
      <c r="J231"/>
      <c r="K231"/>
      <c r="L231"/>
      <c r="M231"/>
      <c r="N231"/>
      <c r="O231"/>
      <c r="P231"/>
      <c r="Q231"/>
      <c r="R231"/>
      <c r="S231"/>
      <c r="T231"/>
      <c r="U231"/>
      <c r="V231"/>
      <c r="W231"/>
      <c r="X231"/>
      <c r="Y231"/>
      <c r="Z231"/>
      <c r="AA231"/>
    </row>
    <row r="232" spans="9:27">
      <c r="I232"/>
      <c r="J232"/>
      <c r="K232"/>
      <c r="L232"/>
      <c r="M232"/>
      <c r="N232"/>
      <c r="O232"/>
      <c r="P232"/>
      <c r="Q232"/>
      <c r="R232"/>
      <c r="S232"/>
      <c r="T232"/>
      <c r="U232"/>
      <c r="V232"/>
      <c r="W232"/>
      <c r="X232"/>
      <c r="Y232"/>
      <c r="Z232"/>
      <c r="AA232"/>
    </row>
    <row r="233" spans="9:27">
      <c r="I233"/>
      <c r="J233"/>
      <c r="K233"/>
      <c r="L233"/>
      <c r="M233"/>
      <c r="N233"/>
      <c r="O233"/>
      <c r="P233"/>
      <c r="Q233"/>
      <c r="R233"/>
      <c r="S233"/>
      <c r="T233"/>
      <c r="U233"/>
      <c r="V233"/>
      <c r="W233"/>
      <c r="X233"/>
      <c r="Y233"/>
      <c r="Z233"/>
      <c r="AA233"/>
    </row>
    <row r="234" spans="9:27">
      <c r="I234"/>
      <c r="J234"/>
      <c r="K234"/>
      <c r="L234"/>
      <c r="M234"/>
      <c r="N234"/>
      <c r="O234"/>
      <c r="P234"/>
      <c r="Q234"/>
      <c r="R234"/>
      <c r="S234"/>
      <c r="T234"/>
      <c r="U234"/>
      <c r="V234"/>
      <c r="W234"/>
      <c r="X234"/>
      <c r="Y234"/>
      <c r="Z234"/>
      <c r="AA234"/>
    </row>
    <row r="235" spans="9:27">
      <c r="I235"/>
      <c r="J235"/>
      <c r="K235"/>
      <c r="L235"/>
      <c r="M235"/>
      <c r="N235"/>
      <c r="O235"/>
      <c r="P235"/>
      <c r="Q235"/>
      <c r="R235"/>
      <c r="S235"/>
      <c r="T235"/>
      <c r="U235"/>
      <c r="V235"/>
      <c r="W235"/>
      <c r="X235"/>
      <c r="Y235"/>
      <c r="Z235"/>
      <c r="AA235"/>
    </row>
    <row r="236" spans="9:27">
      <c r="I236"/>
      <c r="J236"/>
      <c r="K236"/>
      <c r="L236"/>
      <c r="M236"/>
      <c r="N236"/>
      <c r="O236"/>
      <c r="P236"/>
      <c r="Q236"/>
      <c r="R236"/>
      <c r="S236"/>
      <c r="T236"/>
      <c r="U236"/>
      <c r="V236"/>
      <c r="W236"/>
      <c r="X236"/>
      <c r="Y236"/>
      <c r="Z236"/>
      <c r="AA236"/>
    </row>
    <row r="237" spans="9:27">
      <c r="I237"/>
      <c r="J237"/>
      <c r="K237"/>
      <c r="L237"/>
      <c r="M237"/>
      <c r="N237"/>
      <c r="O237"/>
      <c r="P237"/>
      <c r="Q237"/>
      <c r="R237"/>
      <c r="S237"/>
      <c r="T237"/>
      <c r="U237"/>
      <c r="V237"/>
      <c r="W237"/>
      <c r="X237"/>
      <c r="Y237"/>
      <c r="Z237"/>
      <c r="AA237"/>
    </row>
    <row r="238" spans="9:27">
      <c r="I238"/>
      <c r="J238"/>
      <c r="K238"/>
      <c r="L238"/>
      <c r="M238"/>
      <c r="N238"/>
      <c r="O238"/>
      <c r="P238"/>
      <c r="Q238"/>
      <c r="R238"/>
      <c r="S238"/>
      <c r="T238"/>
      <c r="U238"/>
      <c r="V238"/>
      <c r="W238"/>
      <c r="X238"/>
      <c r="Y238"/>
      <c r="Z238"/>
      <c r="AA238"/>
    </row>
    <row r="239" spans="9:27">
      <c r="I239"/>
      <c r="J239"/>
      <c r="K239"/>
      <c r="L239"/>
      <c r="M239"/>
      <c r="N239"/>
      <c r="O239"/>
      <c r="P239"/>
      <c r="Q239"/>
      <c r="R239"/>
      <c r="S239"/>
      <c r="T239"/>
      <c r="U239"/>
      <c r="V239"/>
      <c r="W239"/>
      <c r="X239"/>
      <c r="Y239"/>
      <c r="Z239"/>
      <c r="AA239"/>
    </row>
    <row r="240" spans="9:27">
      <c r="I240"/>
      <c r="J240"/>
      <c r="K240"/>
      <c r="L240"/>
      <c r="M240"/>
      <c r="N240"/>
      <c r="O240"/>
      <c r="P240"/>
      <c r="Q240"/>
      <c r="R240"/>
      <c r="S240"/>
      <c r="T240"/>
      <c r="U240"/>
      <c r="V240"/>
      <c r="W240"/>
      <c r="X240"/>
      <c r="Y240"/>
      <c r="Z240"/>
      <c r="AA240"/>
    </row>
    <row r="241" spans="9:27">
      <c r="I241"/>
      <c r="J241"/>
      <c r="K241"/>
      <c r="L241"/>
      <c r="M241"/>
      <c r="N241"/>
      <c r="O241"/>
      <c r="P241"/>
      <c r="Q241"/>
      <c r="R241"/>
      <c r="S241"/>
      <c r="T241"/>
      <c r="U241"/>
      <c r="V241"/>
      <c r="W241"/>
      <c r="X241"/>
      <c r="Y241"/>
      <c r="Z241"/>
      <c r="AA241"/>
    </row>
    <row r="242" spans="9:27">
      <c r="I242"/>
      <c r="J242"/>
      <c r="K242"/>
      <c r="L242"/>
      <c r="M242"/>
      <c r="N242"/>
      <c r="O242"/>
      <c r="P242"/>
      <c r="Q242"/>
      <c r="R242"/>
      <c r="S242"/>
      <c r="T242"/>
      <c r="U242"/>
      <c r="V242"/>
      <c r="W242"/>
      <c r="X242"/>
      <c r="Y242"/>
      <c r="Z242"/>
      <c r="AA242"/>
    </row>
    <row r="243" spans="9:27">
      <c r="I243"/>
      <c r="J243"/>
      <c r="K243"/>
      <c r="L243"/>
      <c r="M243"/>
      <c r="N243"/>
      <c r="O243"/>
      <c r="P243"/>
      <c r="Q243"/>
      <c r="R243"/>
      <c r="S243"/>
      <c r="T243"/>
      <c r="U243"/>
      <c r="V243"/>
      <c r="W243"/>
      <c r="X243"/>
      <c r="Y243"/>
      <c r="Z243"/>
      <c r="AA243"/>
    </row>
    <row r="244" spans="9:27">
      <c r="I244"/>
      <c r="J244"/>
      <c r="K244"/>
      <c r="L244"/>
      <c r="M244"/>
      <c r="N244"/>
      <c r="O244"/>
      <c r="P244"/>
      <c r="Q244"/>
      <c r="R244"/>
      <c r="S244"/>
      <c r="T244"/>
      <c r="U244"/>
      <c r="V244"/>
      <c r="W244"/>
      <c r="X244"/>
      <c r="Y244"/>
      <c r="Z244"/>
      <c r="AA244"/>
    </row>
    <row r="245" spans="9:27">
      <c r="I245"/>
      <c r="J245"/>
      <c r="K245"/>
      <c r="L245"/>
      <c r="M245"/>
      <c r="N245"/>
      <c r="O245"/>
      <c r="P245"/>
      <c r="Q245"/>
      <c r="R245"/>
      <c r="S245"/>
      <c r="T245"/>
      <c r="U245"/>
      <c r="V245"/>
      <c r="W245"/>
      <c r="X245"/>
      <c r="Y245"/>
      <c r="Z245"/>
      <c r="AA245"/>
    </row>
    <row r="246" spans="9:27">
      <c r="I246"/>
      <c r="J246"/>
      <c r="K246"/>
      <c r="L246"/>
      <c r="M246"/>
      <c r="N246"/>
      <c r="O246"/>
      <c r="P246"/>
      <c r="Q246"/>
      <c r="R246"/>
      <c r="S246"/>
      <c r="T246"/>
      <c r="U246"/>
      <c r="V246"/>
      <c r="W246"/>
      <c r="X246"/>
      <c r="Y246"/>
      <c r="Z246"/>
      <c r="AA246"/>
    </row>
    <row r="247" spans="9:27">
      <c r="I247"/>
      <c r="J247"/>
      <c r="K247"/>
      <c r="L247"/>
      <c r="M247"/>
      <c r="N247"/>
      <c r="O247"/>
      <c r="P247"/>
      <c r="Q247"/>
      <c r="R247"/>
      <c r="S247"/>
      <c r="T247"/>
      <c r="U247"/>
      <c r="V247"/>
      <c r="W247"/>
      <c r="X247"/>
      <c r="Y247"/>
      <c r="Z247"/>
      <c r="AA247"/>
    </row>
    <row r="248" spans="9:27">
      <c r="I248"/>
      <c r="J248"/>
      <c r="K248"/>
      <c r="L248"/>
      <c r="M248"/>
      <c r="N248"/>
      <c r="O248"/>
      <c r="P248"/>
      <c r="Q248"/>
      <c r="R248"/>
      <c r="S248"/>
      <c r="T248"/>
      <c r="U248"/>
      <c r="V248"/>
      <c r="W248"/>
      <c r="X248"/>
      <c r="Y248"/>
      <c r="Z248"/>
      <c r="AA248"/>
    </row>
    <row r="249" spans="9:27">
      <c r="I249"/>
      <c r="J249"/>
      <c r="K249"/>
      <c r="L249"/>
      <c r="M249"/>
      <c r="N249"/>
      <c r="O249"/>
      <c r="P249"/>
      <c r="Q249"/>
      <c r="R249"/>
      <c r="S249"/>
      <c r="T249"/>
      <c r="U249"/>
      <c r="V249"/>
      <c r="W249"/>
      <c r="X249"/>
      <c r="Y249"/>
      <c r="Z249"/>
      <c r="AA249"/>
    </row>
    <row r="250" spans="9:27">
      <c r="I250"/>
      <c r="J250"/>
      <c r="K250"/>
      <c r="L250"/>
      <c r="M250"/>
      <c r="N250"/>
      <c r="O250"/>
      <c r="P250"/>
      <c r="Q250"/>
      <c r="R250"/>
      <c r="S250"/>
      <c r="T250"/>
      <c r="U250"/>
      <c r="V250"/>
      <c r="W250"/>
      <c r="X250"/>
      <c r="Y250"/>
      <c r="Z250"/>
      <c r="AA250"/>
    </row>
    <row r="251" spans="9:27">
      <c r="I251"/>
      <c r="J251"/>
      <c r="K251"/>
      <c r="L251"/>
      <c r="M251"/>
      <c r="N251"/>
      <c r="O251"/>
      <c r="P251"/>
      <c r="Q251"/>
      <c r="R251"/>
      <c r="S251"/>
      <c r="T251"/>
      <c r="U251"/>
      <c r="V251"/>
      <c r="W251"/>
      <c r="X251"/>
      <c r="Y251"/>
      <c r="Z251"/>
      <c r="AA251"/>
    </row>
    <row r="252" spans="9:27">
      <c r="I252"/>
      <c r="J252"/>
      <c r="K252"/>
      <c r="L252"/>
      <c r="M252"/>
      <c r="N252"/>
      <c r="O252"/>
      <c r="P252"/>
      <c r="Q252"/>
      <c r="R252"/>
      <c r="S252"/>
      <c r="T252"/>
      <c r="U252"/>
      <c r="V252"/>
      <c r="W252"/>
      <c r="X252"/>
      <c r="Y252"/>
      <c r="Z252"/>
      <c r="AA252"/>
    </row>
    <row r="253" spans="9:27">
      <c r="I253"/>
      <c r="J253"/>
      <c r="K253"/>
      <c r="L253"/>
      <c r="M253"/>
      <c r="N253"/>
      <c r="O253"/>
      <c r="P253"/>
      <c r="Q253"/>
      <c r="R253"/>
      <c r="S253"/>
      <c r="T253"/>
      <c r="U253"/>
      <c r="V253"/>
      <c r="W253"/>
      <c r="X253"/>
      <c r="Y253"/>
      <c r="Z253"/>
      <c r="AA253"/>
    </row>
    <row r="254" spans="9:27">
      <c r="I254"/>
      <c r="J254"/>
      <c r="K254"/>
      <c r="L254"/>
      <c r="M254"/>
      <c r="N254"/>
      <c r="O254"/>
      <c r="P254"/>
      <c r="Q254"/>
      <c r="R254"/>
      <c r="S254"/>
      <c r="T254"/>
      <c r="U254"/>
      <c r="V254"/>
      <c r="W254"/>
      <c r="X254"/>
      <c r="Y254"/>
      <c r="Z254"/>
      <c r="AA254"/>
    </row>
    <row r="255" spans="9:27">
      <c r="I255"/>
      <c r="J255"/>
      <c r="K255"/>
      <c r="L255"/>
      <c r="M255"/>
      <c r="N255"/>
      <c r="O255"/>
      <c r="P255"/>
      <c r="Q255"/>
      <c r="R255"/>
      <c r="S255"/>
      <c r="T255"/>
      <c r="U255"/>
      <c r="V255"/>
      <c r="W255"/>
      <c r="X255"/>
      <c r="Y255"/>
      <c r="Z255"/>
      <c r="AA255"/>
    </row>
    <row r="256" spans="9:27">
      <c r="I256"/>
      <c r="J256"/>
      <c r="K256"/>
      <c r="L256"/>
      <c r="M256"/>
      <c r="N256"/>
      <c r="O256"/>
      <c r="P256"/>
      <c r="Q256"/>
      <c r="R256"/>
      <c r="S256"/>
      <c r="T256"/>
      <c r="U256"/>
      <c r="V256"/>
      <c r="W256"/>
      <c r="X256"/>
      <c r="Y256"/>
      <c r="Z256"/>
      <c r="AA256"/>
    </row>
    <row r="257" spans="9:27">
      <c r="I257"/>
      <c r="J257"/>
      <c r="K257"/>
      <c r="L257"/>
      <c r="M257"/>
      <c r="N257"/>
      <c r="O257"/>
      <c r="P257"/>
      <c r="Q257"/>
      <c r="R257"/>
      <c r="S257"/>
      <c r="T257"/>
      <c r="U257"/>
      <c r="V257"/>
      <c r="W257"/>
      <c r="X257"/>
      <c r="Y257"/>
      <c r="Z257"/>
      <c r="AA257"/>
    </row>
    <row r="258" spans="9:27">
      <c r="I258"/>
      <c r="J258"/>
      <c r="K258"/>
      <c r="L258"/>
      <c r="M258"/>
      <c r="N258"/>
      <c r="O258"/>
      <c r="P258"/>
      <c r="Q258"/>
      <c r="R258"/>
      <c r="S258"/>
      <c r="T258"/>
      <c r="U258"/>
      <c r="V258"/>
      <c r="W258"/>
      <c r="X258"/>
      <c r="Y258"/>
      <c r="Z258"/>
      <c r="AA258"/>
    </row>
    <row r="259" spans="9:27">
      <c r="I259"/>
      <c r="J259"/>
      <c r="K259"/>
      <c r="L259"/>
      <c r="M259"/>
      <c r="N259"/>
      <c r="O259"/>
      <c r="P259"/>
      <c r="Q259"/>
      <c r="R259"/>
      <c r="S259"/>
      <c r="T259"/>
      <c r="U259"/>
      <c r="V259"/>
      <c r="W259"/>
      <c r="X259"/>
      <c r="Y259"/>
      <c r="Z259"/>
      <c r="AA259"/>
    </row>
    <row r="260" spans="9:27">
      <c r="I260"/>
      <c r="J260"/>
      <c r="K260"/>
      <c r="L260"/>
      <c r="M260"/>
      <c r="N260"/>
      <c r="O260"/>
      <c r="P260"/>
      <c r="Q260"/>
      <c r="R260"/>
      <c r="S260"/>
      <c r="T260"/>
      <c r="U260"/>
      <c r="V260"/>
      <c r="W260"/>
      <c r="X260"/>
      <c r="Y260"/>
      <c r="Z260"/>
      <c r="AA260"/>
    </row>
    <row r="261" spans="9:27">
      <c r="I261"/>
      <c r="J261"/>
      <c r="K261"/>
      <c r="L261"/>
      <c r="M261"/>
      <c r="N261"/>
      <c r="O261"/>
      <c r="P261"/>
      <c r="Q261"/>
      <c r="R261"/>
      <c r="S261"/>
      <c r="T261"/>
      <c r="U261"/>
      <c r="V261"/>
      <c r="W261"/>
      <c r="X261"/>
      <c r="Y261"/>
      <c r="Z261"/>
      <c r="AA261"/>
    </row>
    <row r="262" spans="9:27">
      <c r="I262"/>
      <c r="J262"/>
      <c r="K262"/>
      <c r="L262"/>
      <c r="M262"/>
      <c r="N262"/>
      <c r="O262"/>
      <c r="P262"/>
      <c r="Q262"/>
      <c r="R262"/>
      <c r="S262"/>
      <c r="T262"/>
      <c r="U262"/>
      <c r="V262"/>
      <c r="W262"/>
      <c r="X262"/>
      <c r="Y262"/>
      <c r="Z262"/>
      <c r="AA262"/>
    </row>
    <row r="263" spans="9:27">
      <c r="I263"/>
      <c r="J263"/>
      <c r="K263"/>
      <c r="L263"/>
      <c r="M263"/>
      <c r="N263"/>
      <c r="O263"/>
      <c r="P263"/>
      <c r="Q263"/>
      <c r="R263"/>
      <c r="S263"/>
      <c r="T263"/>
      <c r="U263"/>
      <c r="V263"/>
      <c r="W263"/>
      <c r="X263"/>
      <c r="Y263"/>
      <c r="Z263"/>
      <c r="AA263"/>
    </row>
    <row r="264" spans="9:27">
      <c r="I264"/>
      <c r="J264"/>
      <c r="K264"/>
      <c r="L264"/>
      <c r="M264"/>
      <c r="N264"/>
      <c r="O264"/>
      <c r="P264"/>
      <c r="Q264"/>
      <c r="R264"/>
      <c r="S264"/>
      <c r="T264"/>
      <c r="U264"/>
      <c r="V264"/>
      <c r="W264"/>
      <c r="X264"/>
      <c r="Y264"/>
      <c r="Z264"/>
      <c r="AA264"/>
    </row>
    <row r="265" spans="9:27">
      <c r="I265"/>
      <c r="J265"/>
      <c r="K265"/>
      <c r="L265"/>
      <c r="M265"/>
      <c r="N265"/>
      <c r="O265"/>
      <c r="P265"/>
      <c r="Q265"/>
      <c r="R265"/>
      <c r="S265"/>
      <c r="T265"/>
      <c r="U265"/>
      <c r="V265"/>
      <c r="W265"/>
      <c r="X265"/>
      <c r="Y265"/>
      <c r="Z265"/>
      <c r="AA265"/>
    </row>
    <row r="266" spans="9:27">
      <c r="I266"/>
      <c r="J266"/>
      <c r="K266"/>
      <c r="L266"/>
      <c r="M266"/>
      <c r="N266"/>
      <c r="O266"/>
      <c r="P266"/>
      <c r="Q266"/>
      <c r="R266"/>
      <c r="S266"/>
      <c r="T266"/>
      <c r="U266"/>
      <c r="V266"/>
      <c r="W266"/>
      <c r="X266"/>
      <c r="Y266"/>
      <c r="Z266"/>
      <c r="AA266"/>
    </row>
    <row r="267" spans="9:27">
      <c r="I267"/>
      <c r="J267"/>
      <c r="K267"/>
      <c r="L267"/>
      <c r="M267"/>
      <c r="N267"/>
      <c r="O267"/>
      <c r="P267"/>
      <c r="Q267"/>
      <c r="R267"/>
      <c r="S267"/>
      <c r="T267"/>
      <c r="U267"/>
      <c r="V267"/>
      <c r="W267"/>
      <c r="X267"/>
      <c r="Y267"/>
      <c r="Z267"/>
      <c r="AA267"/>
    </row>
    <row r="268" spans="9:27">
      <c r="I268"/>
      <c r="J268"/>
      <c r="K268"/>
      <c r="L268"/>
      <c r="M268"/>
      <c r="N268"/>
      <c r="O268"/>
      <c r="P268"/>
      <c r="Q268"/>
      <c r="R268"/>
      <c r="S268"/>
      <c r="T268"/>
      <c r="U268"/>
      <c r="V268"/>
      <c r="W268"/>
      <c r="X268"/>
      <c r="Y268"/>
      <c r="Z268"/>
      <c r="AA268"/>
    </row>
    <row r="269" spans="9:27">
      <c r="I269"/>
      <c r="J269"/>
      <c r="K269"/>
      <c r="L269"/>
      <c r="M269"/>
      <c r="N269"/>
      <c r="O269"/>
      <c r="P269"/>
      <c r="Q269"/>
      <c r="R269"/>
      <c r="S269"/>
      <c r="T269"/>
      <c r="U269"/>
      <c r="V269"/>
      <c r="W269"/>
      <c r="X269"/>
      <c r="Y269"/>
      <c r="Z269"/>
      <c r="AA269"/>
    </row>
    <row r="270" spans="9:27">
      <c r="I270"/>
      <c r="J270"/>
      <c r="K270"/>
      <c r="L270"/>
      <c r="M270"/>
      <c r="N270"/>
      <c r="O270"/>
      <c r="P270"/>
      <c r="Q270"/>
      <c r="R270"/>
      <c r="S270"/>
      <c r="T270"/>
      <c r="U270"/>
      <c r="V270"/>
      <c r="W270"/>
      <c r="X270"/>
      <c r="Y270"/>
      <c r="Z270"/>
      <c r="AA270"/>
    </row>
    <row r="271" spans="9:27">
      <c r="I271"/>
      <c r="J271"/>
      <c r="K271"/>
      <c r="L271"/>
      <c r="M271"/>
      <c r="N271"/>
      <c r="O271"/>
      <c r="P271"/>
      <c r="Q271"/>
      <c r="R271"/>
      <c r="S271"/>
      <c r="T271"/>
      <c r="U271"/>
      <c r="V271"/>
      <c r="W271"/>
      <c r="X271"/>
      <c r="Y271"/>
      <c r="Z271"/>
      <c r="AA271"/>
    </row>
    <row r="272" spans="9:27">
      <c r="I272"/>
      <c r="J272"/>
      <c r="K272"/>
      <c r="L272"/>
      <c r="M272"/>
      <c r="N272"/>
      <c r="O272"/>
      <c r="P272"/>
      <c r="Q272"/>
      <c r="R272"/>
      <c r="S272"/>
      <c r="T272"/>
      <c r="U272"/>
      <c r="V272"/>
      <c r="W272"/>
      <c r="X272"/>
      <c r="Y272"/>
      <c r="Z272"/>
      <c r="AA272"/>
    </row>
  </sheetData>
  <conditionalFormatting sqref="Y273:Y1048576">
    <cfRule type="cellIs" dxfId="7" priority="1" operator="greaterThan">
      <formul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7D64-4065-4379-82D1-F2A01A51789C}">
  <sheetPr codeName="Sheet3"/>
  <dimension ref="A1:W272"/>
  <sheetViews>
    <sheetView workbookViewId="0">
      <selection activeCell="G2" sqref="G2"/>
    </sheetView>
  </sheetViews>
  <sheetFormatPr defaultColWidth="9.140625" defaultRowHeight="15"/>
  <cols>
    <col min="1" max="1" width="14.5703125" style="3" customWidth="1"/>
    <col min="2" max="2" width="16.85546875" style="3" customWidth="1"/>
    <col min="3" max="3" width="17.85546875" style="3" customWidth="1"/>
    <col min="4" max="4" width="17.28515625" style="3" customWidth="1"/>
    <col min="5" max="5" width="19.5703125" style="3" customWidth="1"/>
    <col min="6" max="6" width="27.42578125" style="3" customWidth="1"/>
    <col min="7" max="7" width="15.5703125" style="3" customWidth="1"/>
    <col min="8" max="8" width="20.85546875" style="3" customWidth="1"/>
    <col min="9" max="9" width="25" style="4" customWidth="1"/>
    <col min="10" max="10" width="16.5703125" style="4" customWidth="1"/>
    <col min="11" max="11" width="7.85546875" style="3" customWidth="1"/>
    <col min="12" max="14" width="12.42578125" style="3" customWidth="1"/>
    <col min="15" max="15" width="12.42578125" style="3" bestFit="1" customWidth="1"/>
    <col min="16" max="16" width="16.140625" style="3" bestFit="1" customWidth="1"/>
    <col min="17" max="17" width="9.42578125" style="3" bestFit="1" customWidth="1"/>
    <col min="18" max="18" width="16.140625" style="3" bestFit="1" customWidth="1"/>
    <col min="19" max="19" width="14.42578125" style="3" customWidth="1"/>
    <col min="20" max="22" width="7.85546875" style="3" customWidth="1"/>
    <col min="23" max="16384" width="9.140625" style="3"/>
  </cols>
  <sheetData>
    <row r="1" spans="1:10" customFormat="1" ht="30">
      <c r="A1" s="269" t="s">
        <v>0</v>
      </c>
      <c r="B1" s="270" t="s">
        <v>278</v>
      </c>
      <c r="C1" s="270" t="s">
        <v>6</v>
      </c>
      <c r="D1" s="270" t="s">
        <v>200</v>
      </c>
      <c r="E1" s="270" t="s">
        <v>292</v>
      </c>
      <c r="F1" s="270" t="s">
        <v>8</v>
      </c>
      <c r="G1" s="270" t="s">
        <v>1342</v>
      </c>
      <c r="H1" s="270" t="s">
        <v>9</v>
      </c>
      <c r="I1" s="270" t="s">
        <v>10</v>
      </c>
      <c r="J1" s="271" t="s">
        <v>204</v>
      </c>
    </row>
    <row r="2" spans="1:10" customFormat="1">
      <c r="A2" s="251">
        <v>1</v>
      </c>
      <c r="B2" s="1"/>
      <c r="C2" s="1"/>
      <c r="D2" s="1">
        <f t="shared" ref="D2:D17" si="0">C2/10^3</f>
        <v>0</v>
      </c>
      <c r="E2" s="1"/>
      <c r="F2" s="1" t="e">
        <f>E2/D2</f>
        <v>#DIV/0!</v>
      </c>
      <c r="G2" s="1"/>
      <c r="H2" s="1"/>
      <c r="I2" s="1" t="str">
        <f>Equal_Pooling_RevB!H15</f>
        <v/>
      </c>
      <c r="J2" s="186" t="str">
        <f>Equal_Pooling_RevB!I15</f>
        <v/>
      </c>
    </row>
    <row r="3" spans="1:10" customFormat="1">
      <c r="A3" s="251">
        <v>2</v>
      </c>
      <c r="B3" s="1"/>
      <c r="C3" s="1"/>
      <c r="D3" s="1">
        <f t="shared" si="0"/>
        <v>0</v>
      </c>
      <c r="E3" s="1"/>
      <c r="F3" s="1" t="e">
        <f t="shared" ref="F3:F17" si="1">E3/D3</f>
        <v>#DIV/0!</v>
      </c>
      <c r="G3" s="1"/>
      <c r="H3" s="1"/>
      <c r="I3" s="1" t="str">
        <f>Equal_Pooling_RevB!H16</f>
        <v/>
      </c>
      <c r="J3" s="186" t="str">
        <f>Equal_Pooling_RevB!I16</f>
        <v/>
      </c>
    </row>
    <row r="4" spans="1:10" customFormat="1">
      <c r="A4" s="251">
        <v>3</v>
      </c>
      <c r="B4" s="1"/>
      <c r="C4" s="1"/>
      <c r="D4" s="1">
        <f t="shared" si="0"/>
        <v>0</v>
      </c>
      <c r="E4" s="1"/>
      <c r="F4" s="1" t="e">
        <f t="shared" si="1"/>
        <v>#DIV/0!</v>
      </c>
      <c r="G4" s="1"/>
      <c r="H4" s="1"/>
      <c r="I4" s="1" t="str">
        <f>Equal_Pooling_RevB!H17</f>
        <v/>
      </c>
      <c r="J4" s="186" t="str">
        <f>Equal_Pooling_RevB!I17</f>
        <v/>
      </c>
    </row>
    <row r="5" spans="1:10" customFormat="1">
      <c r="A5" s="251">
        <v>4</v>
      </c>
      <c r="B5" s="1"/>
      <c r="C5" s="1"/>
      <c r="D5" s="1">
        <f t="shared" si="0"/>
        <v>0</v>
      </c>
      <c r="E5" s="1"/>
      <c r="F5" s="1" t="e">
        <f t="shared" si="1"/>
        <v>#DIV/0!</v>
      </c>
      <c r="G5" s="1"/>
      <c r="H5" s="1"/>
      <c r="I5" s="1" t="str">
        <f>Equal_Pooling_RevB!H18</f>
        <v/>
      </c>
      <c r="J5" s="186" t="str">
        <f>Equal_Pooling_RevB!I18</f>
        <v/>
      </c>
    </row>
    <row r="6" spans="1:10" customFormat="1">
      <c r="A6" s="251">
        <v>5</v>
      </c>
      <c r="B6" s="1"/>
      <c r="C6" s="1"/>
      <c r="D6" s="1">
        <f t="shared" si="0"/>
        <v>0</v>
      </c>
      <c r="E6" s="1"/>
      <c r="F6" s="1" t="e">
        <f t="shared" si="1"/>
        <v>#DIV/0!</v>
      </c>
      <c r="G6" s="1"/>
      <c r="H6" s="1"/>
      <c r="I6" s="1" t="str">
        <f>Equal_Pooling_RevB!H19</f>
        <v/>
      </c>
      <c r="J6" s="186" t="str">
        <f>Equal_Pooling_RevB!I19</f>
        <v/>
      </c>
    </row>
    <row r="7" spans="1:10" customFormat="1">
      <c r="A7" s="251">
        <v>6</v>
      </c>
      <c r="B7" s="1"/>
      <c r="C7" s="1"/>
      <c r="D7" s="1">
        <f t="shared" si="0"/>
        <v>0</v>
      </c>
      <c r="E7" s="1"/>
      <c r="F7" s="1" t="e">
        <f t="shared" si="1"/>
        <v>#DIV/0!</v>
      </c>
      <c r="G7" s="1"/>
      <c r="H7" s="1"/>
      <c r="I7" s="1" t="str">
        <f>Equal_Pooling_RevB!H20</f>
        <v/>
      </c>
      <c r="J7" s="186" t="str">
        <f>Equal_Pooling_RevB!I20</f>
        <v/>
      </c>
    </row>
    <row r="8" spans="1:10" customFormat="1">
      <c r="A8" s="251">
        <v>7</v>
      </c>
      <c r="B8" s="1"/>
      <c r="C8" s="1"/>
      <c r="D8" s="1">
        <f t="shared" si="0"/>
        <v>0</v>
      </c>
      <c r="E8" s="1"/>
      <c r="F8" s="1" t="e">
        <f t="shared" si="1"/>
        <v>#DIV/0!</v>
      </c>
      <c r="G8" s="1"/>
      <c r="H8" s="1"/>
      <c r="I8" s="1" t="str">
        <f>Equal_Pooling_RevB!H21</f>
        <v/>
      </c>
      <c r="J8" s="186" t="str">
        <f>Equal_Pooling_RevB!I21</f>
        <v/>
      </c>
    </row>
    <row r="9" spans="1:10" customFormat="1">
      <c r="A9" s="251">
        <v>8</v>
      </c>
      <c r="B9" s="1"/>
      <c r="C9" s="1"/>
      <c r="D9" s="1">
        <f t="shared" si="0"/>
        <v>0</v>
      </c>
      <c r="E9" s="1"/>
      <c r="F9" s="1" t="e">
        <f t="shared" si="1"/>
        <v>#DIV/0!</v>
      </c>
      <c r="G9" s="1"/>
      <c r="H9" s="1"/>
      <c r="I9" s="1" t="str">
        <f>Equal_Pooling_RevB!H22</f>
        <v/>
      </c>
      <c r="J9" s="186" t="str">
        <f>Equal_Pooling_RevB!I22</f>
        <v/>
      </c>
    </row>
    <row r="10" spans="1:10" customFormat="1">
      <c r="A10" s="251">
        <v>9</v>
      </c>
      <c r="B10" s="1"/>
      <c r="C10" s="1"/>
      <c r="D10" s="1">
        <f t="shared" si="0"/>
        <v>0</v>
      </c>
      <c r="E10" s="1"/>
      <c r="F10" s="1" t="e">
        <f t="shared" si="1"/>
        <v>#DIV/0!</v>
      </c>
      <c r="G10" s="1"/>
      <c r="H10" s="1"/>
      <c r="I10" s="1" t="str">
        <f>Equal_Pooling_RevB!H23</f>
        <v/>
      </c>
      <c r="J10" s="186" t="str">
        <f>Equal_Pooling_RevB!I23</f>
        <v/>
      </c>
    </row>
    <row r="11" spans="1:10" customFormat="1">
      <c r="A11" s="251">
        <v>10</v>
      </c>
      <c r="B11" s="1"/>
      <c r="C11" s="1"/>
      <c r="D11" s="1">
        <f t="shared" si="0"/>
        <v>0</v>
      </c>
      <c r="E11" s="1"/>
      <c r="F11" s="1" t="e">
        <f t="shared" si="1"/>
        <v>#DIV/0!</v>
      </c>
      <c r="G11" s="1"/>
      <c r="H11" s="1"/>
      <c r="I11" s="1" t="str">
        <f>Equal_Pooling_RevB!H24</f>
        <v/>
      </c>
      <c r="J11" s="186" t="str">
        <f>Equal_Pooling_RevB!I24</f>
        <v/>
      </c>
    </row>
    <row r="12" spans="1:10" customFormat="1">
      <c r="A12" s="251">
        <v>11</v>
      </c>
      <c r="B12" s="1"/>
      <c r="C12" s="1"/>
      <c r="D12" s="1">
        <f t="shared" si="0"/>
        <v>0</v>
      </c>
      <c r="E12" s="1"/>
      <c r="F12" s="1" t="e">
        <f t="shared" si="1"/>
        <v>#DIV/0!</v>
      </c>
      <c r="G12" s="1"/>
      <c r="H12" s="1"/>
      <c r="I12" s="1" t="str">
        <f>Equal_Pooling_RevB!H25</f>
        <v/>
      </c>
      <c r="J12" s="186" t="str">
        <f>Equal_Pooling_RevB!I25</f>
        <v/>
      </c>
    </row>
    <row r="13" spans="1:10" customFormat="1">
      <c r="A13" s="251">
        <v>12</v>
      </c>
      <c r="B13" s="1"/>
      <c r="C13" s="1"/>
      <c r="D13" s="1">
        <f t="shared" si="0"/>
        <v>0</v>
      </c>
      <c r="E13" s="1"/>
      <c r="F13" s="1" t="e">
        <f t="shared" si="1"/>
        <v>#DIV/0!</v>
      </c>
      <c r="G13" s="1"/>
      <c r="H13" s="1"/>
      <c r="I13" s="1" t="str">
        <f>Equal_Pooling_RevB!H26</f>
        <v/>
      </c>
      <c r="J13" s="186" t="str">
        <f>Equal_Pooling_RevB!I26</f>
        <v/>
      </c>
    </row>
    <row r="14" spans="1:10" customFormat="1">
      <c r="A14" s="251">
        <v>13</v>
      </c>
      <c r="B14" s="1"/>
      <c r="C14" s="1"/>
      <c r="D14" s="1">
        <f t="shared" si="0"/>
        <v>0</v>
      </c>
      <c r="E14" s="1"/>
      <c r="F14" s="1" t="e">
        <f t="shared" si="1"/>
        <v>#DIV/0!</v>
      </c>
      <c r="G14" s="1"/>
      <c r="H14" s="1"/>
      <c r="I14" s="1" t="str">
        <f>Equal_Pooling_RevB!H27</f>
        <v/>
      </c>
      <c r="J14" s="186" t="str">
        <f>Equal_Pooling_RevB!I27</f>
        <v/>
      </c>
    </row>
    <row r="15" spans="1:10" customFormat="1">
      <c r="A15" s="251">
        <v>14</v>
      </c>
      <c r="B15" s="1"/>
      <c r="C15" s="1"/>
      <c r="D15" s="1">
        <f t="shared" si="0"/>
        <v>0</v>
      </c>
      <c r="E15" s="1"/>
      <c r="F15" s="1" t="e">
        <f t="shared" si="1"/>
        <v>#DIV/0!</v>
      </c>
      <c r="G15" s="1"/>
      <c r="H15" s="1"/>
      <c r="I15" s="1" t="str">
        <f>Equal_Pooling_RevB!H28</f>
        <v/>
      </c>
      <c r="J15" s="186" t="str">
        <f>Equal_Pooling_RevB!I28</f>
        <v/>
      </c>
    </row>
    <row r="16" spans="1:10" customFormat="1">
      <c r="A16" s="251">
        <v>15</v>
      </c>
      <c r="B16" s="1"/>
      <c r="C16" s="1"/>
      <c r="D16" s="1">
        <f t="shared" si="0"/>
        <v>0</v>
      </c>
      <c r="E16" s="1"/>
      <c r="F16" s="1" t="e">
        <f t="shared" si="1"/>
        <v>#DIV/0!</v>
      </c>
      <c r="G16" s="1"/>
      <c r="H16" s="1"/>
      <c r="I16" s="1" t="str">
        <f>Equal_Pooling_RevB!H29</f>
        <v/>
      </c>
      <c r="J16" s="186" t="str">
        <f>Equal_Pooling_RevB!I29</f>
        <v/>
      </c>
    </row>
    <row r="17" spans="1:22" customFormat="1">
      <c r="A17" s="272">
        <v>16</v>
      </c>
      <c r="B17" s="273"/>
      <c r="C17" s="273"/>
      <c r="D17" s="1">
        <f t="shared" si="0"/>
        <v>0</v>
      </c>
      <c r="E17" s="273"/>
      <c r="F17" s="273" t="e">
        <f t="shared" si="1"/>
        <v>#DIV/0!</v>
      </c>
      <c r="G17" s="273"/>
      <c r="H17" s="273"/>
      <c r="I17" s="273" t="str">
        <f>Equal_Pooling_RevB!H30</f>
        <v/>
      </c>
      <c r="J17" s="274" t="str">
        <f>Equal_Pooling_RevB!I30</f>
        <v/>
      </c>
    </row>
    <row r="18" spans="1:22" customFormat="1"/>
    <row r="19" spans="1:22" customFormat="1"/>
    <row r="20" spans="1:22">
      <c r="A20"/>
      <c r="B20"/>
      <c r="C20"/>
      <c r="D20"/>
      <c r="E20"/>
      <c r="F20"/>
      <c r="G20"/>
      <c r="H20"/>
      <c r="I20"/>
      <c r="J20"/>
      <c r="K20"/>
      <c r="L20"/>
      <c r="M20"/>
      <c r="N20"/>
      <c r="O20"/>
      <c r="P20"/>
      <c r="Q20"/>
      <c r="R20"/>
      <c r="S20"/>
      <c r="T20"/>
      <c r="U20"/>
      <c r="V20"/>
    </row>
    <row r="21" spans="1:22">
      <c r="A21"/>
      <c r="B21"/>
      <c r="C21"/>
      <c r="D21"/>
      <c r="E21"/>
      <c r="F21"/>
      <c r="G21"/>
      <c r="H21"/>
      <c r="I21"/>
      <c r="J21"/>
      <c r="K21"/>
      <c r="L21"/>
      <c r="M21"/>
      <c r="N21"/>
      <c r="O21"/>
      <c r="P21"/>
      <c r="Q21"/>
      <c r="R21"/>
      <c r="S21"/>
      <c r="T21"/>
      <c r="U21"/>
      <c r="V21"/>
    </row>
    <row r="22" spans="1:22">
      <c r="A22"/>
      <c r="B22"/>
      <c r="C22"/>
      <c r="D22"/>
      <c r="E22"/>
      <c r="F22"/>
      <c r="G22"/>
      <c r="H22"/>
      <c r="I22"/>
      <c r="J22"/>
      <c r="K22"/>
      <c r="L22"/>
      <c r="M22"/>
      <c r="N22"/>
      <c r="O22"/>
      <c r="P22"/>
      <c r="Q22"/>
      <c r="R22"/>
      <c r="S22"/>
      <c r="T22"/>
      <c r="U22"/>
      <c r="V22"/>
    </row>
    <row r="23" spans="1:22">
      <c r="A23"/>
      <c r="B23"/>
      <c r="C23"/>
      <c r="D23"/>
      <c r="E23"/>
      <c r="F23"/>
      <c r="G23"/>
      <c r="H23"/>
      <c r="I23"/>
      <c r="J23"/>
      <c r="K23"/>
      <c r="L23"/>
      <c r="M23"/>
      <c r="N23"/>
      <c r="O23"/>
      <c r="P23"/>
      <c r="Q23"/>
      <c r="R23"/>
      <c r="S23"/>
      <c r="T23"/>
      <c r="U23"/>
      <c r="V23"/>
    </row>
    <row r="24" spans="1:22">
      <c r="A24"/>
      <c r="B24"/>
      <c r="C24"/>
      <c r="D24"/>
      <c r="E24"/>
      <c r="F24"/>
      <c r="G24"/>
      <c r="H24"/>
      <c r="I24"/>
      <c r="J24"/>
      <c r="K24"/>
      <c r="L24"/>
      <c r="M24"/>
      <c r="N24"/>
      <c r="O24"/>
      <c r="P24"/>
      <c r="Q24"/>
      <c r="R24"/>
      <c r="S24"/>
      <c r="T24"/>
      <c r="U24"/>
      <c r="V24"/>
    </row>
    <row r="25" spans="1:22">
      <c r="A25"/>
      <c r="B25"/>
      <c r="C25"/>
      <c r="D25"/>
      <c r="E25"/>
      <c r="F25"/>
      <c r="G25"/>
      <c r="H25"/>
      <c r="I25"/>
      <c r="J25"/>
      <c r="K25"/>
      <c r="L25"/>
      <c r="M25"/>
      <c r="N25"/>
      <c r="O25"/>
      <c r="P25"/>
      <c r="Q25"/>
      <c r="R25"/>
      <c r="S25"/>
      <c r="T25"/>
      <c r="U25"/>
      <c r="V25"/>
    </row>
    <row r="26" spans="1:22">
      <c r="A26"/>
      <c r="B26"/>
      <c r="C26"/>
      <c r="D26"/>
      <c r="E26"/>
      <c r="F26"/>
      <c r="G26"/>
      <c r="H26"/>
      <c r="I26"/>
      <c r="J26"/>
      <c r="K26"/>
      <c r="L26"/>
      <c r="M26"/>
      <c r="N26"/>
      <c r="O26"/>
      <c r="P26"/>
      <c r="Q26"/>
      <c r="R26"/>
      <c r="S26"/>
      <c r="T26"/>
      <c r="U26"/>
      <c r="V26"/>
    </row>
    <row r="27" spans="1:22">
      <c r="A27"/>
      <c r="B27"/>
      <c r="C27"/>
      <c r="D27"/>
      <c r="E27"/>
      <c r="F27"/>
      <c r="G27"/>
      <c r="H27"/>
      <c r="I27"/>
      <c r="J27"/>
      <c r="K27"/>
      <c r="L27"/>
      <c r="M27"/>
      <c r="N27"/>
      <c r="O27"/>
      <c r="P27"/>
      <c r="Q27"/>
      <c r="R27"/>
      <c r="S27"/>
      <c r="T27"/>
      <c r="U27"/>
      <c r="V27"/>
    </row>
    <row r="28" spans="1:22">
      <c r="A28"/>
      <c r="B28"/>
      <c r="C28"/>
      <c r="D28"/>
      <c r="E28"/>
      <c r="F28"/>
      <c r="G28"/>
      <c r="H28"/>
      <c r="I28"/>
      <c r="J28"/>
      <c r="K28"/>
      <c r="L28"/>
      <c r="M28"/>
      <c r="N28"/>
      <c r="O28"/>
      <c r="P28"/>
      <c r="Q28"/>
      <c r="R28"/>
      <c r="S28"/>
      <c r="T28"/>
      <c r="U28"/>
      <c r="V28"/>
    </row>
    <row r="29" spans="1:22">
      <c r="A29"/>
      <c r="B29"/>
      <c r="C29"/>
      <c r="D29"/>
      <c r="E29"/>
      <c r="F29"/>
      <c r="G29"/>
      <c r="H29"/>
      <c r="I29"/>
      <c r="J29"/>
      <c r="K29"/>
      <c r="L29"/>
      <c r="M29"/>
      <c r="N29"/>
      <c r="O29"/>
      <c r="P29"/>
      <c r="Q29"/>
      <c r="R29"/>
      <c r="S29"/>
      <c r="T29"/>
      <c r="U29"/>
      <c r="V29"/>
    </row>
    <row r="30" spans="1:22">
      <c r="A30"/>
      <c r="B30"/>
      <c r="C30"/>
      <c r="D30"/>
      <c r="E30"/>
      <c r="F30"/>
      <c r="G30"/>
      <c r="H30"/>
      <c r="I30"/>
      <c r="J30"/>
      <c r="K30"/>
      <c r="L30"/>
      <c r="M30"/>
      <c r="N30"/>
      <c r="O30"/>
      <c r="P30"/>
      <c r="Q30"/>
      <c r="R30"/>
      <c r="S30"/>
      <c r="T30"/>
      <c r="U30"/>
      <c r="V30"/>
    </row>
    <row r="31" spans="1:22">
      <c r="A31"/>
      <c r="B31"/>
      <c r="C31"/>
      <c r="D31"/>
      <c r="E31"/>
      <c r="F31"/>
      <c r="G31"/>
      <c r="H31"/>
      <c r="I31"/>
      <c r="J31"/>
      <c r="K31"/>
      <c r="L31"/>
      <c r="M31"/>
      <c r="N31"/>
      <c r="O31"/>
      <c r="P31"/>
      <c r="Q31"/>
      <c r="R31"/>
      <c r="S31"/>
      <c r="T31"/>
      <c r="U31"/>
      <c r="V31"/>
    </row>
    <row r="32" spans="1:22">
      <c r="A32"/>
      <c r="B32"/>
      <c r="C32"/>
      <c r="D32"/>
      <c r="E32"/>
      <c r="F32"/>
      <c r="G32"/>
      <c r="H32"/>
      <c r="I32"/>
      <c r="J32"/>
      <c r="K32"/>
      <c r="L32"/>
      <c r="M32"/>
      <c r="N32"/>
      <c r="O32"/>
      <c r="P32"/>
      <c r="Q32"/>
      <c r="R32"/>
      <c r="S32"/>
      <c r="T32"/>
      <c r="U32"/>
      <c r="V32"/>
    </row>
    <row r="33" spans="1:22">
      <c r="A33"/>
      <c r="B33"/>
      <c r="C33"/>
      <c r="D33"/>
      <c r="E33"/>
      <c r="F33"/>
      <c r="G33"/>
      <c r="H33"/>
      <c r="I33"/>
      <c r="J33"/>
      <c r="K33"/>
      <c r="L33"/>
      <c r="M33"/>
      <c r="N33"/>
      <c r="O33"/>
      <c r="P33"/>
      <c r="Q33"/>
      <c r="R33"/>
      <c r="S33"/>
      <c r="T33"/>
      <c r="U33"/>
      <c r="V33"/>
    </row>
    <row r="34" spans="1:22">
      <c r="A34"/>
      <c r="B34"/>
      <c r="C34"/>
      <c r="D34"/>
      <c r="E34"/>
      <c r="F34"/>
      <c r="G34"/>
      <c r="H34"/>
      <c r="I34"/>
      <c r="J34"/>
      <c r="K34"/>
      <c r="L34"/>
      <c r="M34"/>
      <c r="N34"/>
      <c r="O34"/>
      <c r="P34"/>
      <c r="Q34"/>
      <c r="R34"/>
      <c r="S34"/>
      <c r="T34"/>
      <c r="U34"/>
      <c r="V34"/>
    </row>
    <row r="35" spans="1:22">
      <c r="A35"/>
      <c r="B35"/>
      <c r="C35"/>
      <c r="D35"/>
      <c r="E35"/>
      <c r="F35"/>
      <c r="G35"/>
      <c r="H35"/>
      <c r="I35"/>
      <c r="J35"/>
      <c r="K35"/>
      <c r="L35"/>
      <c r="M35"/>
      <c r="N35"/>
      <c r="O35"/>
      <c r="P35"/>
      <c r="Q35"/>
      <c r="R35"/>
      <c r="S35"/>
      <c r="T35"/>
      <c r="U35"/>
      <c r="V35"/>
    </row>
    <row r="36" spans="1:22">
      <c r="A36"/>
      <c r="B36"/>
      <c r="C36"/>
      <c r="D36"/>
      <c r="E36"/>
      <c r="F36"/>
      <c r="G36"/>
      <c r="H36"/>
      <c r="I36"/>
      <c r="J36"/>
      <c r="K36"/>
      <c r="L36"/>
      <c r="M36"/>
      <c r="N36"/>
      <c r="O36"/>
      <c r="P36"/>
      <c r="Q36"/>
      <c r="R36"/>
      <c r="S36"/>
      <c r="T36"/>
      <c r="U36"/>
      <c r="V36"/>
    </row>
    <row r="37" spans="1:22">
      <c r="A37"/>
      <c r="B37"/>
      <c r="C37"/>
      <c r="D37"/>
      <c r="E37"/>
      <c r="F37"/>
      <c r="G37"/>
      <c r="H37"/>
      <c r="I37"/>
      <c r="J37"/>
      <c r="K37"/>
      <c r="L37"/>
      <c r="M37"/>
      <c r="N37"/>
      <c r="O37"/>
      <c r="P37"/>
      <c r="Q37"/>
      <c r="R37"/>
      <c r="S37"/>
      <c r="T37"/>
      <c r="U37"/>
      <c r="V37"/>
    </row>
    <row r="38" spans="1:22">
      <c r="A38"/>
      <c r="B38"/>
      <c r="C38"/>
      <c r="D38"/>
      <c r="E38"/>
      <c r="F38"/>
      <c r="G38"/>
      <c r="H38"/>
      <c r="I38"/>
      <c r="J38"/>
      <c r="K38"/>
      <c r="L38"/>
      <c r="M38"/>
      <c r="N38"/>
      <c r="O38"/>
      <c r="P38"/>
      <c r="Q38"/>
      <c r="R38"/>
      <c r="S38"/>
      <c r="T38"/>
      <c r="U38"/>
      <c r="V38"/>
    </row>
    <row r="39" spans="1:22">
      <c r="A39"/>
      <c r="B39"/>
      <c r="C39"/>
      <c r="D39"/>
      <c r="E39"/>
      <c r="F39"/>
      <c r="G39"/>
      <c r="H39"/>
      <c r="I39"/>
      <c r="J39"/>
      <c r="K39"/>
      <c r="L39"/>
      <c r="M39"/>
      <c r="N39"/>
      <c r="O39"/>
      <c r="P39"/>
      <c r="Q39"/>
      <c r="R39"/>
      <c r="S39"/>
      <c r="T39"/>
      <c r="U39"/>
      <c r="V39"/>
    </row>
    <row r="40" spans="1:22">
      <c r="A40"/>
      <c r="B40"/>
      <c r="C40"/>
      <c r="D40"/>
      <c r="E40"/>
      <c r="F40"/>
      <c r="G40"/>
      <c r="H40"/>
      <c r="I40"/>
      <c r="J40"/>
      <c r="K40"/>
      <c r="L40"/>
      <c r="M40"/>
      <c r="N40"/>
      <c r="O40"/>
      <c r="P40"/>
      <c r="Q40"/>
      <c r="R40"/>
      <c r="S40"/>
      <c r="T40"/>
      <c r="U40"/>
      <c r="V40"/>
    </row>
    <row r="41" spans="1:22">
      <c r="A41"/>
      <c r="B41"/>
      <c r="C41"/>
      <c r="D41"/>
      <c r="E41"/>
      <c r="F41"/>
      <c r="G41"/>
      <c r="H41"/>
      <c r="I41"/>
      <c r="J41"/>
      <c r="K41"/>
      <c r="L41"/>
      <c r="M41"/>
      <c r="N41"/>
      <c r="O41"/>
      <c r="P41"/>
      <c r="Q41"/>
      <c r="R41"/>
      <c r="S41"/>
      <c r="T41"/>
      <c r="U41"/>
      <c r="V41"/>
    </row>
    <row r="42" spans="1:22">
      <c r="A42"/>
      <c r="B42"/>
      <c r="C42"/>
      <c r="D42"/>
      <c r="E42"/>
      <c r="F42"/>
      <c r="G42"/>
      <c r="H42"/>
      <c r="I42"/>
      <c r="J42"/>
      <c r="K42"/>
      <c r="L42"/>
      <c r="M42"/>
      <c r="N42"/>
      <c r="O42"/>
      <c r="P42"/>
      <c r="Q42"/>
      <c r="R42"/>
      <c r="S42"/>
      <c r="T42"/>
      <c r="U42"/>
      <c r="V42"/>
    </row>
    <row r="43" spans="1:22">
      <c r="A43"/>
      <c r="B43"/>
      <c r="C43"/>
      <c r="D43"/>
      <c r="E43"/>
      <c r="F43"/>
      <c r="G43"/>
      <c r="H43"/>
      <c r="I43"/>
      <c r="J43"/>
      <c r="K43"/>
      <c r="L43"/>
      <c r="M43"/>
      <c r="N43"/>
      <c r="O43"/>
      <c r="P43"/>
      <c r="Q43"/>
      <c r="R43"/>
      <c r="S43"/>
      <c r="T43"/>
      <c r="U43"/>
      <c r="V43"/>
    </row>
    <row r="44" spans="1:22">
      <c r="A44"/>
      <c r="B44"/>
      <c r="C44"/>
      <c r="D44"/>
      <c r="E44"/>
      <c r="F44"/>
      <c r="G44"/>
      <c r="H44"/>
      <c r="I44"/>
      <c r="J44"/>
      <c r="K44"/>
      <c r="L44"/>
      <c r="M44"/>
      <c r="N44"/>
      <c r="O44"/>
      <c r="P44"/>
      <c r="Q44"/>
      <c r="R44"/>
      <c r="S44"/>
      <c r="T44"/>
      <c r="U44"/>
      <c r="V44"/>
    </row>
    <row r="45" spans="1:22">
      <c r="A45"/>
      <c r="B45"/>
      <c r="C45"/>
      <c r="D45"/>
      <c r="E45"/>
      <c r="F45"/>
      <c r="G45"/>
      <c r="H45"/>
      <c r="I45"/>
      <c r="J45"/>
      <c r="K45"/>
      <c r="L45"/>
      <c r="M45"/>
      <c r="N45"/>
      <c r="O45"/>
      <c r="P45"/>
      <c r="Q45"/>
      <c r="R45"/>
      <c r="S45"/>
      <c r="T45"/>
      <c r="U45"/>
      <c r="V45"/>
    </row>
    <row r="46" spans="1:22">
      <c r="A46"/>
      <c r="B46"/>
      <c r="C46"/>
      <c r="D46"/>
      <c r="E46"/>
      <c r="F46"/>
      <c r="G46"/>
      <c r="H46"/>
      <c r="I46"/>
      <c r="J46"/>
      <c r="K46"/>
      <c r="L46"/>
      <c r="M46"/>
      <c r="N46"/>
      <c r="O46"/>
      <c r="P46"/>
      <c r="Q46"/>
      <c r="R46"/>
      <c r="S46"/>
      <c r="T46"/>
      <c r="U46"/>
      <c r="V46"/>
    </row>
    <row r="47" spans="1:22">
      <c r="A47"/>
      <c r="B47"/>
      <c r="C47"/>
      <c r="D47"/>
      <c r="E47"/>
      <c r="F47"/>
      <c r="G47"/>
      <c r="H47"/>
      <c r="I47"/>
      <c r="J47"/>
      <c r="K47"/>
      <c r="L47"/>
      <c r="M47"/>
      <c r="N47"/>
      <c r="O47"/>
      <c r="P47"/>
      <c r="Q47"/>
      <c r="R47"/>
      <c r="S47"/>
      <c r="T47"/>
      <c r="U47"/>
      <c r="V47"/>
    </row>
    <row r="48" spans="1:22">
      <c r="A48"/>
      <c r="B48"/>
      <c r="C48"/>
      <c r="D48"/>
      <c r="E48"/>
      <c r="F48"/>
      <c r="G48"/>
      <c r="H48"/>
      <c r="I48"/>
      <c r="J48"/>
      <c r="K48"/>
      <c r="L48"/>
      <c r="M48"/>
      <c r="N48"/>
      <c r="O48"/>
      <c r="P48"/>
      <c r="Q48"/>
      <c r="R48"/>
      <c r="S48"/>
      <c r="T48"/>
      <c r="U48"/>
      <c r="V48"/>
    </row>
    <row r="49" spans="1:22">
      <c r="A49"/>
      <c r="B49"/>
      <c r="C49"/>
      <c r="D49"/>
      <c r="E49"/>
      <c r="F49"/>
      <c r="G49"/>
      <c r="H49"/>
      <c r="I49"/>
      <c r="J49"/>
      <c r="K49"/>
      <c r="L49"/>
      <c r="M49"/>
      <c r="N49"/>
      <c r="O49"/>
      <c r="P49"/>
      <c r="Q49"/>
      <c r="R49"/>
      <c r="S49"/>
      <c r="T49"/>
      <c r="U49"/>
      <c r="V49"/>
    </row>
    <row r="50" spans="1:22">
      <c r="A50"/>
      <c r="B50"/>
      <c r="C50"/>
      <c r="D50"/>
      <c r="E50"/>
      <c r="F50"/>
      <c r="G50"/>
      <c r="H50"/>
      <c r="I50"/>
      <c r="J50"/>
      <c r="K50"/>
      <c r="L50"/>
      <c r="M50"/>
      <c r="N50"/>
      <c r="O50"/>
      <c r="P50"/>
      <c r="Q50"/>
      <c r="R50"/>
      <c r="S50"/>
      <c r="T50"/>
      <c r="U50"/>
      <c r="V50"/>
    </row>
    <row r="51" spans="1:22">
      <c r="A51"/>
      <c r="B51"/>
      <c r="C51"/>
      <c r="D51"/>
      <c r="E51"/>
      <c r="F51"/>
      <c r="G51"/>
      <c r="H51"/>
      <c r="I51"/>
      <c r="J51"/>
      <c r="K51"/>
      <c r="L51"/>
      <c r="M51"/>
      <c r="N51"/>
      <c r="O51"/>
      <c r="P51"/>
      <c r="Q51"/>
      <c r="R51"/>
      <c r="S51"/>
      <c r="T51"/>
      <c r="U51"/>
      <c r="V51"/>
    </row>
    <row r="52" spans="1:22">
      <c r="A52"/>
      <c r="B52"/>
      <c r="C52"/>
      <c r="D52"/>
      <c r="E52"/>
      <c r="F52"/>
      <c r="G52"/>
      <c r="H52"/>
      <c r="I52"/>
      <c r="J52"/>
      <c r="K52"/>
      <c r="L52"/>
      <c r="M52"/>
      <c r="N52"/>
      <c r="O52"/>
      <c r="P52"/>
      <c r="Q52"/>
      <c r="R52"/>
      <c r="S52"/>
      <c r="T52"/>
      <c r="U52"/>
      <c r="V52"/>
    </row>
    <row r="53" spans="1:22">
      <c r="A53"/>
      <c r="B53"/>
      <c r="C53"/>
      <c r="D53"/>
      <c r="E53"/>
      <c r="F53"/>
      <c r="G53"/>
      <c r="H53"/>
      <c r="I53"/>
      <c r="J53"/>
      <c r="K53"/>
      <c r="L53"/>
      <c r="M53"/>
      <c r="N53"/>
      <c r="O53"/>
      <c r="P53"/>
      <c r="Q53"/>
      <c r="R53"/>
      <c r="S53"/>
      <c r="T53"/>
      <c r="U53"/>
      <c r="V53"/>
    </row>
    <row r="54" spans="1:22">
      <c r="A54"/>
      <c r="B54"/>
      <c r="C54"/>
      <c r="D54"/>
      <c r="E54"/>
      <c r="F54"/>
      <c r="G54"/>
      <c r="H54"/>
      <c r="I54"/>
      <c r="J54"/>
      <c r="K54"/>
      <c r="L54"/>
      <c r="M54"/>
      <c r="N54"/>
      <c r="O54"/>
      <c r="P54"/>
      <c r="Q54"/>
      <c r="R54"/>
      <c r="S54"/>
      <c r="T54"/>
      <c r="U54"/>
      <c r="V54"/>
    </row>
    <row r="55" spans="1:22">
      <c r="A55"/>
      <c r="B55"/>
      <c r="C55"/>
      <c r="D55"/>
      <c r="E55"/>
      <c r="F55"/>
      <c r="G55"/>
      <c r="H55"/>
      <c r="I55"/>
      <c r="J55"/>
      <c r="K55"/>
      <c r="L55"/>
      <c r="M55"/>
      <c r="N55"/>
      <c r="O55"/>
      <c r="P55"/>
      <c r="Q55"/>
      <c r="R55"/>
      <c r="S55"/>
      <c r="T55"/>
      <c r="U55"/>
      <c r="V55"/>
    </row>
    <row r="56" spans="1:22">
      <c r="A56"/>
      <c r="B56"/>
      <c r="C56"/>
      <c r="D56"/>
      <c r="E56"/>
      <c r="F56"/>
      <c r="G56"/>
      <c r="H56"/>
      <c r="I56"/>
      <c r="J56"/>
      <c r="K56"/>
      <c r="L56"/>
      <c r="M56"/>
      <c r="N56"/>
      <c r="O56"/>
      <c r="P56"/>
      <c r="Q56"/>
      <c r="R56"/>
      <c r="S56"/>
      <c r="T56"/>
      <c r="U56"/>
      <c r="V56"/>
    </row>
    <row r="57" spans="1:22">
      <c r="A57"/>
      <c r="B57"/>
      <c r="C57"/>
      <c r="D57"/>
      <c r="E57"/>
      <c r="F57"/>
      <c r="G57"/>
      <c r="H57"/>
      <c r="I57"/>
      <c r="J57"/>
      <c r="K57"/>
      <c r="L57"/>
      <c r="M57"/>
      <c r="N57"/>
      <c r="O57"/>
      <c r="P57"/>
      <c r="Q57"/>
      <c r="R57"/>
      <c r="S57"/>
      <c r="T57"/>
      <c r="U57"/>
      <c r="V57"/>
    </row>
    <row r="58" spans="1:22">
      <c r="A58"/>
      <c r="B58"/>
      <c r="C58"/>
      <c r="D58"/>
      <c r="E58"/>
      <c r="F58"/>
      <c r="G58"/>
      <c r="H58"/>
      <c r="I58"/>
      <c r="J58"/>
      <c r="K58"/>
      <c r="L58"/>
      <c r="M58"/>
      <c r="N58"/>
      <c r="O58"/>
      <c r="P58"/>
      <c r="Q58"/>
      <c r="R58"/>
      <c r="S58"/>
      <c r="T58"/>
      <c r="U58"/>
      <c r="V58"/>
    </row>
    <row r="59" spans="1:22">
      <c r="A59"/>
      <c r="B59"/>
      <c r="C59"/>
      <c r="D59"/>
      <c r="E59"/>
      <c r="F59"/>
      <c r="G59"/>
      <c r="H59"/>
      <c r="I59"/>
      <c r="J59"/>
      <c r="K59"/>
      <c r="L59"/>
      <c r="M59"/>
      <c r="N59"/>
      <c r="O59"/>
      <c r="P59"/>
      <c r="Q59"/>
      <c r="R59"/>
      <c r="S59"/>
      <c r="T59"/>
      <c r="U59"/>
      <c r="V59"/>
    </row>
    <row r="60" spans="1:22">
      <c r="A60"/>
      <c r="B60"/>
      <c r="C60"/>
      <c r="D60"/>
      <c r="E60"/>
      <c r="F60"/>
      <c r="G60"/>
      <c r="H60"/>
      <c r="I60"/>
      <c r="J60"/>
      <c r="K60"/>
      <c r="L60"/>
      <c r="M60"/>
      <c r="N60"/>
      <c r="O60"/>
      <c r="P60"/>
      <c r="Q60"/>
      <c r="R60"/>
      <c r="S60"/>
      <c r="T60"/>
      <c r="U60"/>
      <c r="V60"/>
    </row>
    <row r="61" spans="1:22">
      <c r="A61"/>
      <c r="B61"/>
      <c r="C61"/>
      <c r="D61"/>
      <c r="E61"/>
      <c r="F61"/>
      <c r="G61"/>
      <c r="H61"/>
      <c r="I61"/>
      <c r="J61"/>
      <c r="K61"/>
      <c r="L61"/>
      <c r="M61"/>
      <c r="N61"/>
      <c r="O61"/>
      <c r="P61"/>
      <c r="Q61"/>
      <c r="R61"/>
      <c r="S61"/>
      <c r="T61"/>
      <c r="U61"/>
      <c r="V61"/>
    </row>
    <row r="62" spans="1:22">
      <c r="A62"/>
      <c r="B62"/>
      <c r="C62"/>
      <c r="D62"/>
      <c r="E62"/>
      <c r="F62"/>
      <c r="G62"/>
      <c r="H62"/>
      <c r="I62"/>
      <c r="J62"/>
      <c r="K62"/>
      <c r="L62"/>
      <c r="M62"/>
      <c r="N62"/>
      <c r="O62"/>
      <c r="P62"/>
      <c r="Q62"/>
      <c r="R62"/>
      <c r="S62"/>
      <c r="T62"/>
      <c r="U62"/>
      <c r="V62"/>
    </row>
    <row r="63" spans="1:22">
      <c r="A63"/>
      <c r="B63"/>
      <c r="C63"/>
      <c r="D63"/>
      <c r="E63"/>
      <c r="F63"/>
      <c r="G63"/>
      <c r="H63"/>
      <c r="I63"/>
      <c r="J63"/>
      <c r="K63"/>
      <c r="L63"/>
      <c r="M63"/>
      <c r="N63"/>
      <c r="O63"/>
      <c r="P63"/>
      <c r="Q63"/>
      <c r="R63"/>
      <c r="S63"/>
      <c r="T63"/>
      <c r="U63"/>
      <c r="V63"/>
    </row>
    <row r="64" spans="1:22">
      <c r="A64"/>
      <c r="B64"/>
      <c r="C64"/>
      <c r="D64"/>
      <c r="E64"/>
      <c r="F64"/>
      <c r="G64"/>
      <c r="H64"/>
      <c r="I64"/>
      <c r="J64"/>
      <c r="K64"/>
      <c r="L64"/>
      <c r="M64"/>
      <c r="N64"/>
      <c r="O64"/>
      <c r="P64"/>
      <c r="Q64"/>
      <c r="R64"/>
      <c r="S64"/>
      <c r="T64"/>
      <c r="U64"/>
      <c r="V64"/>
    </row>
    <row r="65" spans="1:22">
      <c r="A65"/>
      <c r="B65"/>
      <c r="C65"/>
      <c r="D65"/>
      <c r="E65"/>
      <c r="F65"/>
      <c r="G65"/>
      <c r="H65"/>
      <c r="I65"/>
      <c r="J65"/>
      <c r="K65"/>
      <c r="L65"/>
      <c r="M65"/>
      <c r="N65"/>
      <c r="O65"/>
      <c r="P65"/>
      <c r="Q65"/>
      <c r="R65"/>
      <c r="S65"/>
      <c r="T65"/>
      <c r="U65"/>
      <c r="V65"/>
    </row>
    <row r="66" spans="1:22">
      <c r="A66"/>
      <c r="B66"/>
      <c r="C66"/>
      <c r="D66"/>
      <c r="E66"/>
      <c r="F66"/>
      <c r="G66"/>
      <c r="H66"/>
      <c r="I66"/>
      <c r="J66"/>
      <c r="K66"/>
      <c r="L66"/>
      <c r="M66"/>
      <c r="N66"/>
      <c r="O66"/>
      <c r="P66"/>
      <c r="Q66"/>
      <c r="R66"/>
      <c r="S66"/>
      <c r="T66"/>
      <c r="U66"/>
      <c r="V66"/>
    </row>
    <row r="67" spans="1:22">
      <c r="A67"/>
      <c r="B67"/>
      <c r="C67"/>
      <c r="D67"/>
      <c r="E67"/>
      <c r="F67"/>
      <c r="G67"/>
      <c r="H67"/>
      <c r="I67"/>
      <c r="J67"/>
      <c r="K67"/>
      <c r="L67"/>
      <c r="M67"/>
      <c r="N67"/>
      <c r="O67"/>
      <c r="P67"/>
      <c r="Q67"/>
      <c r="R67"/>
      <c r="S67"/>
      <c r="T67"/>
      <c r="U67"/>
      <c r="V67"/>
    </row>
    <row r="68" spans="1:22">
      <c r="A68"/>
      <c r="B68"/>
      <c r="C68"/>
      <c r="D68"/>
      <c r="E68"/>
      <c r="F68"/>
      <c r="G68"/>
      <c r="H68"/>
      <c r="I68"/>
      <c r="J68"/>
      <c r="K68"/>
      <c r="L68"/>
      <c r="M68"/>
      <c r="N68"/>
      <c r="O68"/>
      <c r="P68"/>
      <c r="Q68"/>
      <c r="R68"/>
      <c r="S68"/>
      <c r="T68"/>
      <c r="U68"/>
      <c r="V68"/>
    </row>
    <row r="69" spans="1:22">
      <c r="A69"/>
      <c r="B69"/>
      <c r="C69"/>
      <c r="D69"/>
      <c r="E69"/>
      <c r="F69"/>
      <c r="G69"/>
      <c r="H69"/>
      <c r="I69"/>
      <c r="J69"/>
      <c r="K69"/>
      <c r="L69"/>
      <c r="M69"/>
      <c r="N69"/>
      <c r="O69"/>
      <c r="P69"/>
      <c r="Q69"/>
      <c r="R69"/>
      <c r="S69"/>
      <c r="T69"/>
      <c r="U69"/>
      <c r="V69"/>
    </row>
    <row r="70" spans="1:22">
      <c r="A70"/>
      <c r="B70"/>
      <c r="C70"/>
      <c r="D70"/>
      <c r="E70"/>
      <c r="F70"/>
      <c r="G70"/>
      <c r="H70"/>
      <c r="I70"/>
      <c r="J70"/>
      <c r="K70"/>
      <c r="L70"/>
      <c r="M70"/>
      <c r="N70"/>
      <c r="O70"/>
      <c r="P70"/>
      <c r="Q70"/>
      <c r="R70"/>
      <c r="S70"/>
      <c r="T70"/>
      <c r="U70"/>
      <c r="V70"/>
    </row>
    <row r="71" spans="1:22">
      <c r="A71"/>
      <c r="B71"/>
      <c r="C71"/>
      <c r="D71"/>
      <c r="E71"/>
      <c r="F71"/>
      <c r="G71"/>
      <c r="H71"/>
      <c r="I71"/>
      <c r="J71"/>
      <c r="K71"/>
      <c r="L71"/>
      <c r="M71"/>
      <c r="N71"/>
      <c r="O71"/>
      <c r="P71"/>
      <c r="Q71"/>
      <c r="R71"/>
      <c r="S71"/>
      <c r="T71"/>
      <c r="U71"/>
      <c r="V71"/>
    </row>
    <row r="72" spans="1:22">
      <c r="A72"/>
      <c r="B72"/>
      <c r="C72"/>
      <c r="D72"/>
      <c r="E72"/>
      <c r="F72"/>
      <c r="G72"/>
      <c r="H72"/>
      <c r="I72"/>
      <c r="J72"/>
      <c r="K72"/>
      <c r="L72"/>
      <c r="M72"/>
      <c r="N72"/>
      <c r="O72"/>
      <c r="P72"/>
      <c r="Q72"/>
      <c r="R72"/>
      <c r="S72"/>
      <c r="T72"/>
      <c r="U72"/>
      <c r="V72"/>
    </row>
    <row r="73" spans="1:22">
      <c r="A73"/>
      <c r="B73"/>
      <c r="C73"/>
      <c r="D73"/>
      <c r="E73"/>
      <c r="F73"/>
      <c r="G73"/>
      <c r="H73"/>
      <c r="I73"/>
      <c r="J73"/>
      <c r="K73"/>
      <c r="L73"/>
      <c r="M73"/>
      <c r="N73"/>
      <c r="O73"/>
      <c r="P73"/>
      <c r="Q73"/>
      <c r="R73"/>
      <c r="S73"/>
      <c r="T73"/>
      <c r="U73"/>
      <c r="V73"/>
    </row>
    <row r="74" spans="1:22">
      <c r="A74"/>
      <c r="B74"/>
      <c r="C74"/>
      <c r="D74"/>
      <c r="E74"/>
      <c r="F74"/>
      <c r="G74"/>
      <c r="H74"/>
      <c r="I74"/>
      <c r="J74"/>
      <c r="K74"/>
      <c r="L74"/>
      <c r="M74"/>
      <c r="N74"/>
      <c r="O74"/>
      <c r="P74"/>
      <c r="Q74"/>
      <c r="R74"/>
      <c r="S74"/>
      <c r="T74"/>
      <c r="U74"/>
      <c r="V74"/>
    </row>
    <row r="75" spans="1:22">
      <c r="A75"/>
      <c r="B75"/>
      <c r="C75"/>
      <c r="D75"/>
      <c r="E75"/>
      <c r="F75"/>
      <c r="G75"/>
      <c r="H75"/>
      <c r="I75"/>
      <c r="J75"/>
      <c r="K75"/>
      <c r="L75"/>
      <c r="M75"/>
      <c r="N75"/>
      <c r="O75"/>
      <c r="P75"/>
      <c r="Q75"/>
      <c r="R75"/>
      <c r="S75"/>
      <c r="T75"/>
      <c r="U75"/>
      <c r="V75"/>
    </row>
    <row r="76" spans="1:22">
      <c r="A76"/>
      <c r="B76"/>
      <c r="C76"/>
      <c r="D76"/>
      <c r="E76"/>
      <c r="F76"/>
      <c r="G76"/>
      <c r="H76"/>
      <c r="I76"/>
      <c r="J76"/>
      <c r="K76"/>
      <c r="L76"/>
      <c r="M76"/>
      <c r="N76"/>
      <c r="O76"/>
      <c r="P76"/>
      <c r="Q76"/>
      <c r="R76"/>
      <c r="S76"/>
      <c r="T76"/>
      <c r="U76"/>
      <c r="V76"/>
    </row>
    <row r="77" spans="1:22">
      <c r="A77"/>
      <c r="B77"/>
      <c r="C77"/>
      <c r="D77"/>
      <c r="E77"/>
      <c r="F77"/>
      <c r="G77"/>
      <c r="H77"/>
      <c r="I77"/>
      <c r="J77"/>
      <c r="K77"/>
      <c r="L77"/>
      <c r="M77"/>
      <c r="N77"/>
      <c r="O77"/>
      <c r="P77"/>
      <c r="Q77"/>
      <c r="R77"/>
      <c r="S77"/>
      <c r="T77"/>
      <c r="U77"/>
      <c r="V77"/>
    </row>
    <row r="78" spans="1:22">
      <c r="A78"/>
      <c r="B78"/>
      <c r="C78"/>
      <c r="D78"/>
      <c r="E78"/>
      <c r="F78"/>
      <c r="G78"/>
      <c r="H78"/>
      <c r="I78"/>
      <c r="J78"/>
      <c r="K78"/>
      <c r="L78"/>
      <c r="M78"/>
      <c r="N78"/>
      <c r="O78"/>
      <c r="P78"/>
      <c r="Q78"/>
      <c r="R78"/>
      <c r="S78"/>
      <c r="T78"/>
      <c r="U78"/>
      <c r="V78"/>
    </row>
    <row r="79" spans="1:22">
      <c r="A79"/>
      <c r="B79"/>
      <c r="C79"/>
      <c r="D79"/>
      <c r="E79"/>
      <c r="F79"/>
      <c r="G79"/>
      <c r="H79"/>
      <c r="I79"/>
      <c r="J79"/>
      <c r="K79"/>
      <c r="L79"/>
      <c r="M79"/>
      <c r="N79"/>
      <c r="O79"/>
      <c r="P79"/>
      <c r="Q79"/>
      <c r="R79"/>
      <c r="S79"/>
      <c r="T79"/>
      <c r="U79"/>
      <c r="V79"/>
    </row>
    <row r="80" spans="1:22">
      <c r="A80"/>
      <c r="B80"/>
      <c r="C80"/>
      <c r="D80"/>
      <c r="E80"/>
      <c r="F80"/>
      <c r="G80"/>
      <c r="H80"/>
      <c r="I80"/>
      <c r="J80"/>
      <c r="K80"/>
      <c r="L80"/>
      <c r="M80"/>
      <c r="N80"/>
      <c r="O80"/>
      <c r="P80"/>
      <c r="Q80"/>
      <c r="R80"/>
      <c r="S80"/>
      <c r="T80"/>
      <c r="U80"/>
      <c r="V80"/>
    </row>
    <row r="81" spans="1:23">
      <c r="A81"/>
      <c r="B81"/>
      <c r="C81"/>
      <c r="D81"/>
      <c r="E81"/>
      <c r="F81"/>
      <c r="G81"/>
      <c r="H81"/>
      <c r="I81"/>
      <c r="J81"/>
      <c r="K81"/>
      <c r="L81"/>
      <c r="M81"/>
      <c r="N81"/>
      <c r="O81"/>
      <c r="P81"/>
      <c r="Q81"/>
      <c r="R81"/>
      <c r="S81"/>
      <c r="T81"/>
      <c r="U81"/>
      <c r="V81"/>
    </row>
    <row r="82" spans="1:23">
      <c r="A82"/>
      <c r="B82"/>
      <c r="C82"/>
      <c r="D82"/>
      <c r="E82"/>
      <c r="F82"/>
      <c r="G82"/>
      <c r="H82"/>
      <c r="I82"/>
      <c r="J82"/>
      <c r="K82"/>
      <c r="L82"/>
      <c r="M82"/>
      <c r="N82"/>
      <c r="O82"/>
      <c r="P82"/>
      <c r="Q82"/>
      <c r="R82"/>
      <c r="S82"/>
      <c r="T82"/>
      <c r="U82"/>
      <c r="V82"/>
    </row>
    <row r="83" spans="1:23">
      <c r="A83"/>
      <c r="B83"/>
      <c r="C83"/>
      <c r="D83"/>
      <c r="E83"/>
      <c r="F83"/>
      <c r="G83"/>
      <c r="H83"/>
      <c r="I83"/>
      <c r="J83"/>
      <c r="K83"/>
      <c r="L83"/>
      <c r="M83"/>
      <c r="N83"/>
      <c r="O83"/>
      <c r="P83"/>
      <c r="Q83"/>
      <c r="R83"/>
      <c r="S83"/>
      <c r="T83"/>
      <c r="U83"/>
      <c r="V83"/>
    </row>
    <row r="84" spans="1:23">
      <c r="A84"/>
      <c r="B84"/>
      <c r="C84"/>
      <c r="D84"/>
      <c r="E84"/>
      <c r="F84"/>
      <c r="G84"/>
      <c r="H84"/>
      <c r="I84"/>
      <c r="J84"/>
      <c r="K84"/>
      <c r="L84"/>
      <c r="M84"/>
      <c r="N84"/>
      <c r="O84"/>
      <c r="P84"/>
      <c r="Q84"/>
      <c r="R84"/>
      <c r="S84"/>
      <c r="T84"/>
      <c r="U84"/>
      <c r="V84"/>
    </row>
    <row r="85" spans="1:23">
      <c r="A85"/>
      <c r="B85"/>
      <c r="C85"/>
      <c r="D85"/>
      <c r="E85"/>
      <c r="F85"/>
      <c r="G85"/>
      <c r="H85"/>
      <c r="I85"/>
      <c r="J85"/>
      <c r="K85"/>
      <c r="L85"/>
      <c r="M85"/>
      <c r="N85"/>
      <c r="O85"/>
      <c r="P85"/>
      <c r="Q85"/>
      <c r="R85"/>
      <c r="S85"/>
      <c r="T85"/>
      <c r="U85"/>
      <c r="V85"/>
    </row>
    <row r="86" spans="1:23">
      <c r="A86"/>
      <c r="B86"/>
      <c r="C86"/>
      <c r="D86"/>
      <c r="E86"/>
      <c r="F86"/>
      <c r="G86"/>
      <c r="H86"/>
      <c r="I86"/>
      <c r="J86"/>
      <c r="K86"/>
      <c r="L86"/>
      <c r="M86"/>
      <c r="N86"/>
      <c r="O86"/>
      <c r="P86"/>
      <c r="Q86"/>
      <c r="R86"/>
      <c r="S86"/>
      <c r="T86"/>
      <c r="U86"/>
      <c r="V86"/>
    </row>
    <row r="87" spans="1:23">
      <c r="A87"/>
      <c r="B87"/>
      <c r="C87"/>
      <c r="D87"/>
      <c r="E87"/>
      <c r="F87"/>
      <c r="G87"/>
      <c r="H87"/>
      <c r="I87"/>
      <c r="J87"/>
      <c r="K87"/>
      <c r="L87"/>
      <c r="M87"/>
      <c r="N87"/>
      <c r="O87"/>
      <c r="P87"/>
      <c r="Q87"/>
      <c r="R87"/>
      <c r="S87"/>
      <c r="T87"/>
      <c r="U87"/>
      <c r="V87"/>
    </row>
    <row r="88" spans="1:23">
      <c r="A88"/>
      <c r="B88"/>
      <c r="C88"/>
      <c r="D88"/>
      <c r="E88"/>
      <c r="F88"/>
      <c r="G88"/>
      <c r="H88"/>
      <c r="I88"/>
      <c r="J88"/>
      <c r="K88"/>
      <c r="L88"/>
      <c r="M88"/>
      <c r="N88"/>
      <c r="O88"/>
      <c r="P88"/>
      <c r="Q88"/>
      <c r="R88"/>
      <c r="S88"/>
      <c r="T88"/>
      <c r="U88"/>
      <c r="V88"/>
    </row>
    <row r="89" spans="1:23">
      <c r="A89"/>
      <c r="B89"/>
      <c r="C89"/>
      <c r="D89"/>
      <c r="E89"/>
      <c r="F89"/>
      <c r="G89"/>
      <c r="H89"/>
      <c r="I89"/>
      <c r="J89"/>
      <c r="K89"/>
      <c r="L89"/>
      <c r="M89"/>
      <c r="N89"/>
      <c r="O89"/>
      <c r="P89"/>
      <c r="Q89"/>
      <c r="R89"/>
      <c r="S89"/>
      <c r="T89"/>
      <c r="U89"/>
      <c r="V89"/>
    </row>
    <row r="90" spans="1:23">
      <c r="A90"/>
      <c r="B90"/>
      <c r="C90"/>
      <c r="D90"/>
      <c r="E90"/>
      <c r="F90"/>
      <c r="G90"/>
      <c r="H90"/>
      <c r="I90"/>
      <c r="J90"/>
      <c r="K90"/>
      <c r="L90"/>
      <c r="M90"/>
      <c r="N90"/>
      <c r="O90"/>
      <c r="P90"/>
      <c r="Q90"/>
      <c r="R90"/>
      <c r="S90"/>
      <c r="T90"/>
      <c r="U90"/>
      <c r="V90"/>
      <c r="W90"/>
    </row>
    <row r="91" spans="1:23">
      <c r="A91"/>
      <c r="B91"/>
      <c r="C91"/>
      <c r="D91"/>
      <c r="E91"/>
      <c r="F91"/>
      <c r="G91"/>
      <c r="H91"/>
      <c r="I91"/>
      <c r="J91"/>
      <c r="K91"/>
      <c r="L91"/>
      <c r="M91"/>
      <c r="N91"/>
      <c r="O91"/>
      <c r="P91"/>
      <c r="Q91"/>
      <c r="R91"/>
      <c r="S91"/>
      <c r="T91"/>
      <c r="U91"/>
      <c r="V91"/>
      <c r="W91"/>
    </row>
    <row r="92" spans="1:23">
      <c r="A92"/>
      <c r="B92"/>
      <c r="C92"/>
      <c r="D92"/>
      <c r="E92"/>
      <c r="F92"/>
      <c r="G92"/>
      <c r="H92"/>
      <c r="I92"/>
      <c r="J92"/>
      <c r="K92"/>
      <c r="L92"/>
      <c r="M92"/>
      <c r="N92"/>
      <c r="O92"/>
      <c r="P92"/>
      <c r="Q92"/>
      <c r="R92"/>
      <c r="S92"/>
      <c r="T92"/>
      <c r="U92"/>
      <c r="V92"/>
      <c r="W92"/>
    </row>
    <row r="93" spans="1:23">
      <c r="A93"/>
      <c r="B93"/>
      <c r="C93"/>
      <c r="D93"/>
      <c r="E93"/>
      <c r="F93"/>
      <c r="G93"/>
      <c r="H93"/>
      <c r="I93"/>
      <c r="J93"/>
      <c r="K93"/>
      <c r="L93"/>
      <c r="M93"/>
      <c r="N93"/>
      <c r="O93"/>
      <c r="P93"/>
      <c r="Q93"/>
      <c r="R93"/>
      <c r="S93"/>
      <c r="T93"/>
      <c r="U93"/>
      <c r="V93"/>
      <c r="W93"/>
    </row>
    <row r="94" spans="1:23">
      <c r="A94"/>
      <c r="B94"/>
      <c r="C94"/>
      <c r="D94"/>
      <c r="E94"/>
      <c r="F94"/>
      <c r="G94"/>
      <c r="H94"/>
      <c r="I94"/>
      <c r="J94"/>
      <c r="K94"/>
      <c r="L94"/>
      <c r="M94"/>
      <c r="N94"/>
      <c r="O94"/>
      <c r="P94"/>
      <c r="Q94"/>
      <c r="R94"/>
      <c r="S94"/>
      <c r="T94"/>
      <c r="U94"/>
      <c r="V94"/>
      <c r="W94"/>
    </row>
    <row r="95" spans="1:23">
      <c r="A95"/>
      <c r="B95"/>
      <c r="C95"/>
      <c r="D95"/>
      <c r="E95"/>
      <c r="F95"/>
      <c r="G95"/>
      <c r="H95"/>
      <c r="I95"/>
      <c r="J95"/>
      <c r="K95"/>
      <c r="L95"/>
      <c r="M95"/>
      <c r="N95"/>
      <c r="O95"/>
      <c r="P95"/>
      <c r="Q95"/>
      <c r="R95"/>
      <c r="S95"/>
      <c r="T95"/>
      <c r="U95"/>
      <c r="V95"/>
      <c r="W95"/>
    </row>
    <row r="96" spans="1:23">
      <c r="A96"/>
      <c r="B96"/>
      <c r="C96"/>
      <c r="D96"/>
      <c r="E96"/>
      <c r="F96"/>
      <c r="G96"/>
      <c r="H96"/>
      <c r="I96"/>
      <c r="J96"/>
      <c r="K96"/>
      <c r="L96"/>
      <c r="M96"/>
      <c r="N96"/>
      <c r="O96"/>
      <c r="P96"/>
      <c r="Q96"/>
      <c r="R96"/>
      <c r="S96"/>
      <c r="T96"/>
      <c r="U96"/>
      <c r="V96"/>
      <c r="W96"/>
    </row>
    <row r="97" spans="1:23">
      <c r="A97"/>
      <c r="B97"/>
      <c r="C97"/>
      <c r="D97"/>
      <c r="E97"/>
      <c r="F97"/>
      <c r="G97"/>
      <c r="H97"/>
      <c r="I97"/>
      <c r="J97"/>
      <c r="K97"/>
      <c r="L97"/>
      <c r="M97"/>
      <c r="N97"/>
      <c r="O97"/>
      <c r="P97"/>
      <c r="Q97"/>
      <c r="R97"/>
      <c r="S97"/>
      <c r="T97"/>
      <c r="U97"/>
      <c r="V97"/>
      <c r="W97"/>
    </row>
    <row r="98" spans="1:23">
      <c r="A98"/>
      <c r="B98"/>
      <c r="C98"/>
      <c r="D98"/>
      <c r="E98"/>
      <c r="F98"/>
      <c r="G98"/>
      <c r="H98"/>
      <c r="I98"/>
      <c r="J98"/>
      <c r="K98"/>
      <c r="L98"/>
      <c r="M98"/>
      <c r="N98"/>
      <c r="O98"/>
      <c r="P98"/>
      <c r="Q98"/>
      <c r="R98"/>
      <c r="S98"/>
      <c r="T98"/>
      <c r="U98"/>
      <c r="V98"/>
      <c r="W98"/>
    </row>
    <row r="99" spans="1:23">
      <c r="E99"/>
      <c r="F99"/>
      <c r="G99"/>
      <c r="H99"/>
      <c r="I99"/>
      <c r="J99"/>
      <c r="K99"/>
      <c r="L99"/>
      <c r="M99"/>
      <c r="N99"/>
      <c r="O99"/>
      <c r="P99"/>
      <c r="Q99"/>
      <c r="R99"/>
      <c r="S99"/>
      <c r="T99"/>
      <c r="U99"/>
      <c r="V99"/>
      <c r="W99"/>
    </row>
    <row r="100" spans="1:23">
      <c r="E100"/>
      <c r="F100"/>
      <c r="G100"/>
      <c r="H100"/>
      <c r="I100"/>
      <c r="J100"/>
      <c r="K100"/>
      <c r="L100"/>
      <c r="M100"/>
      <c r="N100"/>
      <c r="O100"/>
      <c r="P100"/>
      <c r="Q100"/>
      <c r="R100"/>
      <c r="S100"/>
      <c r="T100"/>
      <c r="U100"/>
      <c r="V100"/>
      <c r="W100"/>
    </row>
    <row r="101" spans="1:23">
      <c r="E101"/>
      <c r="F101"/>
      <c r="G101"/>
      <c r="H101"/>
      <c r="I101"/>
      <c r="J101"/>
      <c r="K101"/>
      <c r="L101"/>
      <c r="M101"/>
      <c r="N101"/>
      <c r="O101"/>
      <c r="P101"/>
      <c r="Q101"/>
      <c r="R101"/>
      <c r="S101"/>
      <c r="T101"/>
      <c r="U101"/>
      <c r="V101"/>
      <c r="W101"/>
    </row>
    <row r="102" spans="1:23">
      <c r="E102"/>
      <c r="F102"/>
      <c r="G102"/>
      <c r="H102"/>
      <c r="I102"/>
      <c r="J102"/>
      <c r="K102"/>
      <c r="L102"/>
      <c r="M102"/>
      <c r="N102"/>
      <c r="O102"/>
      <c r="P102"/>
      <c r="Q102"/>
      <c r="R102"/>
      <c r="S102"/>
      <c r="T102"/>
      <c r="U102"/>
      <c r="V102"/>
      <c r="W102"/>
    </row>
    <row r="103" spans="1:23">
      <c r="E103"/>
      <c r="F103"/>
      <c r="G103"/>
      <c r="H103"/>
      <c r="I103"/>
      <c r="J103"/>
      <c r="K103"/>
      <c r="L103"/>
      <c r="M103"/>
      <c r="N103"/>
      <c r="O103"/>
      <c r="P103"/>
      <c r="Q103"/>
      <c r="R103"/>
      <c r="S103"/>
      <c r="T103"/>
      <c r="U103"/>
      <c r="V103"/>
      <c r="W103"/>
    </row>
    <row r="104" spans="1:23">
      <c r="E104"/>
      <c r="F104"/>
      <c r="G104"/>
      <c r="H104"/>
      <c r="I104"/>
      <c r="J104"/>
      <c r="K104"/>
      <c r="L104"/>
      <c r="M104"/>
      <c r="N104"/>
      <c r="O104"/>
      <c r="P104"/>
      <c r="Q104"/>
      <c r="R104"/>
      <c r="S104"/>
      <c r="T104"/>
      <c r="U104"/>
      <c r="V104"/>
      <c r="W104"/>
    </row>
    <row r="105" spans="1:23">
      <c r="E105"/>
      <c r="F105"/>
      <c r="G105"/>
      <c r="H105"/>
      <c r="I105"/>
      <c r="J105"/>
      <c r="K105"/>
      <c r="L105"/>
      <c r="M105"/>
      <c r="N105"/>
      <c r="O105"/>
      <c r="P105"/>
      <c r="Q105"/>
      <c r="R105"/>
      <c r="S105"/>
      <c r="T105"/>
      <c r="U105"/>
      <c r="V105"/>
      <c r="W105"/>
    </row>
    <row r="106" spans="1:23">
      <c r="E106"/>
      <c r="F106"/>
      <c r="G106"/>
      <c r="H106"/>
      <c r="I106"/>
      <c r="J106"/>
      <c r="K106"/>
      <c r="L106"/>
      <c r="M106"/>
      <c r="N106"/>
      <c r="O106"/>
      <c r="P106"/>
      <c r="Q106"/>
      <c r="R106"/>
      <c r="S106"/>
      <c r="T106"/>
      <c r="U106"/>
      <c r="V106"/>
      <c r="W106"/>
    </row>
    <row r="107" spans="1:23">
      <c r="E107"/>
      <c r="F107"/>
      <c r="G107"/>
      <c r="H107"/>
      <c r="I107"/>
      <c r="J107"/>
      <c r="K107"/>
      <c r="L107"/>
      <c r="M107"/>
      <c r="N107"/>
      <c r="O107"/>
      <c r="P107"/>
      <c r="Q107"/>
      <c r="R107"/>
      <c r="S107"/>
      <c r="T107"/>
      <c r="U107"/>
      <c r="V107"/>
      <c r="W107"/>
    </row>
    <row r="108" spans="1:23">
      <c r="E108"/>
      <c r="F108"/>
      <c r="G108"/>
      <c r="H108"/>
      <c r="I108"/>
      <c r="J108"/>
      <c r="K108"/>
      <c r="L108"/>
      <c r="M108"/>
      <c r="N108"/>
      <c r="O108"/>
      <c r="P108"/>
      <c r="Q108"/>
      <c r="R108"/>
      <c r="S108"/>
      <c r="T108"/>
      <c r="U108"/>
      <c r="V108"/>
      <c r="W108"/>
    </row>
    <row r="109" spans="1:23">
      <c r="E109"/>
      <c r="F109"/>
      <c r="G109"/>
      <c r="H109"/>
      <c r="I109"/>
      <c r="J109"/>
      <c r="K109"/>
      <c r="L109"/>
      <c r="M109"/>
      <c r="N109"/>
      <c r="O109"/>
      <c r="P109"/>
      <c r="Q109"/>
      <c r="R109"/>
      <c r="S109"/>
      <c r="T109"/>
      <c r="U109"/>
      <c r="V109"/>
      <c r="W109"/>
    </row>
    <row r="110" spans="1:23">
      <c r="E110"/>
      <c r="F110"/>
      <c r="G110"/>
      <c r="H110"/>
      <c r="I110"/>
      <c r="J110"/>
      <c r="K110"/>
      <c r="L110"/>
      <c r="M110"/>
      <c r="N110"/>
      <c r="O110"/>
      <c r="P110"/>
      <c r="Q110"/>
      <c r="R110"/>
      <c r="S110"/>
      <c r="T110"/>
      <c r="U110"/>
      <c r="V110"/>
      <c r="W110"/>
    </row>
    <row r="111" spans="1:23">
      <c r="E111"/>
      <c r="F111"/>
      <c r="G111"/>
      <c r="H111"/>
      <c r="I111"/>
      <c r="J111"/>
      <c r="K111"/>
      <c r="L111"/>
      <c r="M111"/>
      <c r="N111"/>
      <c r="O111"/>
      <c r="P111"/>
      <c r="Q111"/>
      <c r="R111"/>
      <c r="S111"/>
      <c r="T111"/>
      <c r="U111"/>
      <c r="V111"/>
      <c r="W111"/>
    </row>
    <row r="112" spans="1:23">
      <c r="E112"/>
      <c r="F112"/>
      <c r="G112"/>
      <c r="H112"/>
      <c r="I112"/>
      <c r="J112"/>
      <c r="K112"/>
      <c r="L112"/>
      <c r="M112"/>
      <c r="N112"/>
      <c r="O112"/>
      <c r="P112"/>
      <c r="Q112"/>
      <c r="R112"/>
      <c r="S112"/>
      <c r="T112"/>
      <c r="U112"/>
      <c r="V112"/>
      <c r="W112"/>
    </row>
    <row r="113" spans="5:23">
      <c r="E113"/>
      <c r="F113"/>
      <c r="G113"/>
      <c r="H113"/>
      <c r="I113"/>
      <c r="J113"/>
      <c r="K113"/>
      <c r="L113"/>
      <c r="M113"/>
      <c r="N113"/>
      <c r="O113"/>
      <c r="P113"/>
      <c r="Q113"/>
      <c r="R113"/>
      <c r="S113"/>
      <c r="T113"/>
      <c r="U113"/>
      <c r="V113"/>
      <c r="W113"/>
    </row>
    <row r="114" spans="5:23">
      <c r="E114"/>
      <c r="F114"/>
      <c r="G114"/>
      <c r="H114"/>
      <c r="I114"/>
      <c r="J114"/>
      <c r="K114"/>
      <c r="L114"/>
      <c r="M114"/>
      <c r="N114"/>
      <c r="O114"/>
      <c r="P114"/>
      <c r="Q114"/>
      <c r="R114"/>
      <c r="S114"/>
      <c r="T114"/>
      <c r="U114"/>
      <c r="V114"/>
      <c r="W114"/>
    </row>
    <row r="115" spans="5:23">
      <c r="E115"/>
      <c r="F115"/>
      <c r="G115"/>
      <c r="H115"/>
      <c r="I115"/>
      <c r="J115"/>
      <c r="K115"/>
      <c r="L115"/>
      <c r="M115"/>
      <c r="N115"/>
      <c r="O115"/>
      <c r="P115"/>
      <c r="Q115"/>
      <c r="R115"/>
      <c r="S115"/>
      <c r="T115"/>
      <c r="U115"/>
      <c r="V115"/>
      <c r="W115"/>
    </row>
    <row r="116" spans="5:23">
      <c r="E116"/>
      <c r="F116"/>
      <c r="G116"/>
      <c r="H116"/>
      <c r="I116"/>
      <c r="J116"/>
      <c r="K116"/>
      <c r="L116"/>
      <c r="M116"/>
      <c r="N116"/>
      <c r="O116"/>
      <c r="P116"/>
      <c r="Q116"/>
      <c r="R116"/>
      <c r="S116"/>
      <c r="T116"/>
      <c r="U116"/>
      <c r="V116"/>
      <c r="W116"/>
    </row>
    <row r="117" spans="5:23">
      <c r="E117"/>
      <c r="F117"/>
      <c r="G117"/>
      <c r="H117"/>
      <c r="I117"/>
      <c r="J117"/>
      <c r="K117"/>
      <c r="L117"/>
      <c r="M117"/>
      <c r="N117"/>
      <c r="O117"/>
      <c r="P117"/>
      <c r="Q117"/>
      <c r="R117"/>
      <c r="S117"/>
      <c r="T117"/>
      <c r="U117"/>
      <c r="V117"/>
      <c r="W117"/>
    </row>
    <row r="118" spans="5:23">
      <c r="E118"/>
      <c r="F118"/>
      <c r="G118"/>
      <c r="H118"/>
      <c r="I118"/>
      <c r="J118"/>
      <c r="K118"/>
      <c r="L118"/>
      <c r="M118"/>
      <c r="N118"/>
      <c r="O118"/>
      <c r="P118"/>
      <c r="Q118"/>
      <c r="R118"/>
      <c r="S118"/>
      <c r="T118"/>
      <c r="U118"/>
      <c r="V118"/>
      <c r="W118"/>
    </row>
    <row r="119" spans="5:23">
      <c r="E119"/>
      <c r="F119"/>
      <c r="G119"/>
      <c r="H119"/>
      <c r="I119"/>
      <c r="J119"/>
      <c r="K119"/>
      <c r="L119"/>
      <c r="M119"/>
      <c r="N119"/>
      <c r="O119"/>
      <c r="P119"/>
      <c r="Q119"/>
      <c r="R119"/>
      <c r="S119"/>
      <c r="T119"/>
      <c r="U119"/>
      <c r="V119"/>
      <c r="W119"/>
    </row>
    <row r="120" spans="5:23">
      <c r="E120"/>
      <c r="F120"/>
      <c r="G120"/>
      <c r="H120"/>
      <c r="I120"/>
      <c r="J120"/>
      <c r="K120"/>
      <c r="L120"/>
      <c r="M120"/>
      <c r="N120"/>
      <c r="O120"/>
      <c r="P120"/>
      <c r="Q120"/>
      <c r="R120"/>
      <c r="S120"/>
      <c r="T120"/>
      <c r="U120"/>
      <c r="V120"/>
      <c r="W120"/>
    </row>
    <row r="121" spans="5:23">
      <c r="E121"/>
      <c r="F121"/>
      <c r="G121"/>
      <c r="H121"/>
      <c r="I121"/>
      <c r="J121"/>
      <c r="K121"/>
      <c r="L121"/>
      <c r="M121"/>
      <c r="N121"/>
      <c r="O121"/>
      <c r="P121"/>
      <c r="Q121"/>
      <c r="R121"/>
      <c r="S121"/>
      <c r="T121"/>
      <c r="U121"/>
      <c r="V121"/>
      <c r="W121"/>
    </row>
    <row r="122" spans="5:23">
      <c r="E122"/>
      <c r="F122"/>
      <c r="G122"/>
      <c r="H122"/>
      <c r="I122"/>
      <c r="J122"/>
      <c r="K122"/>
      <c r="L122"/>
      <c r="M122"/>
      <c r="N122"/>
      <c r="O122"/>
      <c r="P122"/>
      <c r="Q122"/>
      <c r="R122"/>
      <c r="S122"/>
      <c r="T122"/>
      <c r="U122"/>
      <c r="V122"/>
      <c r="W122"/>
    </row>
    <row r="123" spans="5:23">
      <c r="E123"/>
      <c r="F123"/>
      <c r="G123"/>
      <c r="H123"/>
      <c r="I123"/>
      <c r="J123"/>
      <c r="K123"/>
      <c r="L123"/>
      <c r="M123"/>
      <c r="N123"/>
      <c r="O123"/>
      <c r="P123"/>
      <c r="Q123"/>
      <c r="R123"/>
      <c r="S123"/>
      <c r="T123"/>
      <c r="U123"/>
      <c r="V123"/>
      <c r="W123"/>
    </row>
    <row r="124" spans="5:23">
      <c r="E124"/>
      <c r="F124"/>
      <c r="G124"/>
      <c r="H124"/>
      <c r="I124"/>
      <c r="J124"/>
      <c r="K124"/>
      <c r="L124"/>
      <c r="M124"/>
      <c r="N124"/>
      <c r="O124"/>
      <c r="P124"/>
      <c r="Q124"/>
      <c r="R124"/>
      <c r="S124"/>
      <c r="T124"/>
      <c r="U124"/>
      <c r="V124"/>
      <c r="W124"/>
    </row>
    <row r="125" spans="5:23">
      <c r="E125"/>
      <c r="F125"/>
      <c r="G125"/>
      <c r="H125"/>
      <c r="I125"/>
      <c r="J125"/>
      <c r="K125"/>
      <c r="L125"/>
      <c r="M125"/>
      <c r="N125"/>
      <c r="O125"/>
      <c r="P125"/>
      <c r="Q125"/>
      <c r="R125"/>
      <c r="S125"/>
      <c r="T125"/>
      <c r="U125"/>
      <c r="V125"/>
      <c r="W125"/>
    </row>
    <row r="126" spans="5:23">
      <c r="E126"/>
      <c r="F126"/>
      <c r="G126"/>
      <c r="H126"/>
      <c r="I126"/>
      <c r="J126"/>
      <c r="K126"/>
      <c r="L126"/>
      <c r="M126"/>
      <c r="N126"/>
      <c r="O126"/>
      <c r="P126"/>
      <c r="Q126"/>
      <c r="R126"/>
      <c r="S126"/>
      <c r="T126"/>
      <c r="U126"/>
      <c r="V126"/>
      <c r="W126"/>
    </row>
    <row r="127" spans="5:23">
      <c r="E127"/>
      <c r="F127"/>
      <c r="G127"/>
      <c r="H127"/>
      <c r="I127"/>
      <c r="J127"/>
      <c r="K127"/>
      <c r="L127"/>
      <c r="M127"/>
      <c r="N127"/>
      <c r="O127"/>
      <c r="P127"/>
      <c r="Q127"/>
      <c r="R127"/>
      <c r="S127"/>
      <c r="T127"/>
      <c r="U127"/>
      <c r="V127"/>
      <c r="W127"/>
    </row>
    <row r="128" spans="5:23">
      <c r="E128"/>
      <c r="F128"/>
      <c r="G128"/>
      <c r="H128"/>
      <c r="I128"/>
      <c r="J128"/>
      <c r="K128"/>
      <c r="L128"/>
      <c r="M128"/>
      <c r="N128"/>
      <c r="O128"/>
      <c r="P128"/>
      <c r="Q128"/>
      <c r="R128"/>
      <c r="S128"/>
      <c r="T128"/>
      <c r="U128"/>
      <c r="V128"/>
      <c r="W128"/>
    </row>
    <row r="129" spans="5:23">
      <c r="E129"/>
      <c r="F129"/>
      <c r="G129"/>
      <c r="H129"/>
      <c r="I129"/>
      <c r="J129"/>
      <c r="K129"/>
      <c r="L129"/>
      <c r="M129"/>
      <c r="N129"/>
      <c r="O129"/>
      <c r="P129"/>
      <c r="Q129"/>
      <c r="R129"/>
      <c r="S129"/>
      <c r="T129"/>
      <c r="U129"/>
      <c r="V129"/>
      <c r="W129"/>
    </row>
    <row r="130" spans="5:23">
      <c r="E130"/>
      <c r="F130"/>
      <c r="G130"/>
      <c r="H130"/>
      <c r="I130"/>
      <c r="J130"/>
      <c r="K130"/>
      <c r="L130"/>
      <c r="M130"/>
      <c r="N130"/>
      <c r="O130"/>
      <c r="P130"/>
      <c r="Q130"/>
      <c r="R130"/>
      <c r="S130"/>
      <c r="T130"/>
      <c r="U130"/>
      <c r="V130"/>
      <c r="W130"/>
    </row>
    <row r="131" spans="5:23">
      <c r="E131"/>
      <c r="F131"/>
      <c r="G131"/>
      <c r="H131"/>
      <c r="I131"/>
      <c r="J131"/>
      <c r="K131"/>
      <c r="L131"/>
      <c r="M131"/>
      <c r="N131"/>
      <c r="O131"/>
      <c r="P131"/>
      <c r="Q131"/>
      <c r="R131"/>
      <c r="S131"/>
      <c r="T131"/>
      <c r="U131"/>
      <c r="V131"/>
      <c r="W131"/>
    </row>
    <row r="132" spans="5:23">
      <c r="E132"/>
      <c r="F132"/>
      <c r="G132"/>
      <c r="H132"/>
      <c r="I132"/>
      <c r="J132"/>
      <c r="K132"/>
      <c r="L132"/>
      <c r="M132"/>
      <c r="N132"/>
      <c r="O132"/>
      <c r="P132"/>
      <c r="Q132"/>
      <c r="R132"/>
      <c r="S132"/>
      <c r="T132"/>
      <c r="U132"/>
      <c r="V132"/>
      <c r="W132"/>
    </row>
    <row r="133" spans="5:23">
      <c r="E133"/>
      <c r="F133"/>
      <c r="G133"/>
      <c r="H133"/>
      <c r="I133"/>
      <c r="J133"/>
      <c r="K133"/>
      <c r="L133"/>
      <c r="M133"/>
      <c r="N133"/>
      <c r="O133"/>
      <c r="P133"/>
      <c r="Q133"/>
      <c r="R133"/>
      <c r="S133"/>
      <c r="T133"/>
      <c r="U133"/>
      <c r="V133"/>
      <c r="W133"/>
    </row>
    <row r="134" spans="5:23">
      <c r="E134"/>
      <c r="F134"/>
      <c r="G134"/>
      <c r="H134"/>
      <c r="I134"/>
      <c r="J134"/>
      <c r="K134"/>
      <c r="L134"/>
      <c r="M134"/>
      <c r="N134"/>
      <c r="O134"/>
      <c r="P134"/>
      <c r="Q134"/>
      <c r="R134"/>
      <c r="S134"/>
      <c r="T134"/>
      <c r="U134"/>
      <c r="V134"/>
      <c r="W134"/>
    </row>
    <row r="135" spans="5:23">
      <c r="E135"/>
      <c r="F135"/>
      <c r="G135"/>
      <c r="H135"/>
      <c r="I135"/>
      <c r="J135"/>
      <c r="K135"/>
      <c r="L135"/>
      <c r="M135"/>
      <c r="N135"/>
      <c r="O135"/>
      <c r="P135"/>
      <c r="Q135"/>
      <c r="R135"/>
      <c r="S135"/>
      <c r="T135"/>
      <c r="U135"/>
      <c r="V135"/>
      <c r="W135"/>
    </row>
    <row r="136" spans="5:23">
      <c r="E136"/>
      <c r="F136"/>
      <c r="G136"/>
      <c r="H136"/>
      <c r="I136"/>
      <c r="J136"/>
      <c r="K136"/>
      <c r="L136"/>
      <c r="M136"/>
      <c r="N136"/>
      <c r="O136"/>
      <c r="P136"/>
      <c r="Q136"/>
      <c r="R136"/>
      <c r="S136"/>
      <c r="T136"/>
      <c r="U136"/>
      <c r="V136"/>
      <c r="W136"/>
    </row>
    <row r="137" spans="5:23">
      <c r="E137"/>
      <c r="F137"/>
      <c r="G137"/>
      <c r="H137"/>
      <c r="I137"/>
      <c r="J137"/>
      <c r="K137"/>
      <c r="L137"/>
      <c r="M137"/>
      <c r="N137"/>
      <c r="O137"/>
      <c r="P137"/>
      <c r="Q137"/>
      <c r="R137"/>
      <c r="S137"/>
      <c r="T137"/>
      <c r="U137"/>
      <c r="V137"/>
      <c r="W137"/>
    </row>
    <row r="138" spans="5:23">
      <c r="E138"/>
      <c r="F138"/>
      <c r="G138"/>
      <c r="H138"/>
      <c r="I138"/>
      <c r="J138"/>
      <c r="K138"/>
      <c r="L138"/>
      <c r="M138"/>
      <c r="N138"/>
      <c r="O138"/>
      <c r="P138"/>
      <c r="Q138"/>
      <c r="R138"/>
      <c r="S138"/>
      <c r="T138"/>
      <c r="U138"/>
      <c r="V138"/>
      <c r="W138"/>
    </row>
    <row r="139" spans="5:23">
      <c r="E139"/>
      <c r="F139"/>
      <c r="G139"/>
      <c r="H139"/>
      <c r="I139"/>
      <c r="J139"/>
      <c r="K139"/>
      <c r="L139"/>
      <c r="M139"/>
      <c r="N139"/>
      <c r="O139"/>
      <c r="P139"/>
      <c r="Q139"/>
      <c r="R139"/>
      <c r="S139"/>
      <c r="T139"/>
      <c r="U139"/>
      <c r="V139"/>
      <c r="W139"/>
    </row>
    <row r="140" spans="5:23">
      <c r="E140"/>
      <c r="F140"/>
      <c r="G140"/>
      <c r="H140"/>
      <c r="I140"/>
      <c r="J140"/>
      <c r="K140"/>
      <c r="L140"/>
      <c r="M140"/>
      <c r="N140"/>
      <c r="O140"/>
      <c r="P140"/>
      <c r="Q140"/>
      <c r="R140"/>
      <c r="S140"/>
      <c r="T140"/>
      <c r="U140"/>
      <c r="V140"/>
      <c r="W140"/>
    </row>
    <row r="141" spans="5:23">
      <c r="E141"/>
      <c r="F141"/>
      <c r="G141"/>
      <c r="H141"/>
      <c r="I141"/>
      <c r="J141"/>
      <c r="K141"/>
      <c r="L141"/>
      <c r="M141"/>
      <c r="N141"/>
      <c r="O141"/>
      <c r="P141"/>
      <c r="Q141"/>
      <c r="R141"/>
      <c r="S141"/>
      <c r="T141"/>
      <c r="U141"/>
      <c r="V141"/>
      <c r="W141"/>
    </row>
    <row r="142" spans="5:23">
      <c r="E142"/>
      <c r="F142"/>
      <c r="G142"/>
      <c r="H142"/>
      <c r="I142"/>
      <c r="J142"/>
      <c r="K142"/>
      <c r="L142"/>
      <c r="M142"/>
      <c r="N142"/>
      <c r="O142"/>
      <c r="P142"/>
      <c r="Q142"/>
      <c r="R142"/>
      <c r="S142"/>
      <c r="T142"/>
      <c r="U142"/>
      <c r="V142"/>
      <c r="W142"/>
    </row>
    <row r="143" spans="5:23">
      <c r="E143"/>
      <c r="F143"/>
      <c r="G143"/>
      <c r="H143"/>
      <c r="I143"/>
      <c r="J143"/>
      <c r="K143"/>
      <c r="L143"/>
      <c r="M143"/>
      <c r="N143"/>
      <c r="O143"/>
      <c r="P143"/>
      <c r="Q143"/>
      <c r="R143"/>
      <c r="S143"/>
      <c r="T143"/>
      <c r="U143"/>
      <c r="V143"/>
      <c r="W143"/>
    </row>
    <row r="144" spans="5:23">
      <c r="E144"/>
      <c r="F144"/>
      <c r="G144"/>
      <c r="H144"/>
      <c r="I144"/>
      <c r="J144"/>
      <c r="K144"/>
      <c r="L144"/>
      <c r="M144"/>
      <c r="N144"/>
      <c r="O144"/>
      <c r="P144"/>
      <c r="Q144"/>
      <c r="R144"/>
      <c r="S144"/>
      <c r="T144"/>
      <c r="U144"/>
      <c r="V144"/>
      <c r="W144"/>
    </row>
    <row r="145" spans="5:23">
      <c r="E145"/>
      <c r="F145"/>
      <c r="G145"/>
      <c r="H145"/>
      <c r="I145"/>
      <c r="J145"/>
      <c r="K145"/>
      <c r="L145"/>
      <c r="M145"/>
      <c r="N145"/>
      <c r="O145"/>
      <c r="P145"/>
      <c r="Q145"/>
      <c r="R145"/>
      <c r="S145"/>
      <c r="T145"/>
      <c r="U145"/>
      <c r="V145"/>
      <c r="W145"/>
    </row>
    <row r="146" spans="5:23">
      <c r="E146"/>
      <c r="F146"/>
      <c r="G146"/>
      <c r="H146"/>
      <c r="I146"/>
      <c r="J146"/>
      <c r="K146"/>
      <c r="L146"/>
      <c r="M146"/>
      <c r="N146"/>
      <c r="O146"/>
      <c r="P146"/>
      <c r="Q146"/>
      <c r="R146"/>
      <c r="S146"/>
      <c r="T146"/>
      <c r="U146"/>
      <c r="V146"/>
      <c r="W146"/>
    </row>
    <row r="147" spans="5:23">
      <c r="E147"/>
      <c r="F147"/>
      <c r="G147"/>
      <c r="H147"/>
      <c r="I147"/>
      <c r="J147"/>
      <c r="K147"/>
      <c r="L147"/>
      <c r="M147"/>
      <c r="N147"/>
      <c r="O147"/>
      <c r="P147"/>
      <c r="Q147"/>
      <c r="R147"/>
      <c r="S147"/>
      <c r="T147"/>
      <c r="U147"/>
      <c r="V147"/>
      <c r="W147"/>
    </row>
    <row r="148" spans="5:23">
      <c r="E148"/>
      <c r="F148"/>
      <c r="G148"/>
      <c r="H148"/>
      <c r="I148"/>
      <c r="J148"/>
      <c r="K148"/>
      <c r="L148"/>
      <c r="M148"/>
      <c r="N148"/>
      <c r="O148"/>
      <c r="P148"/>
      <c r="Q148"/>
      <c r="R148"/>
      <c r="S148"/>
      <c r="T148"/>
      <c r="U148"/>
      <c r="V148"/>
      <c r="W148"/>
    </row>
    <row r="149" spans="5:23">
      <c r="E149"/>
      <c r="F149"/>
      <c r="G149"/>
      <c r="H149"/>
      <c r="I149"/>
      <c r="J149"/>
      <c r="K149"/>
      <c r="L149"/>
      <c r="M149"/>
      <c r="N149"/>
      <c r="O149"/>
      <c r="P149"/>
      <c r="Q149"/>
      <c r="R149"/>
      <c r="S149"/>
      <c r="T149"/>
      <c r="U149"/>
      <c r="V149"/>
      <c r="W149"/>
    </row>
    <row r="150" spans="5:23">
      <c r="E150"/>
      <c r="F150"/>
      <c r="G150"/>
      <c r="H150"/>
      <c r="I150"/>
      <c r="J150"/>
      <c r="K150"/>
      <c r="L150"/>
      <c r="M150"/>
      <c r="N150"/>
      <c r="O150"/>
      <c r="P150"/>
      <c r="Q150"/>
      <c r="R150"/>
      <c r="S150"/>
      <c r="T150"/>
      <c r="U150"/>
      <c r="V150"/>
      <c r="W150"/>
    </row>
    <row r="151" spans="5:23">
      <c r="E151"/>
      <c r="F151"/>
      <c r="G151"/>
      <c r="H151"/>
      <c r="I151"/>
      <c r="J151"/>
      <c r="K151"/>
      <c r="L151"/>
      <c r="M151"/>
      <c r="N151"/>
      <c r="O151"/>
      <c r="P151"/>
      <c r="Q151"/>
      <c r="R151"/>
      <c r="S151"/>
      <c r="T151"/>
      <c r="U151"/>
      <c r="V151"/>
      <c r="W151"/>
    </row>
    <row r="152" spans="5:23">
      <c r="E152"/>
      <c r="F152"/>
      <c r="G152"/>
      <c r="H152"/>
      <c r="I152"/>
      <c r="J152"/>
      <c r="K152"/>
      <c r="L152"/>
      <c r="M152"/>
      <c r="N152"/>
      <c r="O152"/>
      <c r="P152"/>
      <c r="Q152"/>
      <c r="R152"/>
      <c r="S152"/>
      <c r="T152"/>
      <c r="U152"/>
      <c r="V152"/>
      <c r="W152"/>
    </row>
    <row r="153" spans="5:23">
      <c r="E153"/>
      <c r="F153"/>
      <c r="G153"/>
      <c r="H153"/>
      <c r="I153"/>
      <c r="J153"/>
      <c r="K153"/>
      <c r="L153"/>
      <c r="M153"/>
      <c r="N153"/>
      <c r="O153"/>
      <c r="P153"/>
      <c r="Q153"/>
      <c r="R153"/>
      <c r="S153"/>
      <c r="T153"/>
      <c r="U153"/>
      <c r="V153"/>
      <c r="W153"/>
    </row>
    <row r="154" spans="5:23">
      <c r="E154"/>
      <c r="F154"/>
      <c r="G154"/>
      <c r="H154"/>
      <c r="I154"/>
      <c r="J154"/>
      <c r="K154"/>
      <c r="L154"/>
      <c r="M154"/>
      <c r="N154"/>
      <c r="O154"/>
      <c r="P154"/>
      <c r="Q154"/>
      <c r="R154"/>
      <c r="S154"/>
      <c r="T154"/>
      <c r="U154"/>
      <c r="V154"/>
      <c r="W154"/>
    </row>
    <row r="155" spans="5:23">
      <c r="E155"/>
      <c r="F155"/>
      <c r="G155"/>
      <c r="H155"/>
      <c r="I155"/>
      <c r="J155"/>
      <c r="K155"/>
      <c r="L155"/>
      <c r="M155"/>
      <c r="N155"/>
      <c r="O155"/>
      <c r="P155"/>
      <c r="Q155"/>
      <c r="R155"/>
      <c r="S155"/>
      <c r="T155"/>
      <c r="U155"/>
      <c r="V155"/>
      <c r="W155"/>
    </row>
    <row r="156" spans="5:23">
      <c r="E156"/>
      <c r="F156"/>
      <c r="G156"/>
      <c r="H156"/>
      <c r="I156"/>
      <c r="J156"/>
      <c r="K156"/>
      <c r="L156"/>
      <c r="M156"/>
      <c r="N156"/>
      <c r="O156"/>
      <c r="P156"/>
      <c r="Q156"/>
      <c r="R156"/>
      <c r="S156"/>
      <c r="T156"/>
      <c r="U156"/>
      <c r="V156"/>
      <c r="W156"/>
    </row>
    <row r="157" spans="5:23">
      <c r="E157"/>
      <c r="F157"/>
      <c r="G157"/>
      <c r="H157"/>
      <c r="I157"/>
      <c r="J157"/>
      <c r="K157"/>
      <c r="L157"/>
      <c r="M157"/>
      <c r="N157"/>
      <c r="O157"/>
      <c r="P157"/>
      <c r="Q157"/>
      <c r="R157"/>
      <c r="S157"/>
      <c r="T157"/>
      <c r="U157"/>
      <c r="V157"/>
      <c r="W157"/>
    </row>
    <row r="158" spans="5:23">
      <c r="E158"/>
      <c r="F158"/>
      <c r="G158"/>
      <c r="H158"/>
      <c r="I158"/>
      <c r="J158"/>
      <c r="K158"/>
      <c r="L158"/>
      <c r="M158"/>
      <c r="N158"/>
      <c r="O158"/>
      <c r="P158"/>
      <c r="Q158"/>
      <c r="R158"/>
      <c r="S158"/>
      <c r="T158"/>
      <c r="U158"/>
      <c r="V158"/>
      <c r="W158"/>
    </row>
    <row r="159" spans="5:23">
      <c r="E159"/>
      <c r="F159"/>
      <c r="G159"/>
      <c r="H159"/>
      <c r="I159"/>
      <c r="J159"/>
      <c r="K159"/>
      <c r="L159"/>
      <c r="M159"/>
      <c r="N159"/>
      <c r="O159"/>
      <c r="P159"/>
      <c r="Q159"/>
      <c r="R159"/>
      <c r="S159"/>
      <c r="T159"/>
      <c r="U159"/>
      <c r="V159"/>
      <c r="W159"/>
    </row>
    <row r="160" spans="5:23">
      <c r="E160"/>
      <c r="F160"/>
      <c r="G160"/>
      <c r="H160"/>
      <c r="I160"/>
      <c r="J160"/>
      <c r="K160"/>
      <c r="L160"/>
      <c r="M160"/>
      <c r="N160"/>
      <c r="O160"/>
      <c r="P160"/>
      <c r="Q160"/>
      <c r="R160"/>
      <c r="S160"/>
      <c r="T160"/>
      <c r="U160"/>
      <c r="V160"/>
      <c r="W160"/>
    </row>
    <row r="161" spans="5:23">
      <c r="E161"/>
      <c r="F161"/>
      <c r="G161"/>
      <c r="H161"/>
      <c r="I161"/>
      <c r="J161"/>
      <c r="K161"/>
      <c r="L161"/>
      <c r="M161"/>
      <c r="N161"/>
      <c r="O161"/>
      <c r="P161"/>
      <c r="Q161"/>
      <c r="R161"/>
      <c r="S161"/>
      <c r="T161"/>
      <c r="U161"/>
      <c r="V161"/>
      <c r="W161"/>
    </row>
    <row r="162" spans="5:23">
      <c r="E162"/>
      <c r="F162"/>
      <c r="G162"/>
      <c r="H162"/>
      <c r="I162"/>
      <c r="J162"/>
      <c r="K162"/>
      <c r="L162"/>
      <c r="M162"/>
      <c r="N162"/>
      <c r="O162"/>
      <c r="P162"/>
      <c r="Q162"/>
      <c r="R162"/>
      <c r="S162"/>
      <c r="T162"/>
      <c r="U162"/>
      <c r="V162"/>
      <c r="W162"/>
    </row>
    <row r="163" spans="5:23">
      <c r="E163"/>
      <c r="F163"/>
      <c r="G163"/>
      <c r="H163"/>
      <c r="I163"/>
      <c r="J163"/>
      <c r="K163"/>
      <c r="L163"/>
      <c r="M163"/>
      <c r="N163"/>
      <c r="O163"/>
      <c r="P163"/>
      <c r="Q163"/>
      <c r="R163"/>
      <c r="S163"/>
      <c r="T163"/>
      <c r="U163"/>
      <c r="V163"/>
      <c r="W163"/>
    </row>
    <row r="164" spans="5:23">
      <c r="E164"/>
      <c r="F164"/>
      <c r="G164"/>
      <c r="H164"/>
      <c r="I164"/>
      <c r="J164"/>
      <c r="K164"/>
      <c r="L164"/>
      <c r="M164"/>
      <c r="N164"/>
      <c r="O164"/>
      <c r="P164"/>
      <c r="Q164"/>
      <c r="R164"/>
      <c r="S164"/>
      <c r="T164"/>
      <c r="U164"/>
      <c r="V164"/>
      <c r="W164"/>
    </row>
    <row r="165" spans="5:23">
      <c r="E165"/>
      <c r="F165"/>
      <c r="G165"/>
      <c r="H165"/>
      <c r="I165"/>
      <c r="J165"/>
      <c r="K165"/>
      <c r="L165"/>
      <c r="M165"/>
      <c r="N165"/>
      <c r="O165"/>
      <c r="P165"/>
      <c r="Q165"/>
      <c r="R165"/>
      <c r="S165"/>
      <c r="T165"/>
      <c r="U165"/>
      <c r="V165"/>
      <c r="W165"/>
    </row>
    <row r="166" spans="5:23">
      <c r="E166"/>
      <c r="F166"/>
      <c r="G166"/>
      <c r="H166"/>
      <c r="I166"/>
      <c r="J166"/>
      <c r="K166"/>
      <c r="L166"/>
      <c r="M166"/>
      <c r="N166"/>
      <c r="O166"/>
      <c r="P166"/>
      <c r="Q166"/>
      <c r="R166"/>
      <c r="S166"/>
      <c r="T166"/>
      <c r="U166"/>
      <c r="V166"/>
      <c r="W166"/>
    </row>
    <row r="167" spans="5:23">
      <c r="E167"/>
      <c r="F167"/>
      <c r="G167"/>
      <c r="H167"/>
      <c r="I167"/>
      <c r="J167"/>
      <c r="K167"/>
      <c r="L167"/>
      <c r="M167"/>
      <c r="N167"/>
      <c r="O167"/>
      <c r="P167"/>
      <c r="Q167"/>
      <c r="R167"/>
      <c r="S167"/>
      <c r="T167"/>
      <c r="U167"/>
      <c r="V167"/>
      <c r="W167"/>
    </row>
    <row r="168" spans="5:23">
      <c r="E168"/>
      <c r="F168"/>
      <c r="G168"/>
      <c r="H168"/>
      <c r="I168"/>
      <c r="J168"/>
      <c r="K168"/>
      <c r="L168"/>
      <c r="M168"/>
      <c r="N168"/>
      <c r="O168"/>
      <c r="P168"/>
      <c r="Q168"/>
      <c r="R168"/>
      <c r="S168"/>
      <c r="T168"/>
      <c r="U168"/>
      <c r="V168"/>
      <c r="W168"/>
    </row>
    <row r="169" spans="5:23">
      <c r="E169"/>
      <c r="F169"/>
      <c r="G169"/>
      <c r="H169"/>
      <c r="I169"/>
      <c r="J169"/>
      <c r="K169"/>
      <c r="L169"/>
      <c r="M169"/>
      <c r="N169"/>
      <c r="O169"/>
      <c r="P169"/>
      <c r="Q169"/>
      <c r="R169"/>
      <c r="S169"/>
      <c r="T169"/>
      <c r="U169"/>
      <c r="V169"/>
      <c r="W169"/>
    </row>
    <row r="170" spans="5:23">
      <c r="E170"/>
      <c r="F170"/>
      <c r="G170"/>
      <c r="H170"/>
      <c r="I170"/>
      <c r="J170"/>
      <c r="K170"/>
      <c r="L170"/>
      <c r="M170"/>
      <c r="N170"/>
      <c r="O170"/>
      <c r="P170"/>
      <c r="Q170"/>
      <c r="R170"/>
      <c r="S170"/>
      <c r="T170"/>
      <c r="U170"/>
      <c r="V170"/>
      <c r="W170"/>
    </row>
    <row r="171" spans="5:23">
      <c r="E171"/>
      <c r="F171"/>
      <c r="G171"/>
      <c r="H171"/>
      <c r="I171"/>
      <c r="J171"/>
      <c r="K171"/>
      <c r="L171"/>
      <c r="M171"/>
      <c r="N171"/>
      <c r="O171"/>
      <c r="P171"/>
      <c r="Q171"/>
      <c r="R171"/>
      <c r="S171"/>
      <c r="T171"/>
      <c r="U171"/>
      <c r="V171"/>
      <c r="W171"/>
    </row>
    <row r="172" spans="5:23">
      <c r="E172"/>
      <c r="F172"/>
      <c r="G172"/>
      <c r="H172"/>
      <c r="I172"/>
      <c r="J172"/>
      <c r="K172"/>
      <c r="L172"/>
      <c r="M172"/>
      <c r="N172"/>
      <c r="O172"/>
      <c r="P172"/>
      <c r="Q172"/>
      <c r="R172"/>
      <c r="S172"/>
      <c r="T172"/>
      <c r="U172"/>
      <c r="V172"/>
      <c r="W172"/>
    </row>
    <row r="173" spans="5:23">
      <c r="E173"/>
      <c r="F173"/>
      <c r="G173"/>
      <c r="H173"/>
      <c r="I173"/>
      <c r="J173"/>
      <c r="K173"/>
      <c r="L173"/>
      <c r="M173"/>
      <c r="N173"/>
      <c r="O173"/>
      <c r="P173"/>
      <c r="Q173"/>
      <c r="R173"/>
      <c r="S173"/>
      <c r="T173"/>
      <c r="U173"/>
      <c r="V173"/>
      <c r="W173"/>
    </row>
    <row r="174" spans="5:23">
      <c r="E174"/>
      <c r="F174"/>
      <c r="G174"/>
      <c r="H174"/>
      <c r="I174"/>
      <c r="J174"/>
      <c r="K174"/>
      <c r="L174"/>
      <c r="M174"/>
      <c r="N174"/>
      <c r="O174"/>
      <c r="P174"/>
      <c r="Q174"/>
      <c r="R174"/>
      <c r="S174"/>
      <c r="T174"/>
      <c r="U174"/>
      <c r="V174"/>
      <c r="W174"/>
    </row>
    <row r="175" spans="5:23">
      <c r="E175"/>
      <c r="F175"/>
      <c r="G175"/>
      <c r="H175"/>
      <c r="I175"/>
      <c r="J175"/>
      <c r="K175"/>
      <c r="L175"/>
      <c r="M175"/>
      <c r="N175"/>
      <c r="O175"/>
      <c r="P175"/>
      <c r="Q175"/>
      <c r="R175"/>
      <c r="S175"/>
      <c r="T175"/>
      <c r="U175"/>
      <c r="V175"/>
      <c r="W175"/>
    </row>
    <row r="176" spans="5:23">
      <c r="E176"/>
      <c r="F176"/>
      <c r="G176"/>
      <c r="H176"/>
      <c r="I176"/>
      <c r="J176"/>
      <c r="K176"/>
      <c r="L176"/>
      <c r="M176"/>
      <c r="N176"/>
      <c r="O176"/>
      <c r="P176"/>
      <c r="Q176"/>
      <c r="R176"/>
      <c r="S176"/>
      <c r="T176"/>
      <c r="U176"/>
      <c r="V176"/>
      <c r="W176"/>
    </row>
    <row r="177" spans="5:23">
      <c r="E177"/>
      <c r="F177"/>
      <c r="G177"/>
      <c r="H177"/>
      <c r="I177"/>
      <c r="J177"/>
      <c r="K177"/>
      <c r="L177"/>
      <c r="M177"/>
      <c r="N177"/>
      <c r="O177"/>
      <c r="P177"/>
      <c r="Q177"/>
      <c r="R177"/>
      <c r="S177"/>
      <c r="T177"/>
      <c r="U177"/>
      <c r="V177"/>
      <c r="W177"/>
    </row>
    <row r="178" spans="5:23">
      <c r="E178"/>
      <c r="F178"/>
      <c r="G178"/>
      <c r="H178"/>
      <c r="I178"/>
      <c r="J178"/>
      <c r="K178"/>
      <c r="L178"/>
      <c r="M178"/>
      <c r="N178"/>
      <c r="O178"/>
      <c r="P178"/>
      <c r="Q178"/>
      <c r="R178"/>
      <c r="S178"/>
      <c r="T178"/>
      <c r="U178"/>
      <c r="V178"/>
      <c r="W178"/>
    </row>
    <row r="179" spans="5:23">
      <c r="E179"/>
      <c r="F179"/>
      <c r="G179"/>
      <c r="H179"/>
      <c r="I179"/>
      <c r="J179"/>
      <c r="K179"/>
      <c r="L179"/>
      <c r="M179"/>
      <c r="N179"/>
      <c r="O179"/>
      <c r="P179"/>
      <c r="Q179"/>
      <c r="R179"/>
      <c r="S179"/>
      <c r="T179"/>
      <c r="U179"/>
      <c r="V179"/>
      <c r="W179"/>
    </row>
    <row r="180" spans="5:23">
      <c r="E180"/>
      <c r="F180"/>
      <c r="G180"/>
      <c r="H180"/>
      <c r="I180"/>
      <c r="J180"/>
      <c r="K180"/>
      <c r="L180"/>
      <c r="M180"/>
      <c r="N180"/>
      <c r="O180"/>
      <c r="P180"/>
      <c r="Q180"/>
      <c r="R180"/>
      <c r="S180"/>
      <c r="T180"/>
      <c r="U180"/>
      <c r="V180"/>
      <c r="W180"/>
    </row>
    <row r="181" spans="5:23">
      <c r="E181"/>
      <c r="F181"/>
      <c r="G181"/>
      <c r="H181"/>
      <c r="I181"/>
      <c r="J181"/>
      <c r="K181"/>
      <c r="L181"/>
      <c r="M181"/>
      <c r="N181"/>
      <c r="O181"/>
      <c r="P181"/>
      <c r="Q181"/>
      <c r="R181"/>
      <c r="S181"/>
      <c r="T181"/>
      <c r="U181"/>
      <c r="V181"/>
      <c r="W181"/>
    </row>
    <row r="182" spans="5:23">
      <c r="E182"/>
      <c r="F182"/>
      <c r="G182"/>
      <c r="H182"/>
      <c r="I182"/>
      <c r="J182"/>
      <c r="K182"/>
      <c r="L182"/>
      <c r="M182"/>
      <c r="N182"/>
      <c r="O182"/>
      <c r="P182"/>
      <c r="Q182"/>
      <c r="R182"/>
      <c r="S182"/>
      <c r="T182"/>
      <c r="U182"/>
      <c r="V182"/>
      <c r="W182"/>
    </row>
    <row r="183" spans="5:23">
      <c r="E183"/>
      <c r="F183"/>
      <c r="G183"/>
      <c r="H183"/>
      <c r="I183"/>
      <c r="J183"/>
      <c r="K183"/>
      <c r="L183"/>
      <c r="M183"/>
      <c r="N183"/>
      <c r="O183"/>
      <c r="P183"/>
      <c r="Q183"/>
      <c r="R183"/>
      <c r="S183"/>
      <c r="T183"/>
      <c r="U183"/>
      <c r="V183"/>
      <c r="W183"/>
    </row>
    <row r="184" spans="5:23">
      <c r="E184"/>
      <c r="F184"/>
      <c r="G184"/>
      <c r="H184"/>
      <c r="I184"/>
      <c r="J184"/>
      <c r="K184"/>
      <c r="L184"/>
      <c r="M184"/>
      <c r="N184"/>
      <c r="O184"/>
      <c r="P184"/>
      <c r="Q184"/>
      <c r="R184"/>
      <c r="S184"/>
      <c r="T184"/>
      <c r="U184"/>
      <c r="V184"/>
      <c r="W184"/>
    </row>
    <row r="185" spans="5:23">
      <c r="E185"/>
      <c r="F185"/>
      <c r="G185"/>
      <c r="H185"/>
      <c r="I185"/>
      <c r="J185"/>
      <c r="K185"/>
      <c r="L185"/>
      <c r="M185"/>
      <c r="N185"/>
      <c r="O185"/>
      <c r="P185"/>
      <c r="Q185"/>
      <c r="R185"/>
      <c r="S185"/>
      <c r="T185"/>
      <c r="U185"/>
      <c r="V185"/>
      <c r="W185"/>
    </row>
    <row r="186" spans="5:23">
      <c r="E186"/>
      <c r="F186"/>
      <c r="G186"/>
      <c r="H186"/>
      <c r="I186"/>
      <c r="J186"/>
      <c r="K186"/>
      <c r="L186"/>
      <c r="M186"/>
      <c r="N186"/>
      <c r="O186"/>
      <c r="P186"/>
      <c r="Q186"/>
      <c r="R186"/>
      <c r="S186"/>
      <c r="T186"/>
      <c r="U186"/>
      <c r="V186"/>
      <c r="W186"/>
    </row>
    <row r="187" spans="5:23">
      <c r="E187"/>
      <c r="F187"/>
      <c r="G187"/>
      <c r="H187"/>
      <c r="I187"/>
      <c r="J187"/>
      <c r="K187"/>
      <c r="L187"/>
      <c r="M187"/>
      <c r="N187"/>
      <c r="O187"/>
      <c r="P187"/>
      <c r="Q187"/>
      <c r="R187"/>
      <c r="S187"/>
      <c r="T187"/>
      <c r="U187"/>
      <c r="V187"/>
      <c r="W187"/>
    </row>
    <row r="188" spans="5:23">
      <c r="E188"/>
      <c r="F188"/>
      <c r="G188"/>
      <c r="H188"/>
      <c r="I188"/>
      <c r="J188"/>
      <c r="K188"/>
      <c r="L188"/>
      <c r="M188"/>
      <c r="N188"/>
      <c r="O188"/>
      <c r="P188"/>
      <c r="Q188"/>
      <c r="R188"/>
      <c r="S188"/>
      <c r="T188"/>
      <c r="U188"/>
      <c r="V188"/>
      <c r="W188"/>
    </row>
    <row r="189" spans="5:23">
      <c r="E189"/>
      <c r="F189"/>
      <c r="G189"/>
      <c r="H189"/>
      <c r="I189"/>
      <c r="J189"/>
      <c r="K189"/>
      <c r="L189"/>
      <c r="M189"/>
      <c r="N189"/>
      <c r="O189"/>
      <c r="P189"/>
      <c r="Q189"/>
      <c r="R189"/>
      <c r="S189"/>
      <c r="T189"/>
      <c r="U189"/>
      <c r="V189"/>
      <c r="W189"/>
    </row>
    <row r="190" spans="5:23">
      <c r="E190"/>
      <c r="F190"/>
      <c r="G190"/>
      <c r="H190"/>
      <c r="I190"/>
      <c r="J190"/>
      <c r="K190"/>
      <c r="L190"/>
      <c r="M190"/>
      <c r="N190"/>
      <c r="O190"/>
      <c r="P190"/>
      <c r="Q190"/>
      <c r="R190"/>
      <c r="S190"/>
      <c r="T190"/>
      <c r="U190"/>
      <c r="V190"/>
      <c r="W190"/>
    </row>
    <row r="191" spans="5:23">
      <c r="E191"/>
      <c r="F191"/>
      <c r="G191"/>
      <c r="H191"/>
      <c r="I191"/>
      <c r="J191"/>
      <c r="K191"/>
      <c r="L191"/>
      <c r="M191"/>
      <c r="N191"/>
      <c r="O191"/>
      <c r="P191"/>
      <c r="Q191"/>
      <c r="R191"/>
      <c r="S191"/>
      <c r="T191"/>
      <c r="U191"/>
      <c r="V191"/>
      <c r="W191"/>
    </row>
    <row r="192" spans="5:23">
      <c r="E192"/>
      <c r="F192"/>
      <c r="G192"/>
      <c r="H192"/>
      <c r="I192"/>
      <c r="J192"/>
      <c r="K192"/>
      <c r="L192"/>
      <c r="M192"/>
      <c r="N192"/>
      <c r="O192"/>
      <c r="P192"/>
      <c r="Q192"/>
      <c r="R192"/>
      <c r="S192"/>
      <c r="T192"/>
      <c r="U192"/>
      <c r="V192"/>
      <c r="W192"/>
    </row>
    <row r="193" spans="5:23">
      <c r="E193"/>
      <c r="F193"/>
      <c r="G193"/>
      <c r="H193"/>
      <c r="I193"/>
      <c r="J193"/>
      <c r="K193"/>
      <c r="L193"/>
      <c r="M193"/>
      <c r="N193"/>
      <c r="O193"/>
      <c r="P193"/>
      <c r="Q193"/>
      <c r="R193"/>
      <c r="S193"/>
      <c r="T193"/>
      <c r="U193"/>
      <c r="V193"/>
      <c r="W193"/>
    </row>
    <row r="194" spans="5:23">
      <c r="E194"/>
      <c r="F194"/>
      <c r="G194"/>
      <c r="H194"/>
      <c r="I194"/>
      <c r="J194"/>
      <c r="K194"/>
      <c r="L194"/>
      <c r="M194"/>
      <c r="N194"/>
      <c r="O194"/>
      <c r="P194"/>
      <c r="Q194"/>
      <c r="R194"/>
      <c r="S194"/>
      <c r="T194"/>
      <c r="U194"/>
      <c r="V194"/>
      <c r="W194"/>
    </row>
    <row r="195" spans="5:23">
      <c r="E195"/>
      <c r="F195"/>
      <c r="G195"/>
      <c r="H195"/>
      <c r="I195"/>
      <c r="J195"/>
      <c r="K195"/>
      <c r="L195"/>
      <c r="M195"/>
      <c r="N195"/>
      <c r="O195"/>
      <c r="P195"/>
      <c r="Q195"/>
      <c r="R195"/>
      <c r="S195"/>
      <c r="T195"/>
      <c r="U195"/>
      <c r="V195"/>
      <c r="W195"/>
    </row>
    <row r="196" spans="5:23">
      <c r="E196"/>
      <c r="F196"/>
      <c r="G196"/>
      <c r="H196"/>
      <c r="I196"/>
      <c r="J196"/>
      <c r="K196"/>
      <c r="L196"/>
      <c r="M196"/>
      <c r="N196"/>
      <c r="O196"/>
      <c r="P196"/>
      <c r="Q196"/>
      <c r="R196"/>
      <c r="S196"/>
      <c r="T196"/>
      <c r="U196"/>
      <c r="V196"/>
      <c r="W196"/>
    </row>
    <row r="197" spans="5:23">
      <c r="E197"/>
      <c r="F197"/>
      <c r="G197"/>
      <c r="H197"/>
      <c r="I197"/>
      <c r="J197"/>
      <c r="K197"/>
      <c r="L197"/>
      <c r="M197"/>
      <c r="N197"/>
      <c r="O197"/>
      <c r="P197"/>
      <c r="Q197"/>
      <c r="R197"/>
      <c r="S197"/>
      <c r="T197"/>
      <c r="U197"/>
      <c r="V197"/>
      <c r="W197"/>
    </row>
    <row r="198" spans="5:23">
      <c r="E198"/>
      <c r="F198"/>
      <c r="G198"/>
      <c r="H198"/>
      <c r="I198"/>
      <c r="J198"/>
      <c r="K198"/>
      <c r="L198"/>
      <c r="M198"/>
      <c r="N198"/>
      <c r="O198"/>
      <c r="P198"/>
      <c r="Q198"/>
      <c r="R198"/>
      <c r="S198"/>
      <c r="T198"/>
      <c r="U198"/>
      <c r="V198"/>
      <c r="W198"/>
    </row>
    <row r="199" spans="5:23">
      <c r="E199"/>
      <c r="F199"/>
      <c r="G199"/>
      <c r="H199"/>
      <c r="I199"/>
      <c r="J199"/>
      <c r="K199"/>
      <c r="L199"/>
      <c r="M199"/>
      <c r="N199"/>
      <c r="O199"/>
      <c r="P199"/>
      <c r="Q199"/>
      <c r="R199"/>
      <c r="S199"/>
      <c r="T199"/>
      <c r="U199"/>
      <c r="V199"/>
      <c r="W199"/>
    </row>
    <row r="200" spans="5:23">
      <c r="E200"/>
      <c r="F200"/>
      <c r="G200"/>
      <c r="H200"/>
      <c r="I200"/>
      <c r="J200"/>
      <c r="K200"/>
      <c r="L200"/>
      <c r="M200"/>
      <c r="N200"/>
      <c r="O200"/>
      <c r="P200"/>
      <c r="Q200"/>
      <c r="R200"/>
      <c r="S200"/>
      <c r="T200"/>
      <c r="U200"/>
      <c r="V200"/>
      <c r="W200"/>
    </row>
    <row r="201" spans="5:23">
      <c r="E201"/>
      <c r="F201"/>
      <c r="G201"/>
      <c r="H201"/>
      <c r="I201"/>
      <c r="J201"/>
      <c r="K201"/>
      <c r="L201"/>
      <c r="M201"/>
      <c r="N201"/>
      <c r="O201"/>
      <c r="P201"/>
      <c r="Q201"/>
      <c r="R201"/>
      <c r="S201"/>
      <c r="T201"/>
      <c r="U201"/>
      <c r="V201"/>
      <c r="W201"/>
    </row>
    <row r="202" spans="5:23">
      <c r="E202"/>
      <c r="F202"/>
      <c r="G202"/>
      <c r="H202"/>
      <c r="I202"/>
      <c r="J202"/>
      <c r="K202"/>
      <c r="L202"/>
      <c r="M202"/>
      <c r="N202"/>
      <c r="O202"/>
      <c r="P202"/>
      <c r="Q202"/>
      <c r="R202"/>
      <c r="S202"/>
      <c r="T202"/>
      <c r="U202"/>
      <c r="V202"/>
      <c r="W202"/>
    </row>
    <row r="203" spans="5:23">
      <c r="E203"/>
      <c r="F203"/>
      <c r="G203"/>
      <c r="H203"/>
      <c r="I203"/>
      <c r="J203"/>
      <c r="K203"/>
      <c r="L203"/>
      <c r="M203"/>
      <c r="N203"/>
      <c r="O203"/>
      <c r="P203"/>
      <c r="Q203"/>
      <c r="R203"/>
      <c r="S203"/>
      <c r="T203"/>
      <c r="U203"/>
      <c r="V203"/>
      <c r="W203"/>
    </row>
    <row r="204" spans="5:23">
      <c r="E204"/>
      <c r="F204"/>
      <c r="G204"/>
      <c r="H204"/>
      <c r="I204"/>
      <c r="J204"/>
      <c r="K204"/>
      <c r="L204"/>
      <c r="M204"/>
      <c r="N204"/>
      <c r="O204"/>
      <c r="P204"/>
      <c r="Q204"/>
      <c r="R204"/>
      <c r="S204"/>
      <c r="T204"/>
      <c r="U204"/>
      <c r="V204"/>
      <c r="W204"/>
    </row>
    <row r="205" spans="5:23">
      <c r="E205"/>
      <c r="F205"/>
      <c r="G205"/>
      <c r="H205"/>
      <c r="I205"/>
      <c r="J205"/>
      <c r="K205"/>
      <c r="L205"/>
      <c r="M205"/>
      <c r="N205"/>
      <c r="O205"/>
      <c r="P205"/>
      <c r="Q205"/>
      <c r="R205"/>
      <c r="S205"/>
      <c r="T205"/>
      <c r="U205"/>
      <c r="V205"/>
      <c r="W205"/>
    </row>
    <row r="206" spans="5:23">
      <c r="E206"/>
      <c r="F206"/>
      <c r="G206"/>
      <c r="H206"/>
      <c r="I206"/>
      <c r="J206"/>
      <c r="K206"/>
      <c r="L206"/>
      <c r="M206"/>
      <c r="N206"/>
      <c r="O206"/>
      <c r="P206"/>
      <c r="Q206"/>
      <c r="R206"/>
      <c r="S206"/>
      <c r="T206"/>
      <c r="U206"/>
      <c r="V206"/>
      <c r="W206"/>
    </row>
    <row r="207" spans="5:23">
      <c r="E207"/>
      <c r="F207"/>
      <c r="G207"/>
      <c r="H207"/>
      <c r="I207"/>
      <c r="J207"/>
      <c r="K207"/>
      <c r="L207"/>
      <c r="M207"/>
      <c r="N207"/>
      <c r="O207"/>
      <c r="P207"/>
      <c r="Q207"/>
      <c r="R207"/>
      <c r="S207"/>
      <c r="T207"/>
      <c r="U207"/>
      <c r="V207"/>
      <c r="W207"/>
    </row>
    <row r="208" spans="5:23">
      <c r="E208"/>
      <c r="F208"/>
      <c r="G208"/>
      <c r="H208"/>
      <c r="I208"/>
      <c r="J208"/>
      <c r="K208"/>
      <c r="L208"/>
      <c r="M208"/>
      <c r="N208"/>
      <c r="O208"/>
      <c r="P208"/>
      <c r="Q208"/>
      <c r="R208"/>
      <c r="S208"/>
      <c r="T208"/>
      <c r="U208"/>
      <c r="V208"/>
      <c r="W208"/>
    </row>
    <row r="209" spans="5:23">
      <c r="E209"/>
      <c r="F209"/>
      <c r="G209"/>
      <c r="H209"/>
      <c r="I209"/>
      <c r="J209"/>
      <c r="K209"/>
      <c r="L209"/>
      <c r="M209"/>
      <c r="N209"/>
      <c r="O209"/>
      <c r="P209"/>
      <c r="Q209"/>
      <c r="R209"/>
      <c r="S209"/>
      <c r="T209"/>
      <c r="U209"/>
      <c r="V209"/>
      <c r="W209"/>
    </row>
    <row r="210" spans="5:23">
      <c r="E210"/>
      <c r="F210"/>
      <c r="G210"/>
      <c r="H210"/>
      <c r="I210"/>
      <c r="J210"/>
      <c r="K210"/>
      <c r="L210"/>
      <c r="M210"/>
      <c r="N210"/>
      <c r="O210"/>
      <c r="P210"/>
      <c r="Q210"/>
      <c r="R210"/>
      <c r="S210"/>
      <c r="T210"/>
      <c r="U210"/>
      <c r="V210"/>
      <c r="W210"/>
    </row>
    <row r="211" spans="5:23">
      <c r="E211"/>
      <c r="F211"/>
      <c r="G211"/>
      <c r="H211"/>
      <c r="I211"/>
      <c r="J211"/>
      <c r="K211"/>
      <c r="L211"/>
      <c r="M211"/>
      <c r="N211"/>
      <c r="O211"/>
      <c r="P211"/>
      <c r="Q211"/>
      <c r="R211"/>
      <c r="S211"/>
      <c r="T211"/>
      <c r="U211"/>
      <c r="V211"/>
      <c r="W211"/>
    </row>
    <row r="212" spans="5:23">
      <c r="E212"/>
      <c r="F212"/>
      <c r="G212"/>
      <c r="H212"/>
      <c r="I212"/>
      <c r="J212"/>
      <c r="K212"/>
      <c r="L212"/>
      <c r="M212"/>
      <c r="N212"/>
      <c r="O212"/>
      <c r="P212"/>
      <c r="Q212"/>
      <c r="R212"/>
      <c r="S212"/>
      <c r="T212"/>
      <c r="U212"/>
      <c r="V212"/>
      <c r="W212"/>
    </row>
    <row r="213" spans="5:23">
      <c r="E213"/>
      <c r="F213"/>
      <c r="G213"/>
      <c r="H213"/>
      <c r="I213"/>
      <c r="J213"/>
      <c r="K213"/>
      <c r="L213"/>
      <c r="M213"/>
      <c r="N213"/>
      <c r="O213"/>
      <c r="P213"/>
      <c r="Q213"/>
      <c r="R213"/>
      <c r="S213"/>
      <c r="T213"/>
      <c r="U213"/>
      <c r="V213"/>
      <c r="W213"/>
    </row>
    <row r="214" spans="5:23">
      <c r="E214"/>
      <c r="F214"/>
      <c r="G214"/>
      <c r="H214"/>
      <c r="I214"/>
      <c r="J214"/>
      <c r="K214"/>
      <c r="L214"/>
      <c r="M214"/>
      <c r="N214"/>
      <c r="O214"/>
      <c r="P214"/>
      <c r="Q214"/>
      <c r="R214"/>
      <c r="S214"/>
      <c r="T214"/>
      <c r="U214"/>
      <c r="V214"/>
      <c r="W214"/>
    </row>
    <row r="215" spans="5:23">
      <c r="E215"/>
      <c r="F215"/>
      <c r="G215"/>
      <c r="H215"/>
      <c r="I215"/>
      <c r="J215"/>
      <c r="K215"/>
      <c r="L215"/>
      <c r="M215"/>
      <c r="N215"/>
      <c r="O215"/>
      <c r="P215"/>
      <c r="Q215"/>
      <c r="R215"/>
      <c r="S215"/>
      <c r="T215"/>
      <c r="U215"/>
      <c r="V215"/>
      <c r="W215"/>
    </row>
    <row r="216" spans="5:23">
      <c r="E216"/>
      <c r="F216"/>
      <c r="G216"/>
      <c r="H216"/>
      <c r="I216"/>
      <c r="J216"/>
      <c r="K216"/>
      <c r="L216"/>
      <c r="M216"/>
      <c r="N216"/>
      <c r="O216"/>
      <c r="P216"/>
      <c r="Q216"/>
      <c r="R216"/>
      <c r="S216"/>
      <c r="T216"/>
      <c r="U216"/>
      <c r="V216"/>
      <c r="W216"/>
    </row>
    <row r="217" spans="5:23">
      <c r="E217"/>
      <c r="F217"/>
      <c r="G217"/>
      <c r="H217"/>
      <c r="I217"/>
      <c r="J217"/>
      <c r="K217"/>
      <c r="L217"/>
      <c r="M217"/>
      <c r="N217"/>
      <c r="O217"/>
      <c r="P217"/>
      <c r="Q217"/>
      <c r="R217"/>
      <c r="S217"/>
      <c r="T217"/>
      <c r="U217"/>
      <c r="V217"/>
      <c r="W217"/>
    </row>
    <row r="218" spans="5:23">
      <c r="E218"/>
      <c r="F218"/>
      <c r="G218"/>
      <c r="H218"/>
      <c r="I218"/>
      <c r="J218"/>
      <c r="K218"/>
      <c r="L218"/>
      <c r="M218"/>
      <c r="N218"/>
      <c r="O218"/>
      <c r="P218"/>
      <c r="Q218"/>
      <c r="R218"/>
      <c r="S218"/>
      <c r="T218"/>
      <c r="U218"/>
      <c r="V218"/>
      <c r="W218"/>
    </row>
    <row r="219" spans="5:23">
      <c r="E219"/>
      <c r="F219"/>
      <c r="G219"/>
      <c r="H219"/>
      <c r="I219"/>
      <c r="J219"/>
      <c r="K219"/>
      <c r="L219"/>
      <c r="M219"/>
      <c r="N219"/>
      <c r="O219"/>
      <c r="P219"/>
      <c r="Q219"/>
      <c r="R219"/>
      <c r="S219"/>
      <c r="T219"/>
      <c r="U219"/>
      <c r="V219"/>
      <c r="W219"/>
    </row>
    <row r="220" spans="5:23">
      <c r="E220"/>
      <c r="F220"/>
      <c r="G220"/>
      <c r="H220"/>
      <c r="I220"/>
      <c r="J220"/>
      <c r="K220"/>
      <c r="L220"/>
      <c r="M220"/>
      <c r="N220"/>
      <c r="O220"/>
      <c r="P220"/>
      <c r="Q220"/>
      <c r="R220"/>
      <c r="S220"/>
      <c r="T220"/>
      <c r="U220"/>
      <c r="V220"/>
      <c r="W220"/>
    </row>
    <row r="221" spans="5:23">
      <c r="E221"/>
      <c r="F221"/>
      <c r="G221"/>
      <c r="H221"/>
      <c r="I221"/>
      <c r="J221"/>
      <c r="K221"/>
      <c r="L221"/>
      <c r="M221"/>
      <c r="N221"/>
      <c r="O221"/>
      <c r="P221"/>
      <c r="Q221"/>
      <c r="R221"/>
      <c r="S221"/>
      <c r="T221"/>
      <c r="U221"/>
      <c r="V221"/>
      <c r="W221"/>
    </row>
    <row r="222" spans="5:23">
      <c r="E222"/>
      <c r="F222"/>
      <c r="G222"/>
      <c r="H222"/>
      <c r="I222"/>
      <c r="J222"/>
      <c r="K222"/>
      <c r="L222"/>
      <c r="M222"/>
      <c r="N222"/>
      <c r="O222"/>
      <c r="P222"/>
      <c r="Q222"/>
      <c r="R222"/>
      <c r="S222"/>
      <c r="T222"/>
      <c r="U222"/>
      <c r="V222"/>
      <c r="W222"/>
    </row>
    <row r="223" spans="5:23">
      <c r="E223"/>
      <c r="F223"/>
      <c r="G223"/>
      <c r="H223"/>
      <c r="I223"/>
      <c r="J223"/>
      <c r="K223"/>
      <c r="L223"/>
      <c r="M223"/>
      <c r="N223"/>
      <c r="O223"/>
      <c r="P223"/>
      <c r="Q223"/>
      <c r="R223"/>
      <c r="S223"/>
      <c r="T223"/>
      <c r="U223"/>
      <c r="V223"/>
      <c r="W223"/>
    </row>
    <row r="224" spans="5:23">
      <c r="E224"/>
      <c r="F224"/>
      <c r="G224"/>
      <c r="H224"/>
      <c r="I224"/>
      <c r="J224"/>
      <c r="K224"/>
      <c r="L224"/>
      <c r="M224"/>
      <c r="N224"/>
      <c r="O224"/>
      <c r="P224"/>
      <c r="Q224"/>
      <c r="R224"/>
      <c r="S224"/>
      <c r="T224"/>
      <c r="U224"/>
      <c r="V224"/>
      <c r="W224"/>
    </row>
    <row r="225" spans="5:23">
      <c r="E225"/>
      <c r="F225"/>
      <c r="G225"/>
      <c r="H225"/>
      <c r="I225"/>
      <c r="J225"/>
      <c r="K225"/>
      <c r="L225"/>
      <c r="M225"/>
      <c r="N225"/>
      <c r="O225"/>
      <c r="P225"/>
      <c r="Q225"/>
      <c r="R225"/>
      <c r="S225"/>
      <c r="T225"/>
      <c r="U225"/>
      <c r="V225"/>
      <c r="W225"/>
    </row>
    <row r="226" spans="5:23">
      <c r="E226"/>
      <c r="F226"/>
      <c r="G226"/>
      <c r="H226"/>
      <c r="I226"/>
      <c r="J226"/>
      <c r="K226"/>
      <c r="L226"/>
      <c r="M226"/>
      <c r="N226"/>
      <c r="O226"/>
      <c r="P226"/>
      <c r="Q226"/>
      <c r="R226"/>
      <c r="S226"/>
      <c r="T226"/>
      <c r="U226"/>
      <c r="V226"/>
      <c r="W226"/>
    </row>
    <row r="227" spans="5:23">
      <c r="E227"/>
      <c r="F227"/>
      <c r="G227"/>
      <c r="H227"/>
      <c r="I227"/>
      <c r="J227"/>
      <c r="K227"/>
      <c r="L227"/>
      <c r="M227"/>
      <c r="N227"/>
      <c r="O227"/>
      <c r="P227"/>
      <c r="Q227"/>
      <c r="R227"/>
      <c r="S227"/>
      <c r="T227"/>
      <c r="U227"/>
      <c r="V227"/>
      <c r="W227"/>
    </row>
    <row r="228" spans="5:23">
      <c r="E228"/>
      <c r="F228"/>
      <c r="G228"/>
      <c r="H228"/>
      <c r="I228"/>
      <c r="J228"/>
      <c r="K228"/>
      <c r="L228"/>
      <c r="M228"/>
      <c r="N228"/>
      <c r="O228"/>
      <c r="P228"/>
      <c r="Q228"/>
      <c r="R228"/>
      <c r="S228"/>
      <c r="T228"/>
      <c r="U228"/>
      <c r="V228"/>
      <c r="W228"/>
    </row>
    <row r="229" spans="5:23">
      <c r="E229"/>
      <c r="F229"/>
      <c r="G229"/>
      <c r="H229"/>
      <c r="I229"/>
      <c r="J229"/>
      <c r="K229"/>
      <c r="L229"/>
      <c r="M229"/>
      <c r="N229"/>
      <c r="O229"/>
      <c r="P229"/>
      <c r="Q229"/>
      <c r="R229"/>
      <c r="S229"/>
      <c r="T229"/>
      <c r="U229"/>
      <c r="V229"/>
      <c r="W229"/>
    </row>
    <row r="230" spans="5:23">
      <c r="E230"/>
      <c r="F230"/>
      <c r="G230"/>
      <c r="H230"/>
      <c r="I230"/>
      <c r="J230"/>
      <c r="K230"/>
      <c r="L230"/>
      <c r="M230"/>
      <c r="N230"/>
      <c r="O230"/>
      <c r="P230"/>
      <c r="Q230"/>
      <c r="R230"/>
      <c r="S230"/>
      <c r="T230"/>
      <c r="U230"/>
      <c r="V230"/>
      <c r="W230"/>
    </row>
    <row r="231" spans="5:23">
      <c r="E231"/>
      <c r="F231"/>
      <c r="G231"/>
      <c r="H231"/>
      <c r="I231"/>
      <c r="J231"/>
      <c r="K231"/>
      <c r="L231"/>
      <c r="M231"/>
      <c r="N231"/>
      <c r="O231"/>
      <c r="P231"/>
      <c r="Q231"/>
      <c r="R231"/>
      <c r="S231"/>
      <c r="T231"/>
      <c r="U231"/>
      <c r="V231"/>
      <c r="W231"/>
    </row>
    <row r="232" spans="5:23">
      <c r="E232"/>
      <c r="F232"/>
      <c r="G232"/>
      <c r="H232"/>
      <c r="I232"/>
      <c r="J232"/>
      <c r="K232"/>
      <c r="L232"/>
      <c r="M232"/>
      <c r="N232"/>
      <c r="O232"/>
      <c r="P232"/>
      <c r="Q232"/>
      <c r="R232"/>
      <c r="S232"/>
      <c r="T232"/>
      <c r="U232"/>
      <c r="V232"/>
      <c r="W232"/>
    </row>
    <row r="233" spans="5:23">
      <c r="E233"/>
      <c r="F233"/>
      <c r="G233"/>
      <c r="H233"/>
      <c r="I233"/>
      <c r="J233"/>
      <c r="K233"/>
      <c r="L233"/>
      <c r="M233"/>
      <c r="N233"/>
      <c r="O233"/>
      <c r="P233"/>
      <c r="Q233"/>
      <c r="R233"/>
      <c r="S233"/>
      <c r="T233"/>
      <c r="U233"/>
      <c r="V233"/>
      <c r="W233"/>
    </row>
    <row r="234" spans="5:23">
      <c r="E234"/>
      <c r="F234"/>
      <c r="G234"/>
      <c r="H234"/>
      <c r="I234"/>
      <c r="J234"/>
      <c r="K234"/>
      <c r="L234"/>
      <c r="M234"/>
      <c r="N234"/>
      <c r="O234"/>
      <c r="P234"/>
      <c r="Q234"/>
      <c r="R234"/>
      <c r="S234"/>
      <c r="T234"/>
      <c r="U234"/>
      <c r="V234"/>
      <c r="W234"/>
    </row>
    <row r="235" spans="5:23">
      <c r="E235"/>
      <c r="F235"/>
      <c r="G235"/>
      <c r="H235"/>
      <c r="I235"/>
      <c r="J235"/>
      <c r="K235"/>
      <c r="L235"/>
      <c r="M235"/>
      <c r="N235"/>
      <c r="O235"/>
      <c r="P235"/>
      <c r="Q235"/>
      <c r="R235"/>
      <c r="S235"/>
      <c r="T235"/>
      <c r="U235"/>
      <c r="V235"/>
      <c r="W235"/>
    </row>
    <row r="236" spans="5:23">
      <c r="E236"/>
      <c r="F236"/>
      <c r="G236"/>
      <c r="H236"/>
      <c r="I236"/>
      <c r="J236"/>
      <c r="K236"/>
      <c r="L236"/>
      <c r="M236"/>
      <c r="N236"/>
      <c r="O236"/>
      <c r="P236"/>
      <c r="Q236"/>
      <c r="R236"/>
      <c r="S236"/>
      <c r="T236"/>
      <c r="U236"/>
      <c r="V236"/>
      <c r="W236"/>
    </row>
    <row r="237" spans="5:23">
      <c r="E237"/>
      <c r="F237"/>
      <c r="G237"/>
      <c r="H237"/>
      <c r="I237"/>
      <c r="J237"/>
      <c r="K237"/>
      <c r="L237"/>
      <c r="M237"/>
      <c r="N237"/>
      <c r="O237"/>
      <c r="P237"/>
      <c r="Q237"/>
      <c r="R237"/>
      <c r="S237"/>
      <c r="T237"/>
      <c r="U237"/>
      <c r="V237"/>
      <c r="W237"/>
    </row>
    <row r="238" spans="5:23">
      <c r="E238"/>
      <c r="F238"/>
      <c r="G238"/>
      <c r="H238"/>
      <c r="I238"/>
      <c r="J238"/>
      <c r="K238"/>
      <c r="L238"/>
      <c r="M238"/>
      <c r="N238"/>
      <c r="O238"/>
      <c r="P238"/>
      <c r="Q238"/>
      <c r="R238"/>
      <c r="S238"/>
      <c r="T238"/>
      <c r="U238"/>
      <c r="V238"/>
      <c r="W238"/>
    </row>
    <row r="239" spans="5:23">
      <c r="E239"/>
      <c r="F239"/>
      <c r="G239"/>
      <c r="H239"/>
      <c r="I239"/>
      <c r="J239"/>
      <c r="K239"/>
      <c r="L239"/>
      <c r="M239"/>
      <c r="N239"/>
      <c r="O239"/>
      <c r="P239"/>
      <c r="Q239"/>
      <c r="R239"/>
      <c r="S239"/>
      <c r="T239"/>
      <c r="U239"/>
      <c r="V239"/>
      <c r="W239"/>
    </row>
    <row r="240" spans="5:23">
      <c r="E240"/>
      <c r="F240"/>
      <c r="G240"/>
      <c r="H240"/>
      <c r="I240"/>
      <c r="J240"/>
      <c r="K240"/>
      <c r="L240"/>
      <c r="M240"/>
      <c r="N240"/>
      <c r="O240"/>
      <c r="P240"/>
      <c r="Q240"/>
      <c r="R240"/>
      <c r="S240"/>
      <c r="T240"/>
      <c r="U240"/>
      <c r="V240"/>
      <c r="W240"/>
    </row>
    <row r="241" spans="5:23">
      <c r="E241"/>
      <c r="F241"/>
      <c r="G241"/>
      <c r="H241"/>
      <c r="I241"/>
      <c r="J241"/>
      <c r="K241"/>
      <c r="L241"/>
      <c r="M241"/>
      <c r="N241"/>
      <c r="O241"/>
      <c r="P241"/>
      <c r="Q241"/>
      <c r="R241"/>
      <c r="S241"/>
      <c r="T241"/>
      <c r="U241"/>
      <c r="V241"/>
      <c r="W241"/>
    </row>
    <row r="242" spans="5:23">
      <c r="E242"/>
      <c r="F242"/>
      <c r="G242"/>
      <c r="H242"/>
      <c r="I242"/>
      <c r="J242"/>
      <c r="K242"/>
      <c r="L242"/>
      <c r="M242"/>
      <c r="N242"/>
      <c r="O242"/>
      <c r="P242"/>
      <c r="Q242"/>
      <c r="R242"/>
      <c r="S242"/>
      <c r="T242"/>
      <c r="U242"/>
      <c r="V242"/>
      <c r="W242"/>
    </row>
    <row r="243" spans="5:23">
      <c r="E243"/>
      <c r="F243"/>
      <c r="G243"/>
      <c r="H243"/>
      <c r="I243"/>
      <c r="J243"/>
      <c r="K243"/>
      <c r="L243"/>
      <c r="M243"/>
      <c r="N243"/>
      <c r="O243"/>
      <c r="P243"/>
      <c r="Q243"/>
      <c r="R243"/>
      <c r="S243"/>
      <c r="T243"/>
      <c r="U243"/>
      <c r="V243"/>
      <c r="W243"/>
    </row>
    <row r="244" spans="5:23">
      <c r="E244"/>
      <c r="F244"/>
      <c r="G244"/>
      <c r="H244"/>
      <c r="I244"/>
      <c r="J244"/>
      <c r="K244"/>
      <c r="L244"/>
      <c r="M244"/>
      <c r="N244"/>
      <c r="O244"/>
      <c r="P244"/>
      <c r="Q244"/>
      <c r="R244"/>
      <c r="S244"/>
      <c r="T244"/>
      <c r="U244"/>
      <c r="V244"/>
      <c r="W244"/>
    </row>
    <row r="245" spans="5:23">
      <c r="E245"/>
      <c r="F245"/>
      <c r="G245"/>
      <c r="H245"/>
      <c r="I245"/>
      <c r="J245"/>
      <c r="K245"/>
      <c r="L245"/>
      <c r="M245"/>
      <c r="N245"/>
      <c r="O245"/>
      <c r="P245"/>
      <c r="Q245"/>
      <c r="R245"/>
      <c r="S245"/>
      <c r="T245"/>
      <c r="U245"/>
      <c r="V245"/>
      <c r="W245"/>
    </row>
    <row r="246" spans="5:23">
      <c r="E246"/>
      <c r="F246"/>
      <c r="G246"/>
      <c r="H246"/>
      <c r="I246"/>
      <c r="J246"/>
      <c r="K246"/>
      <c r="L246"/>
      <c r="M246"/>
      <c r="N246"/>
      <c r="O246"/>
      <c r="P246"/>
      <c r="Q246"/>
      <c r="R246"/>
      <c r="S246"/>
      <c r="T246"/>
      <c r="U246"/>
      <c r="V246"/>
      <c r="W246"/>
    </row>
    <row r="247" spans="5:23">
      <c r="E247"/>
      <c r="F247"/>
      <c r="G247"/>
      <c r="H247"/>
      <c r="I247"/>
      <c r="J247"/>
      <c r="K247"/>
      <c r="L247"/>
      <c r="M247"/>
      <c r="N247"/>
      <c r="O247"/>
      <c r="P247"/>
      <c r="Q247"/>
      <c r="R247"/>
      <c r="S247"/>
      <c r="T247"/>
      <c r="U247"/>
      <c r="V247"/>
      <c r="W247"/>
    </row>
    <row r="248" spans="5:23">
      <c r="E248"/>
      <c r="F248"/>
      <c r="G248"/>
      <c r="H248"/>
      <c r="I248"/>
      <c r="J248"/>
      <c r="K248"/>
      <c r="L248"/>
      <c r="M248"/>
      <c r="N248"/>
      <c r="O248"/>
      <c r="P248"/>
      <c r="Q248"/>
      <c r="R248"/>
      <c r="S248"/>
      <c r="T248"/>
      <c r="U248"/>
      <c r="V248"/>
      <c r="W248"/>
    </row>
    <row r="249" spans="5:23">
      <c r="E249"/>
      <c r="F249"/>
      <c r="G249"/>
      <c r="H249"/>
      <c r="I249"/>
      <c r="J249"/>
      <c r="K249"/>
      <c r="L249"/>
      <c r="M249"/>
      <c r="N249"/>
      <c r="O249"/>
      <c r="P249"/>
      <c r="Q249"/>
      <c r="R249"/>
      <c r="S249"/>
      <c r="T249"/>
      <c r="U249"/>
      <c r="V249"/>
      <c r="W249"/>
    </row>
    <row r="250" spans="5:23">
      <c r="E250"/>
      <c r="F250"/>
      <c r="G250"/>
      <c r="H250"/>
      <c r="I250"/>
      <c r="J250"/>
      <c r="K250"/>
      <c r="L250"/>
      <c r="M250"/>
      <c r="N250"/>
      <c r="O250"/>
      <c r="P250"/>
      <c r="Q250"/>
      <c r="R250"/>
      <c r="S250"/>
      <c r="T250"/>
      <c r="U250"/>
      <c r="V250"/>
      <c r="W250"/>
    </row>
    <row r="251" spans="5:23">
      <c r="E251"/>
      <c r="F251"/>
      <c r="G251"/>
      <c r="H251"/>
      <c r="I251"/>
      <c r="J251"/>
      <c r="K251"/>
      <c r="L251"/>
      <c r="M251"/>
      <c r="N251"/>
      <c r="O251"/>
      <c r="P251"/>
      <c r="Q251"/>
      <c r="R251"/>
      <c r="S251"/>
      <c r="T251"/>
      <c r="U251"/>
      <c r="V251"/>
      <c r="W251"/>
    </row>
    <row r="252" spans="5:23">
      <c r="E252"/>
      <c r="F252"/>
      <c r="G252"/>
      <c r="H252"/>
      <c r="I252"/>
      <c r="J252"/>
      <c r="K252"/>
      <c r="L252"/>
      <c r="M252"/>
      <c r="N252"/>
      <c r="O252"/>
      <c r="P252"/>
      <c r="Q252"/>
      <c r="R252"/>
      <c r="S252"/>
      <c r="T252"/>
      <c r="U252"/>
      <c r="V252"/>
      <c r="W252"/>
    </row>
    <row r="253" spans="5:23">
      <c r="E253"/>
      <c r="F253"/>
      <c r="G253"/>
      <c r="H253"/>
      <c r="I253"/>
      <c r="J253"/>
      <c r="K253"/>
      <c r="L253"/>
      <c r="M253"/>
      <c r="N253"/>
      <c r="O253"/>
      <c r="P253"/>
      <c r="Q253"/>
      <c r="R253"/>
      <c r="S253"/>
      <c r="T253"/>
      <c r="U253"/>
      <c r="V253"/>
      <c r="W253"/>
    </row>
    <row r="254" spans="5:23">
      <c r="E254"/>
      <c r="F254"/>
      <c r="G254"/>
      <c r="H254"/>
      <c r="I254"/>
      <c r="J254"/>
      <c r="K254"/>
      <c r="L254"/>
      <c r="M254"/>
      <c r="N254"/>
      <c r="O254"/>
      <c r="P254"/>
      <c r="Q254"/>
      <c r="R254"/>
      <c r="S254"/>
      <c r="T254"/>
      <c r="U254"/>
      <c r="V254"/>
      <c r="W254"/>
    </row>
    <row r="255" spans="5:23">
      <c r="E255"/>
      <c r="F255"/>
      <c r="G255"/>
      <c r="H255"/>
      <c r="I255"/>
      <c r="J255"/>
      <c r="K255"/>
      <c r="L255"/>
      <c r="M255"/>
      <c r="N255"/>
      <c r="O255"/>
      <c r="P255"/>
      <c r="Q255"/>
      <c r="R255"/>
      <c r="S255"/>
      <c r="T255"/>
      <c r="U255"/>
      <c r="V255"/>
      <c r="W255"/>
    </row>
    <row r="256" spans="5:23">
      <c r="E256"/>
      <c r="F256"/>
      <c r="G256"/>
      <c r="H256"/>
      <c r="I256"/>
      <c r="J256"/>
      <c r="K256"/>
      <c r="L256"/>
      <c r="M256"/>
      <c r="N256"/>
      <c r="O256"/>
      <c r="P256"/>
      <c r="Q256"/>
      <c r="R256"/>
      <c r="S256"/>
      <c r="T256"/>
      <c r="U256"/>
      <c r="V256"/>
      <c r="W256"/>
    </row>
    <row r="257" spans="5:23">
      <c r="E257"/>
      <c r="F257"/>
      <c r="G257"/>
      <c r="H257"/>
      <c r="I257"/>
      <c r="J257"/>
      <c r="K257"/>
      <c r="L257"/>
      <c r="M257"/>
      <c r="N257"/>
      <c r="O257"/>
      <c r="P257"/>
      <c r="Q257"/>
      <c r="R257"/>
      <c r="S257"/>
      <c r="T257"/>
      <c r="U257"/>
      <c r="V257"/>
      <c r="W257"/>
    </row>
    <row r="258" spans="5:23">
      <c r="E258"/>
      <c r="F258"/>
      <c r="G258"/>
      <c r="H258"/>
      <c r="I258"/>
      <c r="J258"/>
      <c r="K258"/>
      <c r="L258"/>
      <c r="M258"/>
      <c r="N258"/>
      <c r="O258"/>
      <c r="P258"/>
      <c r="Q258"/>
      <c r="R258"/>
      <c r="S258"/>
      <c r="T258"/>
      <c r="U258"/>
      <c r="V258"/>
      <c r="W258"/>
    </row>
    <row r="259" spans="5:23">
      <c r="E259"/>
      <c r="F259"/>
      <c r="G259"/>
      <c r="H259"/>
      <c r="I259"/>
      <c r="J259"/>
      <c r="K259"/>
      <c r="L259"/>
      <c r="M259"/>
      <c r="N259"/>
      <c r="O259"/>
      <c r="P259"/>
      <c r="Q259"/>
      <c r="R259"/>
      <c r="S259"/>
      <c r="T259"/>
      <c r="U259"/>
      <c r="V259"/>
      <c r="W259"/>
    </row>
    <row r="260" spans="5:23">
      <c r="E260"/>
      <c r="F260"/>
      <c r="G260"/>
      <c r="H260"/>
      <c r="I260"/>
      <c r="J260"/>
      <c r="K260"/>
      <c r="L260"/>
      <c r="M260"/>
      <c r="N260"/>
      <c r="O260"/>
      <c r="P260"/>
      <c r="Q260"/>
      <c r="R260"/>
      <c r="S260"/>
      <c r="T260"/>
      <c r="U260"/>
      <c r="V260"/>
      <c r="W260"/>
    </row>
    <row r="261" spans="5:23">
      <c r="E261"/>
      <c r="F261"/>
      <c r="G261"/>
      <c r="H261"/>
      <c r="I261"/>
      <c r="J261"/>
      <c r="K261"/>
      <c r="L261"/>
      <c r="M261"/>
      <c r="N261"/>
      <c r="O261"/>
      <c r="P261"/>
      <c r="Q261"/>
      <c r="R261"/>
      <c r="S261"/>
      <c r="T261"/>
      <c r="U261"/>
      <c r="V261"/>
      <c r="W261"/>
    </row>
    <row r="262" spans="5:23">
      <c r="E262"/>
      <c r="F262"/>
      <c r="G262"/>
      <c r="H262"/>
      <c r="I262"/>
      <c r="J262"/>
      <c r="K262"/>
      <c r="L262"/>
      <c r="M262"/>
      <c r="N262"/>
      <c r="O262"/>
      <c r="P262"/>
      <c r="Q262"/>
      <c r="R262"/>
      <c r="S262"/>
      <c r="T262"/>
      <c r="U262"/>
      <c r="V262"/>
      <c r="W262"/>
    </row>
    <row r="263" spans="5:23">
      <c r="E263"/>
      <c r="F263"/>
      <c r="G263"/>
      <c r="H263"/>
      <c r="I263"/>
      <c r="J263"/>
      <c r="K263"/>
      <c r="L263"/>
      <c r="M263"/>
      <c r="N263"/>
      <c r="O263"/>
      <c r="P263"/>
      <c r="Q263"/>
      <c r="R263"/>
      <c r="S263"/>
      <c r="T263"/>
      <c r="U263"/>
      <c r="V263"/>
      <c r="W263"/>
    </row>
    <row r="264" spans="5:23">
      <c r="E264"/>
      <c r="F264"/>
      <c r="G264"/>
      <c r="H264"/>
      <c r="I264"/>
      <c r="J264"/>
      <c r="K264"/>
      <c r="L264"/>
      <c r="M264"/>
      <c r="N264"/>
      <c r="O264"/>
      <c r="P264"/>
      <c r="Q264"/>
      <c r="R264"/>
      <c r="S264"/>
      <c r="T264"/>
      <c r="U264"/>
      <c r="V264"/>
      <c r="W264"/>
    </row>
    <row r="265" spans="5:23">
      <c r="E265"/>
      <c r="F265"/>
      <c r="G265"/>
      <c r="H265"/>
      <c r="I265"/>
      <c r="J265"/>
      <c r="K265"/>
      <c r="L265"/>
      <c r="M265"/>
      <c r="N265"/>
      <c r="O265"/>
      <c r="P265"/>
      <c r="Q265"/>
      <c r="R265"/>
      <c r="S265"/>
      <c r="T265"/>
      <c r="U265"/>
      <c r="V265"/>
      <c r="W265"/>
    </row>
    <row r="266" spans="5:23">
      <c r="E266"/>
      <c r="F266"/>
      <c r="G266"/>
      <c r="H266"/>
      <c r="I266"/>
      <c r="J266"/>
      <c r="K266"/>
      <c r="L266"/>
      <c r="M266"/>
      <c r="N266"/>
      <c r="O266"/>
      <c r="P266"/>
      <c r="Q266"/>
      <c r="R266"/>
      <c r="S266"/>
      <c r="T266"/>
      <c r="U266"/>
      <c r="V266"/>
      <c r="W266"/>
    </row>
    <row r="267" spans="5:23">
      <c r="E267"/>
      <c r="F267"/>
      <c r="G267"/>
      <c r="H267"/>
      <c r="I267"/>
      <c r="J267"/>
      <c r="K267"/>
      <c r="L267"/>
      <c r="M267"/>
      <c r="N267"/>
      <c r="O267"/>
      <c r="P267"/>
      <c r="Q267"/>
      <c r="R267"/>
      <c r="S267"/>
      <c r="T267"/>
      <c r="U267"/>
      <c r="V267"/>
      <c r="W267"/>
    </row>
    <row r="268" spans="5:23">
      <c r="E268"/>
      <c r="F268"/>
      <c r="G268"/>
      <c r="H268"/>
      <c r="I268"/>
      <c r="J268"/>
      <c r="K268"/>
      <c r="L268"/>
      <c r="M268"/>
      <c r="N268"/>
      <c r="O268"/>
      <c r="P268"/>
      <c r="Q268"/>
      <c r="R268"/>
      <c r="S268"/>
      <c r="T268"/>
      <c r="U268"/>
      <c r="V268"/>
      <c r="W268"/>
    </row>
    <row r="269" spans="5:23">
      <c r="E269"/>
      <c r="F269"/>
      <c r="G269"/>
      <c r="H269"/>
      <c r="I269"/>
      <c r="J269"/>
      <c r="K269"/>
      <c r="L269"/>
      <c r="M269"/>
      <c r="N269"/>
      <c r="O269"/>
      <c r="P269"/>
      <c r="Q269"/>
      <c r="R269"/>
      <c r="S269"/>
      <c r="T269"/>
      <c r="U269"/>
      <c r="V269"/>
      <c r="W269"/>
    </row>
    <row r="270" spans="5:23">
      <c r="E270"/>
      <c r="F270"/>
      <c r="G270"/>
      <c r="H270"/>
      <c r="I270"/>
      <c r="J270"/>
      <c r="K270"/>
      <c r="L270"/>
      <c r="M270"/>
      <c r="N270"/>
      <c r="O270"/>
      <c r="P270"/>
      <c r="Q270"/>
      <c r="R270"/>
      <c r="S270"/>
      <c r="T270"/>
      <c r="U270"/>
      <c r="V270"/>
      <c r="W270"/>
    </row>
    <row r="271" spans="5:23">
      <c r="E271"/>
      <c r="F271"/>
      <c r="G271"/>
      <c r="H271"/>
      <c r="I271"/>
      <c r="J271"/>
      <c r="K271"/>
      <c r="L271"/>
      <c r="M271"/>
      <c r="N271"/>
      <c r="O271"/>
      <c r="P271"/>
      <c r="Q271"/>
      <c r="R271"/>
      <c r="S271"/>
      <c r="T271"/>
      <c r="U271"/>
      <c r="V271"/>
      <c r="W271"/>
    </row>
    <row r="272" spans="5:23">
      <c r="E272"/>
      <c r="F272"/>
      <c r="G272"/>
      <c r="H272"/>
      <c r="I272"/>
      <c r="J272"/>
      <c r="K272"/>
      <c r="L272"/>
      <c r="M272"/>
      <c r="N272"/>
      <c r="O272"/>
      <c r="P272"/>
      <c r="Q272"/>
      <c r="R272"/>
      <c r="S272"/>
      <c r="T272"/>
      <c r="U272"/>
      <c r="V272"/>
      <c r="W272"/>
    </row>
  </sheetData>
  <conditionalFormatting sqref="U273:U1048576">
    <cfRule type="cellIs" dxfId="6" priority="10" operator="greaterThan">
      <formula>10</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A1E6F-EB32-42B2-9C68-AAC80FD54841}">
  <sheetPr codeName="Sheet4">
    <pageSetUpPr fitToPage="1"/>
  </sheetPr>
  <dimension ref="A1:AK127"/>
  <sheetViews>
    <sheetView topLeftCell="A112" zoomScaleNormal="100" workbookViewId="0">
      <selection activeCell="F122" sqref="F122:I122"/>
    </sheetView>
  </sheetViews>
  <sheetFormatPr defaultColWidth="8.85546875" defaultRowHeight="26.25" customHeight="1"/>
  <cols>
    <col min="1" max="1" width="4.42578125" style="141" customWidth="1"/>
    <col min="2" max="2" width="6.140625" style="141" customWidth="1"/>
    <col min="3" max="3" width="10.42578125" style="141" customWidth="1"/>
    <col min="4" max="4" width="11.7109375" style="141" customWidth="1"/>
    <col min="5" max="5" width="11.85546875" style="141" customWidth="1"/>
    <col min="6" max="6" width="12.85546875" style="141" customWidth="1"/>
    <col min="7" max="7" width="7.85546875" style="141" customWidth="1"/>
    <col min="8" max="8" width="7.7109375" style="141" customWidth="1"/>
    <col min="9" max="9" width="9.140625" style="141" customWidth="1"/>
    <col min="10" max="10" width="8.28515625" style="141" customWidth="1"/>
    <col min="11" max="11" width="11.140625" style="141" customWidth="1"/>
    <col min="12" max="12" width="9.7109375" style="141" customWidth="1"/>
    <col min="13" max="13" width="5.85546875" style="141" customWidth="1"/>
    <col min="14" max="14" width="8.7109375" style="141" customWidth="1"/>
    <col min="15" max="15" width="8.85546875" style="141"/>
    <col min="16" max="16" width="8.140625" style="141" customWidth="1"/>
    <col min="17" max="17" width="5.7109375" style="141" customWidth="1"/>
    <col min="18" max="18" width="5.85546875" style="141" customWidth="1"/>
    <col min="19" max="19" width="5.42578125" style="141" customWidth="1"/>
    <col min="20" max="20" width="6.42578125" style="141" customWidth="1"/>
    <col min="21" max="21" width="5.85546875" style="141" customWidth="1"/>
    <col min="22" max="22" width="5.42578125" style="141" customWidth="1"/>
    <col min="23" max="23" width="6.140625" style="141" customWidth="1"/>
    <col min="24" max="25" width="5.85546875" style="141" customWidth="1"/>
    <col min="26" max="27" width="6.42578125" style="141" customWidth="1"/>
    <col min="28" max="28" width="6.140625" style="141" customWidth="1"/>
    <col min="29" max="29" width="5.85546875" style="141" customWidth="1"/>
    <col min="30" max="31" width="8.85546875" style="141"/>
    <col min="32" max="32" width="9.42578125" style="141" customWidth="1"/>
    <col min="33" max="16384" width="8.85546875" style="141"/>
  </cols>
  <sheetData>
    <row r="1" spans="1:37" ht="26.25" customHeight="1">
      <c r="B1" s="90"/>
      <c r="C1" s="310" t="s">
        <v>503</v>
      </c>
      <c r="D1" s="310"/>
      <c r="E1" s="310"/>
      <c r="F1" s="310"/>
      <c r="G1" s="310"/>
      <c r="H1" s="310"/>
      <c r="I1" s="310"/>
      <c r="J1" s="310"/>
      <c r="Q1" s="90"/>
    </row>
    <row r="2" spans="1:37" ht="26.25" customHeight="1">
      <c r="A2" s="286" t="s">
        <v>60</v>
      </c>
      <c r="B2" s="286"/>
      <c r="C2" s="286"/>
      <c r="D2" s="286"/>
      <c r="E2" s="287"/>
      <c r="F2" s="287"/>
      <c r="G2" s="287"/>
    </row>
    <row r="3" spans="1:37" ht="26.25" customHeight="1">
      <c r="A3" s="311" t="s">
        <v>62</v>
      </c>
      <c r="B3" s="312"/>
      <c r="C3" s="312"/>
      <c r="D3" s="313"/>
      <c r="E3" s="287"/>
      <c r="F3" s="287"/>
      <c r="G3" s="287"/>
      <c r="K3" s="145" t="s">
        <v>205</v>
      </c>
      <c r="L3" s="144" t="s">
        <v>206</v>
      </c>
    </row>
    <row r="4" spans="1:37" ht="23.45" customHeight="1">
      <c r="A4" s="291" t="s">
        <v>513</v>
      </c>
      <c r="B4" s="291"/>
      <c r="C4" s="291"/>
      <c r="D4" s="291"/>
      <c r="E4" s="287"/>
      <c r="F4" s="287"/>
      <c r="G4" s="287"/>
      <c r="J4" s="318" t="s">
        <v>63</v>
      </c>
      <c r="K4" s="319"/>
      <c r="L4" s="144"/>
      <c r="AK4" s="147"/>
    </row>
    <row r="5" spans="1:37" ht="25.5" customHeight="1">
      <c r="A5" s="286" t="s">
        <v>515</v>
      </c>
      <c r="B5" s="286"/>
      <c r="C5" s="286"/>
      <c r="D5" s="286"/>
      <c r="E5" s="287"/>
      <c r="F5" s="287"/>
      <c r="G5" s="287"/>
      <c r="AK5" s="147"/>
    </row>
    <row r="6" spans="1:37" ht="23.45" customHeight="1">
      <c r="A6" s="286" t="s">
        <v>386</v>
      </c>
      <c r="B6" s="286"/>
      <c r="C6" s="286"/>
      <c r="D6" s="286"/>
      <c r="E6" s="369"/>
      <c r="F6" s="370"/>
      <c r="G6" s="371"/>
      <c r="I6" s="302" t="s">
        <v>516</v>
      </c>
      <c r="J6" s="368"/>
      <c r="K6" s="303"/>
      <c r="L6" s="369"/>
      <c r="M6" s="370"/>
      <c r="N6" s="371"/>
      <c r="O6"/>
      <c r="AK6" s="147"/>
    </row>
    <row r="7" spans="1:37" ht="28.5" customHeight="1">
      <c r="A7" s="291" t="s">
        <v>514</v>
      </c>
      <c r="B7" s="291"/>
      <c r="C7" s="291"/>
      <c r="D7" s="291"/>
      <c r="E7" s="369"/>
      <c r="F7" s="370"/>
      <c r="G7" s="371"/>
      <c r="L7"/>
      <c r="M7"/>
      <c r="N7"/>
      <c r="AK7" s="147"/>
    </row>
    <row r="8" spans="1:37" ht="29.25" customHeight="1">
      <c r="A8" s="373" t="s">
        <v>65</v>
      </c>
      <c r="B8" s="374"/>
      <c r="C8" s="374"/>
      <c r="D8" s="375"/>
      <c r="E8" s="301"/>
      <c r="F8" s="301"/>
      <c r="G8" s="301"/>
    </row>
    <row r="9" spans="1:37" ht="26.25" customHeight="1">
      <c r="A9" s="373" t="s">
        <v>66</v>
      </c>
      <c r="B9" s="374"/>
      <c r="C9" s="374"/>
      <c r="D9" s="375"/>
      <c r="E9" s="287"/>
      <c r="F9" s="287"/>
      <c r="G9" s="287"/>
    </row>
    <row r="10" spans="1:37" ht="26.25" customHeight="1">
      <c r="A10" s="376" t="s">
        <v>67</v>
      </c>
      <c r="B10" s="377"/>
      <c r="C10" s="377"/>
      <c r="D10" s="378"/>
      <c r="E10" s="379"/>
      <c r="F10" s="380"/>
      <c r="G10" s="381"/>
    </row>
    <row r="11" spans="1:37" ht="20.45" customHeight="1" thickBot="1">
      <c r="A11" s="373" t="s">
        <v>167</v>
      </c>
      <c r="B11" s="374"/>
      <c r="C11" s="374"/>
      <c r="D11" s="375"/>
      <c r="E11" s="148"/>
      <c r="F11"/>
      <c r="G11"/>
      <c r="H11"/>
      <c r="I11"/>
    </row>
    <row r="12" spans="1:37" ht="26.25" customHeight="1" thickBot="1">
      <c r="A12" s="149"/>
      <c r="B12" s="293" t="s">
        <v>68</v>
      </c>
      <c r="C12" s="294"/>
      <c r="D12" s="294"/>
      <c r="E12" s="294"/>
      <c r="F12" s="294"/>
      <c r="G12" s="294"/>
      <c r="H12" s="294"/>
      <c r="I12" s="294"/>
      <c r="J12" s="294"/>
      <c r="K12" s="294"/>
      <c r="L12" s="294"/>
      <c r="M12" s="296"/>
      <c r="O12" s="92"/>
    </row>
    <row r="13" spans="1:37" ht="26.25" customHeight="1" thickBot="1">
      <c r="A13" s="150"/>
      <c r="B13" s="151" t="s">
        <v>387</v>
      </c>
      <c r="C13" s="151"/>
      <c r="D13" s="151"/>
      <c r="E13" s="151"/>
      <c r="O13" s="92"/>
    </row>
    <row r="14" spans="1:37" ht="26.25" customHeight="1" thickBot="1">
      <c r="A14" s="150"/>
      <c r="B14" s="151" t="s">
        <v>388</v>
      </c>
      <c r="C14" s="151"/>
      <c r="D14" s="151"/>
      <c r="E14" s="151"/>
      <c r="O14" s="92"/>
    </row>
    <row r="15" spans="1:37" ht="33.6" customHeight="1" thickBot="1">
      <c r="A15"/>
      <c r="B15" s="151"/>
      <c r="C15" s="151"/>
      <c r="E15" s="152" t="s">
        <v>71</v>
      </c>
      <c r="F15" s="152" t="str">
        <f>CONCATENATE(" Volume for ",$E$11," samples")</f>
        <v xml:space="preserve"> Volume for  samples</v>
      </c>
      <c r="O15" s="92"/>
    </row>
    <row r="16" spans="1:37" ht="26.25" customHeight="1" thickBot="1">
      <c r="A16" s="150"/>
      <c r="B16" s="151" t="s">
        <v>72</v>
      </c>
      <c r="C16" s="153"/>
      <c r="D16" s="237" t="s">
        <v>324</v>
      </c>
      <c r="E16" s="155">
        <v>16.3</v>
      </c>
      <c r="F16" s="156">
        <f>E16*$E$11*1.1</f>
        <v>0</v>
      </c>
      <c r="G16" s="143" t="s">
        <v>73</v>
      </c>
      <c r="O16" s="92"/>
      <c r="Q16" s="151"/>
    </row>
    <row r="17" spans="1:17" ht="26.25" customHeight="1">
      <c r="A17" s="149"/>
      <c r="B17" s="151"/>
      <c r="C17" s="157"/>
      <c r="D17" s="158" t="s">
        <v>325</v>
      </c>
      <c r="E17" s="159">
        <v>3.1</v>
      </c>
      <c r="F17" s="156">
        <f>E17*$E$11*1.1</f>
        <v>0</v>
      </c>
      <c r="G17" s="143" t="s">
        <v>73</v>
      </c>
      <c r="O17" s="92"/>
      <c r="Q17" s="151"/>
    </row>
    <row r="18" spans="1:17" ht="28.5" customHeight="1">
      <c r="A18" s="149"/>
      <c r="B18" s="151"/>
      <c r="C18" s="157"/>
      <c r="D18" s="158" t="s">
        <v>74</v>
      </c>
      <c r="E18" s="159">
        <v>2</v>
      </c>
      <c r="F18" s="156">
        <f>E18*$E$11*1.1</f>
        <v>0</v>
      </c>
      <c r="G18" s="143" t="s">
        <v>73</v>
      </c>
      <c r="O18" s="92"/>
      <c r="Q18" s="151"/>
    </row>
    <row r="19" spans="1:17" ht="23.1" customHeight="1" thickBot="1">
      <c r="A19" s="149"/>
      <c r="B19" s="151"/>
      <c r="C19" s="161"/>
      <c r="D19" s="162" t="s">
        <v>326</v>
      </c>
      <c r="E19" s="163">
        <v>7</v>
      </c>
      <c r="F19" s="163">
        <f>E19*$E$11*1.1</f>
        <v>0</v>
      </c>
      <c r="G19" s="164" t="s">
        <v>73</v>
      </c>
      <c r="O19" s="92"/>
    </row>
    <row r="20" spans="1:17" ht="15.95" customHeight="1" thickBot="1">
      <c r="A20" s="149"/>
      <c r="B20" s="151"/>
      <c r="D20" s="165"/>
      <c r="E20" s="166">
        <f>SUM(E16:E19)</f>
        <v>28.400000000000002</v>
      </c>
      <c r="F20" s="166">
        <f>SUM(F16:F19)</f>
        <v>0</v>
      </c>
      <c r="G20" s="167" t="s">
        <v>73</v>
      </c>
      <c r="H20" s="141" t="s">
        <v>75</v>
      </c>
      <c r="O20" s="92"/>
    </row>
    <row r="21" spans="1:17" ht="26.25" customHeight="1" thickBot="1">
      <c r="A21" s="150"/>
      <c r="B21" s="151" t="s">
        <v>504</v>
      </c>
      <c r="D21" s="94"/>
      <c r="E21" s="151"/>
      <c r="F21" s="95"/>
      <c r="G21" s="238"/>
      <c r="H21" s="238"/>
      <c r="K21" s="239"/>
      <c r="O21" s="92"/>
    </row>
    <row r="22" spans="1:17" ht="23.1" customHeight="1" thickBot="1">
      <c r="A22" s="150"/>
      <c r="B22" s="141" t="s">
        <v>389</v>
      </c>
      <c r="D22" s="142"/>
      <c r="E22" s="142"/>
      <c r="F22" s="142"/>
      <c r="G22" s="142"/>
      <c r="H22" s="142"/>
      <c r="I22"/>
      <c r="J22"/>
      <c r="K22"/>
      <c r="L22"/>
      <c r="M22"/>
    </row>
    <row r="23" spans="1:17" ht="26.25" customHeight="1" thickBot="1">
      <c r="A23" s="150"/>
      <c r="B23" s="151" t="s">
        <v>328</v>
      </c>
      <c r="D23" s="151"/>
      <c r="E23" s="151"/>
      <c r="H23"/>
      <c r="I23"/>
      <c r="J23"/>
      <c r="K23"/>
      <c r="L23"/>
      <c r="M23"/>
    </row>
    <row r="24" spans="1:17" ht="26.25" customHeight="1" thickBot="1">
      <c r="A24" s="149"/>
      <c r="C24" s="168"/>
      <c r="D24" s="169" t="s">
        <v>210</v>
      </c>
      <c r="E24" s="170" t="s">
        <v>211</v>
      </c>
      <c r="F24" s="170" t="s">
        <v>390</v>
      </c>
      <c r="G24" s="342" t="s">
        <v>213</v>
      </c>
      <c r="H24" s="343"/>
      <c r="I24"/>
      <c r="J24" s="103" t="s">
        <v>391</v>
      </c>
      <c r="K24" s="103"/>
      <c r="L24" s="103"/>
      <c r="M24"/>
    </row>
    <row r="25" spans="1:17" ht="14.45" customHeight="1">
      <c r="A25" s="149"/>
      <c r="C25" s="171">
        <v>1</v>
      </c>
      <c r="D25" s="172"/>
      <c r="E25" s="172"/>
      <c r="F25" s="172"/>
      <c r="G25" s="383"/>
      <c r="H25" s="384"/>
      <c r="I25"/>
      <c r="J25"/>
      <c r="K25"/>
      <c r="L25"/>
      <c r="M25"/>
    </row>
    <row r="26" spans="1:17" ht="14.45" customHeight="1">
      <c r="A26" s="149"/>
      <c r="C26" s="173">
        <v>2</v>
      </c>
      <c r="D26" s="156"/>
      <c r="E26" s="172"/>
      <c r="F26" s="156"/>
      <c r="G26" s="302"/>
      <c r="H26" s="303"/>
      <c r="I26"/>
      <c r="J26"/>
      <c r="K26"/>
      <c r="L26"/>
      <c r="M26"/>
    </row>
    <row r="27" spans="1:17" ht="14.45" customHeight="1">
      <c r="A27" s="149"/>
      <c r="C27" s="1">
        <v>3</v>
      </c>
      <c r="D27" s="156"/>
      <c r="E27" s="156"/>
      <c r="F27" s="156"/>
      <c r="G27" s="302"/>
      <c r="H27" s="303"/>
      <c r="I27"/>
      <c r="J27"/>
      <c r="K27"/>
      <c r="L27"/>
      <c r="M27"/>
    </row>
    <row r="28" spans="1:17" ht="14.45" customHeight="1">
      <c r="A28" s="149"/>
      <c r="C28" s="173">
        <v>4</v>
      </c>
      <c r="D28" s="156"/>
      <c r="E28" s="156"/>
      <c r="F28" s="156"/>
      <c r="G28" s="302"/>
      <c r="H28" s="303"/>
      <c r="I28"/>
      <c r="J28"/>
      <c r="K28"/>
      <c r="L28"/>
      <c r="M28"/>
    </row>
    <row r="29" spans="1:17" ht="14.45" customHeight="1">
      <c r="A29" s="149"/>
      <c r="C29" s="173">
        <v>5</v>
      </c>
      <c r="D29" s="156"/>
      <c r="E29" s="156"/>
      <c r="F29" s="156"/>
      <c r="G29" s="302"/>
      <c r="H29" s="303"/>
      <c r="I29"/>
      <c r="J29"/>
      <c r="K29"/>
      <c r="L29"/>
      <c r="M29"/>
    </row>
    <row r="30" spans="1:17" ht="14.45" customHeight="1">
      <c r="A30" s="149"/>
      <c r="C30" s="173">
        <v>6</v>
      </c>
      <c r="D30" s="156"/>
      <c r="E30" s="156"/>
      <c r="F30" s="156"/>
      <c r="G30" s="302"/>
      <c r="H30" s="303"/>
      <c r="I30"/>
      <c r="J30"/>
      <c r="K30"/>
      <c r="L30"/>
      <c r="M30"/>
    </row>
    <row r="31" spans="1:17" ht="14.45" customHeight="1">
      <c r="A31" s="149"/>
      <c r="C31" s="173">
        <v>7</v>
      </c>
      <c r="D31" s="156"/>
      <c r="E31" s="156"/>
      <c r="F31" s="156"/>
      <c r="G31" s="302"/>
      <c r="H31" s="303"/>
      <c r="I31"/>
      <c r="J31"/>
      <c r="K31"/>
      <c r="L31"/>
      <c r="M31"/>
    </row>
    <row r="32" spans="1:17" ht="14.45" customHeight="1" thickBot="1">
      <c r="A32" s="149"/>
      <c r="C32" s="173">
        <v>8</v>
      </c>
      <c r="D32" s="156"/>
      <c r="E32" s="156"/>
      <c r="F32" s="156"/>
      <c r="G32" s="302"/>
      <c r="H32" s="303"/>
      <c r="I32"/>
      <c r="J32"/>
      <c r="K32"/>
      <c r="L32"/>
      <c r="M32"/>
    </row>
    <row r="33" spans="1:13" ht="26.25" customHeight="1" thickBot="1">
      <c r="A33" s="150"/>
      <c r="B33" s="96" t="s">
        <v>355</v>
      </c>
      <c r="C33"/>
      <c r="D33"/>
      <c r="E33"/>
      <c r="F33"/>
    </row>
    <row r="34" spans="1:13" ht="26.25" customHeight="1" thickBot="1">
      <c r="A34" s="174"/>
      <c r="B34" s="96" t="s">
        <v>392</v>
      </c>
      <c r="C34"/>
      <c r="D34"/>
      <c r="E34"/>
      <c r="F34"/>
    </row>
    <row r="35" spans="1:13" ht="26.25" customHeight="1" thickBot="1">
      <c r="A35" s="174"/>
      <c r="B35" s="96" t="s">
        <v>393</v>
      </c>
      <c r="C35"/>
      <c r="D35"/>
      <c r="E35"/>
      <c r="F35"/>
    </row>
    <row r="36" spans="1:13" ht="26.25" customHeight="1" thickBot="1">
      <c r="A36" s="150"/>
      <c r="B36" s="96" t="s">
        <v>215</v>
      </c>
      <c r="C36"/>
      <c r="D36"/>
      <c r="E36"/>
      <c r="F36"/>
    </row>
    <row r="37" spans="1:13" ht="26.25" customHeight="1" thickBot="1">
      <c r="A37" s="150"/>
      <c r="B37" s="96" t="s">
        <v>394</v>
      </c>
      <c r="C37"/>
      <c r="D37"/>
      <c r="E37"/>
      <c r="F37"/>
      <c r="I37" s="94" t="s">
        <v>333</v>
      </c>
      <c r="K37" s="151" t="s">
        <v>334</v>
      </c>
    </row>
    <row r="38" spans="1:13" ht="21.95" customHeight="1" thickBot="1">
      <c r="A38" s="149"/>
      <c r="B38" s="96"/>
      <c r="C38"/>
      <c r="D38"/>
      <c r="E38"/>
      <c r="F38"/>
      <c r="I38" s="94" t="s">
        <v>216</v>
      </c>
    </row>
    <row r="39" spans="1:13" ht="26.25" customHeight="1" thickBot="1">
      <c r="A39" s="149"/>
      <c r="B39" s="365" t="s">
        <v>217</v>
      </c>
      <c r="C39" s="366"/>
      <c r="D39" s="366"/>
      <c r="E39" s="366"/>
      <c r="F39" s="366"/>
      <c r="G39" s="366"/>
      <c r="H39" s="366"/>
      <c r="I39" s="366"/>
      <c r="J39" s="366"/>
      <c r="K39" s="366"/>
      <c r="L39" s="366"/>
      <c r="M39" s="367"/>
    </row>
    <row r="40" spans="1:13" s="151" customFormat="1" ht="26.25" customHeight="1" thickBot="1">
      <c r="A40" s="175"/>
      <c r="B40" s="151" t="s">
        <v>218</v>
      </c>
      <c r="H40" s="95" t="s">
        <v>77</v>
      </c>
    </row>
    <row r="41" spans="1:13" ht="26.25" customHeight="1" thickBot="1">
      <c r="A41" s="150"/>
      <c r="B41" s="96" t="s">
        <v>219</v>
      </c>
      <c r="C41"/>
      <c r="D41"/>
      <c r="E41"/>
      <c r="F41"/>
      <c r="G41"/>
      <c r="H41" s="95" t="s">
        <v>395</v>
      </c>
      <c r="I41"/>
    </row>
    <row r="42" spans="1:13" ht="35.1" customHeight="1" thickBot="1">
      <c r="A42" s="150"/>
      <c r="B42" s="386" t="s">
        <v>220</v>
      </c>
      <c r="C42" s="387"/>
      <c r="D42" s="387"/>
      <c r="E42" s="387"/>
      <c r="F42" s="387"/>
      <c r="G42" s="96" t="s">
        <v>221</v>
      </c>
      <c r="H42"/>
      <c r="I42"/>
      <c r="J42" s="203" t="s">
        <v>71</v>
      </c>
      <c r="K42" s="176" t="str">
        <f>CONCATENATE(" Volume for ",$E$11," samples")</f>
        <v xml:space="preserve"> Volume for  samples</v>
      </c>
    </row>
    <row r="43" spans="1:13" s="142" customFormat="1" ht="23.1" customHeight="1">
      <c r="A43" s="99"/>
      <c r="B43" s="99"/>
      <c r="C43" s="177"/>
      <c r="D43" s="177"/>
      <c r="E43" s="177"/>
      <c r="F43" s="177"/>
      <c r="G43" s="388" t="s">
        <v>222</v>
      </c>
      <c r="H43" s="388"/>
      <c r="I43" s="388"/>
      <c r="J43" s="155">
        <v>182</v>
      </c>
      <c r="K43" s="156">
        <f>J43*$E$11*1.1</f>
        <v>0</v>
      </c>
      <c r="L43" s="156" t="s">
        <v>73</v>
      </c>
    </row>
    <row r="44" spans="1:13" s="142" customFormat="1" ht="23.1" customHeight="1">
      <c r="B44" s="99"/>
      <c r="C44" s="389" t="s">
        <v>223</v>
      </c>
      <c r="D44" s="389"/>
      <c r="E44" s="389"/>
      <c r="F44" s="99"/>
      <c r="G44" s="388" t="s">
        <v>224</v>
      </c>
      <c r="H44" s="388"/>
      <c r="I44" s="388"/>
      <c r="J44" s="155">
        <v>8</v>
      </c>
      <c r="K44" s="156">
        <f>J44*$E$11*1.1</f>
        <v>0</v>
      </c>
      <c r="L44" s="156" t="s">
        <v>73</v>
      </c>
    </row>
    <row r="45" spans="1:13" s="142" customFormat="1" ht="23.1" customHeight="1">
      <c r="B45" s="99"/>
      <c r="C45" s="389"/>
      <c r="D45" s="389"/>
      <c r="E45" s="389"/>
      <c r="F45" s="99"/>
      <c r="G45" s="390" t="s">
        <v>225</v>
      </c>
      <c r="H45" s="390"/>
      <c r="I45" s="390"/>
      <c r="J45" s="155">
        <v>5</v>
      </c>
      <c r="K45" s="156">
        <f>J45*$E$11*1.1</f>
        <v>0</v>
      </c>
      <c r="L45" s="156" t="s">
        <v>73</v>
      </c>
    </row>
    <row r="46" spans="1:13" s="142" customFormat="1" ht="23.1" customHeight="1" thickBot="1">
      <c r="B46" s="99"/>
      <c r="C46" s="99"/>
      <c r="D46" s="99"/>
      <c r="E46" s="99"/>
      <c r="F46" s="99"/>
      <c r="G46" s="385" t="s">
        <v>79</v>
      </c>
      <c r="H46" s="385"/>
      <c r="I46" s="385"/>
      <c r="J46" s="178">
        <v>5</v>
      </c>
      <c r="K46" s="163">
        <f>J46*$E$11*1.1</f>
        <v>0</v>
      </c>
      <c r="L46" s="163" t="s">
        <v>73</v>
      </c>
    </row>
    <row r="47" spans="1:13" s="142" customFormat="1" ht="23.1" customHeight="1" thickBot="1">
      <c r="B47" s="99"/>
      <c r="C47" s="99"/>
      <c r="D47" s="99"/>
      <c r="E47" s="99"/>
      <c r="F47" s="99"/>
      <c r="G47" s="99"/>
      <c r="H47" s="99"/>
      <c r="I47" s="99"/>
      <c r="J47" s="172">
        <f>SUM(J43:J46)</f>
        <v>200</v>
      </c>
      <c r="K47" s="172">
        <f>SUM(K43:K46)</f>
        <v>0</v>
      </c>
      <c r="L47" s="172" t="s">
        <v>73</v>
      </c>
      <c r="M47" s="179" t="s">
        <v>75</v>
      </c>
    </row>
    <row r="48" spans="1:13" ht="33" customHeight="1" thickBot="1">
      <c r="A48" s="150"/>
      <c r="B48" s="96" t="s">
        <v>80</v>
      </c>
      <c r="C48"/>
      <c r="D48"/>
      <c r="E48" s="176" t="s">
        <v>71</v>
      </c>
      <c r="F48" s="176" t="str">
        <f>CONCATENATE(" Volume for ",$E$11," samples")</f>
        <v xml:space="preserve"> Volume for  samples</v>
      </c>
      <c r="G48"/>
      <c r="H48"/>
      <c r="I48"/>
      <c r="L48" s="146"/>
      <c r="M48" s="179"/>
    </row>
    <row r="49" spans="1:13" ht="26.25" customHeight="1">
      <c r="A49" s="149"/>
      <c r="B49" s="96"/>
      <c r="C49" s="391" t="s">
        <v>81</v>
      </c>
      <c r="D49" s="392"/>
      <c r="E49" s="180">
        <v>98</v>
      </c>
      <c r="F49" s="173">
        <f>IF($E$11&lt;2, E49,E49*0.5*$E$11)</f>
        <v>98</v>
      </c>
      <c r="G49" s="143" t="s">
        <v>73</v>
      </c>
      <c r="I49"/>
      <c r="L49" s="146"/>
      <c r="M49" s="179"/>
    </row>
    <row r="50" spans="1:13" ht="26.25" customHeight="1">
      <c r="A50" s="149"/>
      <c r="B50" s="96"/>
      <c r="C50" s="391" t="s">
        <v>82</v>
      </c>
      <c r="D50" s="392"/>
      <c r="E50" s="180">
        <v>1</v>
      </c>
      <c r="F50" s="173">
        <f t="shared" ref="F50:F51" si="0">IF($E$11&lt;2, E50,E50*0.5*$E$11)</f>
        <v>1</v>
      </c>
      <c r="G50" s="143" t="s">
        <v>73</v>
      </c>
      <c r="I50"/>
      <c r="L50" s="146"/>
      <c r="M50" s="179"/>
    </row>
    <row r="51" spans="1:13" ht="26.25" customHeight="1" thickBot="1">
      <c r="A51" s="149"/>
      <c r="B51" s="96"/>
      <c r="C51" s="393" t="s">
        <v>74</v>
      </c>
      <c r="D51" s="394"/>
      <c r="E51" s="182">
        <v>1</v>
      </c>
      <c r="F51" s="183">
        <f t="shared" si="0"/>
        <v>1</v>
      </c>
      <c r="G51" s="164" t="s">
        <v>73</v>
      </c>
      <c r="I51"/>
      <c r="L51" s="146"/>
      <c r="M51" s="179"/>
    </row>
    <row r="52" spans="1:13" ht="26.25" customHeight="1" thickBot="1">
      <c r="A52" s="149"/>
      <c r="B52"/>
      <c r="C52"/>
      <c r="D52"/>
      <c r="E52" s="171">
        <f>SUM(E49:E51)</f>
        <v>100</v>
      </c>
      <c r="F52" s="171">
        <f>SUM(F49:F51)</f>
        <v>100</v>
      </c>
      <c r="G52" s="167" t="s">
        <v>73</v>
      </c>
      <c r="H52" s="179" t="s">
        <v>75</v>
      </c>
      <c r="I52"/>
    </row>
    <row r="53" spans="1:13" ht="23.1" customHeight="1" thickBot="1">
      <c r="A53" s="150"/>
      <c r="B53" s="96" t="s">
        <v>226</v>
      </c>
      <c r="C53"/>
      <c r="D53"/>
      <c r="E53"/>
      <c r="F53"/>
      <c r="G53"/>
      <c r="H53"/>
      <c r="I53"/>
      <c r="L53" s="146"/>
      <c r="M53" s="179"/>
    </row>
    <row r="54" spans="1:13" ht="30.95" customHeight="1" thickBot="1">
      <c r="A54" s="150"/>
      <c r="B54" s="96" t="s">
        <v>227</v>
      </c>
      <c r="C54"/>
      <c r="D54"/>
      <c r="E54"/>
      <c r="H54" s="184" t="s">
        <v>228</v>
      </c>
      <c r="I54"/>
      <c r="J54" s="176" t="s">
        <v>71</v>
      </c>
      <c r="K54" s="176" t="str">
        <f>CONCATENATE(" Volume for ",$E$11," samples")</f>
        <v xml:space="preserve"> Volume for  samples</v>
      </c>
    </row>
    <row r="55" spans="1:13" ht="21.6" customHeight="1">
      <c r="A55" s="149"/>
      <c r="B55" s="96"/>
      <c r="C55"/>
      <c r="D55"/>
      <c r="E55"/>
      <c r="F55"/>
      <c r="G55" s="390" t="s">
        <v>229</v>
      </c>
      <c r="H55" s="390"/>
      <c r="I55" s="390"/>
      <c r="J55" s="155">
        <v>50</v>
      </c>
      <c r="K55" s="156">
        <f>J55*$E$11*1.1</f>
        <v>0</v>
      </c>
      <c r="L55" s="143" t="s">
        <v>73</v>
      </c>
    </row>
    <row r="56" spans="1:13" ht="21.95" customHeight="1" thickBot="1">
      <c r="A56"/>
      <c r="B56"/>
      <c r="C56"/>
      <c r="D56"/>
      <c r="E56"/>
      <c r="F56"/>
      <c r="G56" s="385" t="s">
        <v>230</v>
      </c>
      <c r="H56" s="385"/>
      <c r="I56" s="385"/>
      <c r="J56" s="178">
        <v>15</v>
      </c>
      <c r="K56" s="163">
        <f>J56*$E$11*1.1</f>
        <v>0</v>
      </c>
      <c r="L56" s="164" t="s">
        <v>73</v>
      </c>
    </row>
    <row r="57" spans="1:13" ht="21.6" customHeight="1" thickBot="1">
      <c r="A57"/>
      <c r="B57"/>
      <c r="C57"/>
      <c r="D57"/>
      <c r="E57"/>
      <c r="F57"/>
      <c r="G57"/>
      <c r="H57"/>
      <c r="I57"/>
      <c r="J57" s="172">
        <f>SUM(J55:J56)</f>
        <v>65</v>
      </c>
      <c r="K57" s="172">
        <f>SUM(K55:K56)</f>
        <v>0</v>
      </c>
      <c r="L57" s="167" t="s">
        <v>73</v>
      </c>
      <c r="M57" s="179" t="s">
        <v>75</v>
      </c>
    </row>
    <row r="58" spans="1:13" ht="20.100000000000001" customHeight="1" thickBot="1">
      <c r="A58" s="150"/>
      <c r="B58" s="96" t="s">
        <v>83</v>
      </c>
      <c r="C58"/>
      <c r="D58" s="240" t="s">
        <v>396</v>
      </c>
      <c r="E58"/>
      <c r="F58"/>
      <c r="G58"/>
      <c r="H58"/>
      <c r="I58"/>
      <c r="L58" s="146"/>
      <c r="M58" s="179"/>
    </row>
    <row r="59" spans="1:13" ht="20.100000000000001" customHeight="1">
      <c r="A59"/>
      <c r="B59"/>
      <c r="C59"/>
      <c r="D59" s="241" t="s">
        <v>397</v>
      </c>
      <c r="E59" s="348" t="s">
        <v>398</v>
      </c>
      <c r="F59"/>
      <c r="G59"/>
      <c r="H59"/>
      <c r="I59"/>
      <c r="L59" s="146"/>
      <c r="M59" s="179"/>
    </row>
    <row r="60" spans="1:13" ht="20.100000000000001" customHeight="1">
      <c r="A60"/>
      <c r="B60"/>
      <c r="C60"/>
      <c r="D60" s="241" t="s">
        <v>86</v>
      </c>
      <c r="E60" s="349"/>
      <c r="F60"/>
      <c r="G60"/>
      <c r="H60"/>
      <c r="I60"/>
      <c r="L60" s="146"/>
      <c r="M60" s="179"/>
    </row>
    <row r="61" spans="1:13" ht="20.100000000000001" customHeight="1">
      <c r="A61"/>
      <c r="B61"/>
      <c r="C61"/>
      <c r="D61" s="241" t="s">
        <v>87</v>
      </c>
      <c r="E61" s="350"/>
      <c r="F61"/>
      <c r="G61" s="142" t="s">
        <v>88</v>
      </c>
      <c r="H61" s="185">
        <v>11</v>
      </c>
      <c r="I61"/>
      <c r="J61"/>
      <c r="L61" s="146"/>
      <c r="M61" s="179"/>
    </row>
    <row r="62" spans="1:13" ht="20.100000000000001" customHeight="1">
      <c r="A62"/>
      <c r="B62"/>
      <c r="C62"/>
      <c r="D62" s="240" t="s">
        <v>87</v>
      </c>
      <c r="E62" s="99"/>
      <c r="F62"/>
      <c r="G62" s="142"/>
      <c r="H62" s="185"/>
      <c r="I62"/>
      <c r="J62"/>
      <c r="L62" s="146"/>
      <c r="M62" s="179"/>
    </row>
    <row r="63" spans="1:13" ht="20.100000000000001" customHeight="1" thickBot="1">
      <c r="A63"/>
      <c r="B63"/>
      <c r="C63"/>
      <c r="D63" s="240" t="s">
        <v>399</v>
      </c>
      <c r="E63"/>
      <c r="F63"/>
      <c r="G63"/>
      <c r="H63"/>
      <c r="I63"/>
      <c r="J63"/>
    </row>
    <row r="64" spans="1:13" ht="24.95" customHeight="1" thickBot="1">
      <c r="A64" s="150"/>
      <c r="B64" s="96" t="s">
        <v>400</v>
      </c>
      <c r="C64"/>
      <c r="D64"/>
      <c r="E64"/>
      <c r="F64"/>
      <c r="G64"/>
      <c r="H64"/>
      <c r="I64"/>
      <c r="J64"/>
    </row>
    <row r="65" spans="1:16" ht="26.25" customHeight="1" thickBot="1">
      <c r="A65"/>
      <c r="B65" s="324" t="s">
        <v>233</v>
      </c>
      <c r="C65" s="325"/>
      <c r="D65" s="325"/>
      <c r="E65" s="325"/>
      <c r="F65" s="325"/>
      <c r="G65" s="325"/>
      <c r="H65" s="325"/>
      <c r="I65" s="325"/>
      <c r="J65" s="325"/>
      <c r="K65" s="325"/>
      <c r="L65" s="325"/>
      <c r="M65" s="326"/>
      <c r="N65"/>
      <c r="O65"/>
      <c r="P65"/>
    </row>
    <row r="66" spans="1:16" ht="24.95" customHeight="1" thickBot="1">
      <c r="A66" s="150"/>
      <c r="B66" s="96" t="s">
        <v>234</v>
      </c>
      <c r="C66"/>
      <c r="D66"/>
      <c r="E66"/>
      <c r="F66"/>
      <c r="G66"/>
      <c r="H66"/>
      <c r="I66"/>
      <c r="J66"/>
    </row>
    <row r="67" spans="1:16" ht="24.95" customHeight="1" thickBot="1">
      <c r="A67" s="150"/>
      <c r="B67" s="96" t="s">
        <v>235</v>
      </c>
      <c r="C67"/>
      <c r="D67"/>
      <c r="E67"/>
      <c r="F67"/>
      <c r="G67"/>
      <c r="H67"/>
      <c r="I67"/>
      <c r="J67"/>
    </row>
    <row r="68" spans="1:16" ht="36" customHeight="1" thickBot="1">
      <c r="A68"/>
      <c r="B68"/>
      <c r="C68"/>
      <c r="D68"/>
      <c r="E68" s="176" t="s">
        <v>71</v>
      </c>
      <c r="F68" s="176" t="str">
        <f>CONCATENATE(" Volume for ",$E$11," samples")</f>
        <v xml:space="preserve"> Volume for  samples</v>
      </c>
      <c r="J68"/>
      <c r="K68"/>
      <c r="L68"/>
      <c r="M68"/>
      <c r="N68"/>
      <c r="O68"/>
      <c r="P68"/>
    </row>
    <row r="69" spans="1:16" ht="26.1" customHeight="1" thickBot="1">
      <c r="A69" s="150"/>
      <c r="B69" s="151" t="s">
        <v>72</v>
      </c>
      <c r="C69" s="186"/>
      <c r="D69" s="133" t="s">
        <v>236</v>
      </c>
      <c r="E69" s="155">
        <v>5</v>
      </c>
      <c r="F69" s="156">
        <f>E69*$E$11*1.1</f>
        <v>0</v>
      </c>
      <c r="G69" s="143" t="s">
        <v>73</v>
      </c>
      <c r="J69"/>
      <c r="K69"/>
      <c r="L69"/>
      <c r="M69"/>
      <c r="N69"/>
      <c r="O69"/>
      <c r="P69"/>
    </row>
    <row r="70" spans="1:16" ht="26.1" customHeight="1" thickBot="1">
      <c r="A70"/>
      <c r="B70"/>
      <c r="C70" s="187"/>
      <c r="D70" s="181" t="s">
        <v>237</v>
      </c>
      <c r="E70" s="178">
        <v>10</v>
      </c>
      <c r="F70" s="163">
        <f>E70*$E$11*1.1</f>
        <v>0</v>
      </c>
      <c r="G70" s="164" t="s">
        <v>73</v>
      </c>
      <c r="J70"/>
      <c r="K70"/>
      <c r="L70"/>
      <c r="M70"/>
      <c r="N70"/>
      <c r="O70"/>
      <c r="P70"/>
    </row>
    <row r="71" spans="1:16" ht="21.6" customHeight="1" thickBot="1">
      <c r="A71"/>
      <c r="B71"/>
      <c r="C71"/>
      <c r="D71"/>
      <c r="E71" s="172">
        <f>SUM(E69:E70)</f>
        <v>15</v>
      </c>
      <c r="F71" s="172">
        <f>SUM(F69:F70)</f>
        <v>0</v>
      </c>
      <c r="G71" s="167" t="s">
        <v>73</v>
      </c>
      <c r="H71" s="179" t="s">
        <v>75</v>
      </c>
      <c r="I71" s="179"/>
      <c r="J71"/>
      <c r="K71"/>
      <c r="L71"/>
      <c r="M71"/>
      <c r="N71"/>
      <c r="O71"/>
      <c r="P71"/>
    </row>
    <row r="72" spans="1:16" ht="21.6" customHeight="1" thickBot="1">
      <c r="A72" s="150"/>
      <c r="B72" s="96" t="s">
        <v>83</v>
      </c>
      <c r="C72"/>
      <c r="D72" s="94" t="s">
        <v>238</v>
      </c>
      <c r="E72"/>
      <c r="F72"/>
      <c r="G72"/>
      <c r="H72"/>
      <c r="I72"/>
      <c r="J72"/>
      <c r="K72"/>
      <c r="L72"/>
      <c r="M72"/>
      <c r="N72"/>
      <c r="O72"/>
      <c r="P72"/>
    </row>
    <row r="73" spans="1:16" ht="21.6" customHeight="1">
      <c r="A73"/>
      <c r="B73"/>
      <c r="C73"/>
      <c r="D73" s="94" t="s">
        <v>239</v>
      </c>
      <c r="E73"/>
      <c r="F73"/>
      <c r="G73"/>
      <c r="H73"/>
      <c r="I73"/>
      <c r="J73"/>
      <c r="K73"/>
      <c r="L73"/>
      <c r="M73"/>
      <c r="N73"/>
      <c r="O73"/>
      <c r="P73"/>
    </row>
    <row r="74" spans="1:16" ht="21.6" customHeight="1">
      <c r="A74"/>
      <c r="B74"/>
      <c r="C74"/>
      <c r="D74" s="94" t="s">
        <v>240</v>
      </c>
      <c r="E74"/>
      <c r="F74"/>
      <c r="G74"/>
      <c r="H74"/>
      <c r="I74"/>
      <c r="J74"/>
      <c r="K74"/>
      <c r="L74"/>
      <c r="M74"/>
      <c r="N74"/>
      <c r="O74"/>
      <c r="P74"/>
    </row>
    <row r="75" spans="1:16" ht="21.6" customHeight="1" thickBot="1">
      <c r="A75"/>
      <c r="B75"/>
      <c r="C75"/>
      <c r="D75" s="94" t="s">
        <v>241</v>
      </c>
      <c r="E75"/>
      <c r="F75"/>
      <c r="G75"/>
      <c r="H75"/>
      <c r="I75"/>
      <c r="J75"/>
      <c r="K75"/>
      <c r="L75"/>
      <c r="M75"/>
      <c r="N75"/>
      <c r="O75"/>
      <c r="P75"/>
    </row>
    <row r="76" spans="1:16" ht="24.95" customHeight="1" thickBot="1">
      <c r="A76" s="150"/>
      <c r="B76" s="387" t="s">
        <v>242</v>
      </c>
      <c r="C76" s="387"/>
      <c r="D76" s="387"/>
      <c r="E76" s="387"/>
      <c r="F76" s="387"/>
      <c r="G76" s="387"/>
      <c r="H76" s="387"/>
      <c r="I76" s="387"/>
      <c r="J76"/>
      <c r="K76" s="103" t="s">
        <v>243</v>
      </c>
    </row>
    <row r="77" spans="1:16" ht="17.45" customHeight="1" thickBot="1">
      <c r="A77"/>
      <c r="B77" s="387"/>
      <c r="C77" s="387"/>
      <c r="D77" s="387"/>
      <c r="E77" s="387"/>
      <c r="F77" s="387"/>
      <c r="G77" s="387"/>
      <c r="H77" s="387"/>
      <c r="I77" s="387"/>
      <c r="J77"/>
      <c r="K77"/>
      <c r="L77"/>
      <c r="M77"/>
      <c r="N77"/>
      <c r="O77"/>
      <c r="P77"/>
    </row>
    <row r="78" spans="1:16" ht="24.95" customHeight="1" thickBot="1">
      <c r="A78" s="150"/>
      <c r="B78" s="96" t="s">
        <v>244</v>
      </c>
      <c r="C78"/>
      <c r="D78"/>
      <c r="E78"/>
      <c r="F78"/>
      <c r="G78"/>
      <c r="H78"/>
      <c r="I78"/>
      <c r="J78"/>
    </row>
    <row r="79" spans="1:16" ht="33" customHeight="1" thickBot="1">
      <c r="A79"/>
      <c r="B79"/>
      <c r="C79"/>
      <c r="D79"/>
      <c r="E79" s="176" t="s">
        <v>71</v>
      </c>
      <c r="F79" s="176" t="str">
        <f>CONCATENATE(" Volume for ",$E$11," samples")</f>
        <v xml:space="preserve"> Volume for  samples</v>
      </c>
      <c r="I79"/>
      <c r="J79"/>
      <c r="K79"/>
      <c r="L79"/>
      <c r="M79"/>
      <c r="N79"/>
      <c r="O79"/>
      <c r="P79"/>
    </row>
    <row r="80" spans="1:16" ht="26.1" customHeight="1" thickBot="1">
      <c r="A80" s="150"/>
      <c r="B80" s="151" t="s">
        <v>245</v>
      </c>
      <c r="C80" s="186"/>
      <c r="D80" s="133" t="s">
        <v>340</v>
      </c>
      <c r="E80" s="155">
        <v>40</v>
      </c>
      <c r="F80" s="156">
        <f>E80*$E$11*1.1</f>
        <v>0</v>
      </c>
      <c r="G80" s="143" t="s">
        <v>73</v>
      </c>
      <c r="I80"/>
      <c r="J80"/>
      <c r="K80"/>
      <c r="L80"/>
      <c r="M80"/>
      <c r="N80"/>
      <c r="O80"/>
      <c r="P80"/>
    </row>
    <row r="81" spans="1:16" ht="26.1" customHeight="1">
      <c r="A81" s="149"/>
      <c r="B81" s="151"/>
      <c r="C81" s="186"/>
      <c r="D81" s="133" t="s">
        <v>246</v>
      </c>
      <c r="E81" s="156">
        <v>10</v>
      </c>
      <c r="F81" s="156">
        <f>E81*$E$11*1.1</f>
        <v>0</v>
      </c>
      <c r="G81" s="143" t="s">
        <v>73</v>
      </c>
      <c r="I81"/>
      <c r="J81"/>
      <c r="K81"/>
      <c r="L81"/>
      <c r="M81"/>
      <c r="N81"/>
      <c r="O81"/>
      <c r="P81"/>
    </row>
    <row r="82" spans="1:16" ht="26.25" customHeight="1" thickBot="1">
      <c r="A82"/>
      <c r="B82"/>
      <c r="C82"/>
      <c r="D82"/>
      <c r="E82" s="172">
        <f>SUM(E80:E81)</f>
        <v>50</v>
      </c>
      <c r="F82" s="172">
        <f>SUM(F80:F81)</f>
        <v>0</v>
      </c>
      <c r="G82" s="167" t="s">
        <v>73</v>
      </c>
      <c r="H82" s="179" t="s">
        <v>75</v>
      </c>
    </row>
    <row r="83" spans="1:16" ht="20.45" customHeight="1" thickBot="1">
      <c r="A83" s="150"/>
      <c r="B83" s="96" t="s">
        <v>83</v>
      </c>
      <c r="C83"/>
      <c r="D83" s="94" t="s">
        <v>247</v>
      </c>
      <c r="G83" s="146"/>
      <c r="H83" s="179"/>
    </row>
    <row r="84" spans="1:16" ht="20.45" customHeight="1" thickBot="1">
      <c r="A84"/>
      <c r="B84"/>
      <c r="C84"/>
      <c r="D84" s="94" t="s">
        <v>238</v>
      </c>
      <c r="G84" s="146"/>
      <c r="H84" s="179"/>
    </row>
    <row r="85" spans="1:16" ht="24.95" customHeight="1" thickBot="1">
      <c r="A85" s="150"/>
      <c r="B85" s="96" t="s">
        <v>248</v>
      </c>
      <c r="C85"/>
      <c r="D85"/>
      <c r="E85"/>
      <c r="F85"/>
      <c r="G85"/>
      <c r="H85"/>
      <c r="I85"/>
      <c r="J85"/>
    </row>
    <row r="86" spans="1:16" ht="24.95" customHeight="1" thickBot="1">
      <c r="A86" s="150"/>
      <c r="B86" s="96" t="s">
        <v>249</v>
      </c>
      <c r="C86"/>
      <c r="D86"/>
      <c r="E86"/>
      <c r="F86"/>
      <c r="G86"/>
      <c r="H86"/>
      <c r="I86"/>
      <c r="J86"/>
    </row>
    <row r="87" spans="1:16" ht="24.95" customHeight="1" thickBot="1">
      <c r="A87" s="150"/>
      <c r="B87" s="96" t="str">
        <f>CONCATENATE("Add 20 µL of indexes of the plate ", L3)</f>
        <v>Add 20 µL of indexes of the plate TT Set A</v>
      </c>
      <c r="C87"/>
      <c r="D87"/>
      <c r="E87"/>
      <c r="F87"/>
      <c r="G87"/>
      <c r="H87"/>
      <c r="I87"/>
      <c r="J87"/>
    </row>
    <row r="88" spans="1:16" ht="24.95" customHeight="1" thickBot="1">
      <c r="A88" s="188"/>
      <c r="B88" s="179" t="s">
        <v>89</v>
      </c>
      <c r="G88" s="141" t="s">
        <v>90</v>
      </c>
      <c r="H88" s="185"/>
    </row>
    <row r="89" spans="1:16" ht="24.95" customHeight="1">
      <c r="A89" s="149"/>
      <c r="B89" s="189"/>
      <c r="C89" s="104">
        <v>1</v>
      </c>
      <c r="D89" s="104">
        <v>2</v>
      </c>
      <c r="E89" s="104">
        <v>3</v>
      </c>
      <c r="F89" s="104">
        <v>4</v>
      </c>
      <c r="G89" s="104">
        <v>5</v>
      </c>
      <c r="H89" s="104">
        <v>6</v>
      </c>
      <c r="I89" s="104">
        <v>7</v>
      </c>
      <c r="J89" s="104">
        <v>8</v>
      </c>
      <c r="K89" s="104">
        <v>9</v>
      </c>
      <c r="L89" s="104">
        <v>10</v>
      </c>
      <c r="M89" s="104">
        <v>11</v>
      </c>
      <c r="N89" s="104">
        <v>12</v>
      </c>
    </row>
    <row r="90" spans="1:16" ht="24.95" customHeight="1">
      <c r="A90" s="149"/>
      <c r="B90" s="105" t="s">
        <v>91</v>
      </c>
      <c r="C90" s="106" t="str">
        <f>IF(ISNUMBER(#REF!),#REF!, " ")</f>
        <v xml:space="preserve"> </v>
      </c>
      <c r="D90" s="106" t="str">
        <f>IF(ISNUMBER(#REF!),#REF!, " ")</f>
        <v xml:space="preserve"> </v>
      </c>
      <c r="E90" s="106" t="str">
        <f>IF(ISNUMBER(#REF!),#REF!, " ")</f>
        <v xml:space="preserve"> </v>
      </c>
      <c r="F90" s="106" t="str">
        <f>IF(ISNUMBER(#REF!),#REF!, " ")</f>
        <v xml:space="preserve"> </v>
      </c>
      <c r="G90" s="106" t="str">
        <f>IF(ISNUMBER(#REF!),#REF!, " ")</f>
        <v xml:space="preserve"> </v>
      </c>
      <c r="H90" s="106" t="str">
        <f>IF(ISNUMBER(#REF!),#REF!, " ")</f>
        <v xml:space="preserve"> </v>
      </c>
      <c r="I90" s="106" t="str">
        <f>IF(ISNUMBER(#REF!),#REF!, " ")</f>
        <v xml:space="preserve"> </v>
      </c>
      <c r="J90" s="106" t="str">
        <f>IF(ISNUMBER(#REF!),#REF!, " ")</f>
        <v xml:space="preserve"> </v>
      </c>
      <c r="K90" s="106" t="str">
        <f>IF(ISNUMBER(#REF!),#REF!, " ")</f>
        <v xml:space="preserve"> </v>
      </c>
      <c r="L90" s="106" t="str">
        <f>IF(ISNUMBER(#REF!),#REF!, " ")</f>
        <v xml:space="preserve"> </v>
      </c>
      <c r="M90" s="106" t="str">
        <f>IF(ISNUMBER(#REF!),#REF!, " ")</f>
        <v xml:space="preserve"> </v>
      </c>
      <c r="N90" s="106" t="str">
        <f>IF(ISNUMBER(#REF!),#REF!, " ")</f>
        <v xml:space="preserve"> </v>
      </c>
    </row>
    <row r="91" spans="1:16" ht="24.95" customHeight="1">
      <c r="B91" s="105" t="s">
        <v>92</v>
      </c>
      <c r="C91" s="106"/>
      <c r="D91" s="106"/>
      <c r="E91" s="106" t="str">
        <f>IF(ISNUMBER(#REF!),#REF!, " ")</f>
        <v xml:space="preserve"> </v>
      </c>
      <c r="F91" s="106" t="str">
        <f>IF(ISNUMBER(#REF!),#REF!, " ")</f>
        <v xml:space="preserve"> </v>
      </c>
      <c r="G91" s="106" t="str">
        <f>IF(ISNUMBER(#REF!),#REF!, " ")</f>
        <v xml:space="preserve"> </v>
      </c>
      <c r="H91" s="106" t="str">
        <f>IF(ISNUMBER(#REF!),#REF!, " ")</f>
        <v xml:space="preserve"> </v>
      </c>
      <c r="I91" s="106" t="str">
        <f>IF(ISNUMBER(#REF!),#REF!, " ")</f>
        <v xml:space="preserve"> </v>
      </c>
      <c r="J91" s="106" t="str">
        <f>IF(ISNUMBER(#REF!),#REF!, " ")</f>
        <v xml:space="preserve"> </v>
      </c>
      <c r="K91" s="106" t="str">
        <f>IF(ISNUMBER(#REF!),#REF!, " ")</f>
        <v xml:space="preserve"> </v>
      </c>
      <c r="L91" s="106" t="str">
        <f>IF(ISNUMBER(#REF!),#REF!, " ")</f>
        <v xml:space="preserve"> </v>
      </c>
      <c r="M91" s="106" t="str">
        <f>IF(ISNUMBER(#REF!),#REF!, " ")</f>
        <v xml:space="preserve"> </v>
      </c>
      <c r="N91" s="106" t="str">
        <f>IF(ISNUMBER(#REF!),#REF!, " ")</f>
        <v xml:space="preserve"> </v>
      </c>
    </row>
    <row r="92" spans="1:16" ht="24.95" customHeight="1">
      <c r="B92" s="105" t="s">
        <v>93</v>
      </c>
      <c r="C92" s="106" t="str">
        <f>IF(ISNUMBER(#REF!),#REF!, " ")</f>
        <v xml:space="preserve"> </v>
      </c>
      <c r="D92" s="106" t="str">
        <f>IF(ISNUMBER(#REF!),#REF!, " ")</f>
        <v xml:space="preserve"> </v>
      </c>
      <c r="E92" s="106" t="str">
        <f>IF(ISNUMBER(#REF!),#REF!, " ")</f>
        <v xml:space="preserve"> </v>
      </c>
      <c r="F92" s="106" t="str">
        <f>IF(ISNUMBER(#REF!),#REF!, " ")</f>
        <v xml:space="preserve"> </v>
      </c>
      <c r="G92" s="106" t="str">
        <f>IF(ISNUMBER(#REF!),#REF!, " ")</f>
        <v xml:space="preserve"> </v>
      </c>
      <c r="H92" s="106" t="str">
        <f>IF(ISNUMBER(#REF!),#REF!, " ")</f>
        <v xml:space="preserve"> </v>
      </c>
      <c r="I92" s="106" t="str">
        <f>IF(ISNUMBER(#REF!),#REF!, " ")</f>
        <v xml:space="preserve"> </v>
      </c>
      <c r="J92" s="106" t="str">
        <f>IF(ISNUMBER(#REF!),#REF!, " ")</f>
        <v xml:space="preserve"> </v>
      </c>
      <c r="K92" s="106" t="str">
        <f>IF(ISNUMBER(#REF!),#REF!, " ")</f>
        <v xml:space="preserve"> </v>
      </c>
      <c r="L92" s="106" t="str">
        <f>IF(ISNUMBER(#REF!),#REF!, " ")</f>
        <v xml:space="preserve"> </v>
      </c>
      <c r="M92" s="106" t="str">
        <f>IF(ISNUMBER(#REF!),#REF!, " ")</f>
        <v xml:space="preserve"> </v>
      </c>
      <c r="N92" s="106" t="str">
        <f>IF(ISNUMBER(#REF!),#REF!, " ")</f>
        <v xml:space="preserve"> </v>
      </c>
    </row>
    <row r="93" spans="1:16" ht="24.95" customHeight="1">
      <c r="B93" s="105" t="s">
        <v>94</v>
      </c>
      <c r="C93" s="106" t="str">
        <f>IF(ISNUMBER(#REF!),#REF!, " ")</f>
        <v xml:space="preserve"> </v>
      </c>
      <c r="D93" s="106" t="str">
        <f>IF(ISNUMBER(#REF!),#REF!, " ")</f>
        <v xml:space="preserve"> </v>
      </c>
      <c r="E93" s="106" t="str">
        <f>IF(ISNUMBER(#REF!),#REF!, " ")</f>
        <v xml:space="preserve"> </v>
      </c>
      <c r="F93" s="106" t="str">
        <f>IF(ISNUMBER(#REF!),#REF!, " ")</f>
        <v xml:space="preserve"> </v>
      </c>
      <c r="G93" s="106" t="str">
        <f>IF(ISNUMBER(#REF!),#REF!, " ")</f>
        <v xml:space="preserve"> </v>
      </c>
      <c r="H93" s="106" t="str">
        <f>IF(ISNUMBER(#REF!),#REF!, " ")</f>
        <v xml:space="preserve"> </v>
      </c>
      <c r="I93" s="106" t="str">
        <f>IF(ISNUMBER(#REF!),#REF!, " ")</f>
        <v xml:space="preserve"> </v>
      </c>
      <c r="J93" s="106" t="str">
        <f>IF(ISNUMBER(#REF!),#REF!, " ")</f>
        <v xml:space="preserve"> </v>
      </c>
      <c r="K93" s="106" t="str">
        <f>IF(ISNUMBER(#REF!),#REF!, " ")</f>
        <v xml:space="preserve"> </v>
      </c>
      <c r="L93" s="106" t="str">
        <f>IF(ISNUMBER(#REF!),#REF!, " ")</f>
        <v xml:space="preserve"> </v>
      </c>
      <c r="M93" s="106" t="str">
        <f>IF(ISNUMBER(#REF!),#REF!, " ")</f>
        <v xml:space="preserve"> </v>
      </c>
      <c r="N93" s="106" t="str">
        <f>IF(ISNUMBER(#REF!),#REF!, " ")</f>
        <v xml:space="preserve"> </v>
      </c>
    </row>
    <row r="94" spans="1:16" ht="24.95" customHeight="1">
      <c r="B94" s="105" t="s">
        <v>95</v>
      </c>
      <c r="C94" s="106" t="str">
        <f>IF(ISNUMBER(#REF!),#REF!, " ")</f>
        <v xml:space="preserve"> </v>
      </c>
      <c r="D94" s="106" t="str">
        <f>IF(ISNUMBER(#REF!),#REF!, " ")</f>
        <v xml:space="preserve"> </v>
      </c>
      <c r="E94" s="106" t="str">
        <f>IF(ISNUMBER(#REF!),#REF!, " ")</f>
        <v xml:space="preserve"> </v>
      </c>
      <c r="F94" s="106" t="str">
        <f>IF(ISNUMBER(#REF!),#REF!, " ")</f>
        <v xml:space="preserve"> </v>
      </c>
      <c r="G94" s="106" t="str">
        <f>IF(ISNUMBER(#REF!),#REF!, " ")</f>
        <v xml:space="preserve"> </v>
      </c>
      <c r="H94" s="106" t="str">
        <f>IF(ISNUMBER(#REF!),#REF!, " ")</f>
        <v xml:space="preserve"> </v>
      </c>
      <c r="I94" s="106" t="str">
        <f>IF(ISNUMBER(#REF!),#REF!, " ")</f>
        <v xml:space="preserve"> </v>
      </c>
      <c r="J94" s="106" t="str">
        <f>IF(ISNUMBER(#REF!),#REF!, " ")</f>
        <v xml:space="preserve"> </v>
      </c>
      <c r="K94" s="106" t="str">
        <f>IF(ISNUMBER(#REF!),#REF!, " ")</f>
        <v xml:space="preserve"> </v>
      </c>
      <c r="L94" s="106" t="str">
        <f>IF(ISNUMBER(#REF!),#REF!, " ")</f>
        <v xml:space="preserve"> </v>
      </c>
      <c r="M94" s="106" t="str">
        <f>IF(ISNUMBER(#REF!),#REF!, " ")</f>
        <v xml:space="preserve"> </v>
      </c>
      <c r="N94" s="106" t="str">
        <f>IF(ISNUMBER(#REF!),#REF!, " ")</f>
        <v xml:space="preserve"> </v>
      </c>
    </row>
    <row r="95" spans="1:16" ht="24.95" customHeight="1">
      <c r="B95" s="105" t="s">
        <v>96</v>
      </c>
      <c r="C95" s="106" t="str">
        <f>IF(ISNUMBER(#REF!),#REF!, " ")</f>
        <v xml:space="preserve"> </v>
      </c>
      <c r="D95" s="106" t="str">
        <f>IF(ISNUMBER(#REF!),#REF!, " ")</f>
        <v xml:space="preserve"> </v>
      </c>
      <c r="E95" s="106" t="str">
        <f>IF(ISNUMBER(#REF!),#REF!, " ")</f>
        <v xml:space="preserve"> </v>
      </c>
      <c r="F95" s="106" t="str">
        <f>IF(ISNUMBER(#REF!),#REF!, " ")</f>
        <v xml:space="preserve"> </v>
      </c>
      <c r="G95" s="106" t="str">
        <f>IF(ISNUMBER(#REF!),#REF!, " ")</f>
        <v xml:space="preserve"> </v>
      </c>
      <c r="H95" s="106" t="str">
        <f>IF(ISNUMBER(#REF!),#REF!, " ")</f>
        <v xml:space="preserve"> </v>
      </c>
      <c r="I95" s="106" t="str">
        <f>IF(ISNUMBER(#REF!),#REF!, " ")</f>
        <v xml:space="preserve"> </v>
      </c>
      <c r="J95" s="106" t="str">
        <f>IF(ISNUMBER(#REF!),#REF!, " ")</f>
        <v xml:space="preserve"> </v>
      </c>
      <c r="K95" s="106" t="str">
        <f>IF(ISNUMBER(#REF!),#REF!, " ")</f>
        <v xml:space="preserve"> </v>
      </c>
      <c r="L95" s="106" t="str">
        <f>IF(ISNUMBER(#REF!),#REF!, " ")</f>
        <v xml:space="preserve"> </v>
      </c>
      <c r="M95" s="106" t="str">
        <f>IF(ISNUMBER(#REF!),#REF!, " ")</f>
        <v xml:space="preserve"> </v>
      </c>
      <c r="N95" s="106" t="str">
        <f>IF(ISNUMBER(#REF!),#REF!, " ")</f>
        <v xml:space="preserve"> </v>
      </c>
    </row>
    <row r="96" spans="1:16" ht="24.95" customHeight="1">
      <c r="B96" s="105" t="s">
        <v>97</v>
      </c>
      <c r="C96" s="106" t="str">
        <f>IF(ISNUMBER(#REF!),#REF!, " ")</f>
        <v xml:space="preserve"> </v>
      </c>
      <c r="D96" s="106" t="str">
        <f>IF(ISNUMBER(#REF!),#REF!, " ")</f>
        <v xml:space="preserve"> </v>
      </c>
      <c r="E96" s="106" t="str">
        <f>IF(ISNUMBER(#REF!),#REF!, " ")</f>
        <v xml:space="preserve"> </v>
      </c>
      <c r="F96" s="106" t="str">
        <f>IF(ISNUMBER(#REF!),#REF!, " ")</f>
        <v xml:space="preserve"> </v>
      </c>
      <c r="G96" s="106" t="str">
        <f>IF(ISNUMBER(#REF!),#REF!, " ")</f>
        <v xml:space="preserve"> </v>
      </c>
      <c r="H96" s="106" t="str">
        <f>IF(ISNUMBER(#REF!),#REF!, " ")</f>
        <v xml:space="preserve"> </v>
      </c>
      <c r="I96" s="106" t="str">
        <f>IF(ISNUMBER(#REF!),#REF!, " ")</f>
        <v xml:space="preserve"> </v>
      </c>
      <c r="J96" s="106" t="str">
        <f>IF(ISNUMBER(#REF!),#REF!, " ")</f>
        <v xml:space="preserve"> </v>
      </c>
      <c r="K96" s="106" t="str">
        <f>IF(ISNUMBER(#REF!),#REF!, " ")</f>
        <v xml:space="preserve"> </v>
      </c>
      <c r="L96" s="106" t="str">
        <f>IF(ISNUMBER(#REF!),#REF!, " ")</f>
        <v xml:space="preserve"> </v>
      </c>
      <c r="M96" s="106" t="str">
        <f>IF(ISNUMBER(#REF!),#REF!, " ")</f>
        <v xml:space="preserve"> </v>
      </c>
      <c r="N96" s="106" t="str">
        <f>IF(ISNUMBER(#REF!),#REF!, " ")</f>
        <v xml:space="preserve"> </v>
      </c>
    </row>
    <row r="97" spans="1:14" ht="24.95" customHeight="1" thickBot="1">
      <c r="B97" s="105" t="s">
        <v>98</v>
      </c>
      <c r="C97" s="106" t="str">
        <f>IF(ISNUMBER(#REF!),#REF!, " ")</f>
        <v xml:space="preserve"> </v>
      </c>
      <c r="D97" s="106" t="str">
        <f>IF(ISNUMBER(#REF!),#REF!, " ")</f>
        <v xml:space="preserve"> </v>
      </c>
      <c r="E97" s="106" t="str">
        <f>IF(ISNUMBER(#REF!),#REF!, " ")</f>
        <v xml:space="preserve"> </v>
      </c>
      <c r="F97" s="106" t="str">
        <f>IF(ISNUMBER(#REF!),#REF!, " ")</f>
        <v xml:space="preserve"> </v>
      </c>
      <c r="G97" s="106" t="str">
        <f>IF(ISNUMBER(#REF!),#REF!, " ")</f>
        <v xml:space="preserve"> </v>
      </c>
      <c r="H97" s="106" t="str">
        <f>IF(ISNUMBER(#REF!),#REF!, " ")</f>
        <v xml:space="preserve"> </v>
      </c>
      <c r="I97" s="106" t="str">
        <f>IF(ISNUMBER(#REF!),#REF!, " ")</f>
        <v xml:space="preserve"> </v>
      </c>
      <c r="J97" s="106" t="str">
        <f>IF(ISNUMBER(#REF!),#REF!, " ")</f>
        <v xml:space="preserve"> </v>
      </c>
      <c r="K97" s="106" t="str">
        <f>IF(ISNUMBER(#REF!),#REF!, " ")</f>
        <v xml:space="preserve"> </v>
      </c>
      <c r="L97" s="106" t="str">
        <f>IF(ISNUMBER(#REF!),#REF!, " ")</f>
        <v xml:space="preserve"> </v>
      </c>
      <c r="M97" s="106" t="str">
        <f>IF(ISNUMBER(#REF!),#REF!, " ")</f>
        <v xml:space="preserve"> </v>
      </c>
      <c r="N97" s="106" t="str">
        <f>IF(ISNUMBER(#REF!),#REF!, " ")</f>
        <v xml:space="preserve"> </v>
      </c>
    </row>
    <row r="98" spans="1:14" ht="24.95" customHeight="1" thickBot="1">
      <c r="A98" s="150"/>
      <c r="B98" s="96" t="s">
        <v>83</v>
      </c>
      <c r="C98"/>
      <c r="D98" s="190" t="s">
        <v>99</v>
      </c>
      <c r="E98"/>
      <c r="F98"/>
      <c r="G98" s="142" t="s">
        <v>88</v>
      </c>
      <c r="H98" s="185"/>
      <c r="I98"/>
      <c r="J98"/>
    </row>
    <row r="99" spans="1:14" ht="24.95" customHeight="1">
      <c r="A99"/>
      <c r="B99"/>
      <c r="C99"/>
      <c r="D99" s="191" t="s">
        <v>100</v>
      </c>
      <c r="E99" s="348" t="str">
        <f>IF($H$98&gt;0,CONCATENATE($H$98," cycles"),"___cycles")</f>
        <v>___cycles</v>
      </c>
      <c r="F99"/>
      <c r="G99"/>
      <c r="H99"/>
      <c r="I99"/>
      <c r="J99"/>
    </row>
    <row r="100" spans="1:14" ht="24.95" customHeight="1">
      <c r="A100"/>
      <c r="B100"/>
      <c r="C100"/>
      <c r="D100" s="191" t="s">
        <v>101</v>
      </c>
      <c r="E100" s="349"/>
      <c r="F100"/>
      <c r="G100"/>
      <c r="H100"/>
      <c r="I100"/>
      <c r="J100"/>
    </row>
    <row r="101" spans="1:14" ht="24.95" customHeight="1">
      <c r="A101"/>
      <c r="B101"/>
      <c r="C101"/>
      <c r="D101" s="191" t="s">
        <v>102</v>
      </c>
      <c r="E101" s="350"/>
      <c r="F101"/>
      <c r="G101"/>
      <c r="H101"/>
      <c r="I101"/>
      <c r="J101"/>
    </row>
    <row r="102" spans="1:14" ht="24.95" customHeight="1">
      <c r="A102"/>
      <c r="B102"/>
      <c r="C102"/>
      <c r="D102" s="190" t="s">
        <v>87</v>
      </c>
      <c r="E102"/>
      <c r="F102"/>
      <c r="G102"/>
      <c r="H102"/>
      <c r="I102"/>
      <c r="J102"/>
    </row>
    <row r="103" spans="1:14" ht="24.95" customHeight="1" thickBot="1">
      <c r="A103"/>
      <c r="B103"/>
      <c r="C103"/>
      <c r="D103" s="190" t="s">
        <v>238</v>
      </c>
      <c r="E103"/>
      <c r="F103"/>
      <c r="G103"/>
      <c r="H103"/>
      <c r="I103"/>
      <c r="J103"/>
    </row>
    <row r="104" spans="1:14" ht="24.95" customHeight="1" thickBot="1">
      <c r="A104" s="150"/>
      <c r="B104" s="386" t="s">
        <v>250</v>
      </c>
      <c r="C104" s="387"/>
      <c r="D104" s="387"/>
      <c r="E104" s="387"/>
      <c r="F104" s="387"/>
      <c r="G104" s="387"/>
      <c r="H104" s="387"/>
      <c r="I104" s="387"/>
      <c r="J104"/>
      <c r="K104" s="103" t="s">
        <v>243</v>
      </c>
    </row>
    <row r="105" spans="1:14" ht="12" customHeight="1" thickBot="1">
      <c r="A105"/>
      <c r="B105" s="387"/>
      <c r="C105" s="387"/>
      <c r="D105" s="387"/>
      <c r="E105" s="387"/>
      <c r="F105" s="387"/>
      <c r="G105" s="387"/>
      <c r="H105" s="387"/>
      <c r="I105" s="387"/>
      <c r="J105"/>
      <c r="K105" s="103"/>
    </row>
    <row r="106" spans="1:14" ht="24.95" customHeight="1" thickBot="1">
      <c r="A106" s="150"/>
      <c r="B106" s="96" t="s">
        <v>251</v>
      </c>
      <c r="C106"/>
      <c r="D106"/>
      <c r="E106"/>
      <c r="F106"/>
      <c r="G106"/>
      <c r="H106"/>
      <c r="I106"/>
      <c r="J106"/>
    </row>
    <row r="107" spans="1:14" ht="26.25" customHeight="1" thickBot="1">
      <c r="A107" s="188"/>
      <c r="B107" s="354" t="s">
        <v>252</v>
      </c>
      <c r="C107" s="355"/>
      <c r="D107" s="355"/>
      <c r="E107" s="355"/>
      <c r="F107" s="355"/>
      <c r="G107" s="355"/>
      <c r="H107" s="355"/>
      <c r="I107" s="355"/>
      <c r="J107" s="355"/>
      <c r="K107" s="355"/>
      <c r="L107" s="355"/>
      <c r="M107" s="356"/>
    </row>
    <row r="108" spans="1:14" ht="26.25" customHeight="1" thickBot="1">
      <c r="A108" s="175"/>
      <c r="B108" s="96" t="s">
        <v>253</v>
      </c>
      <c r="C108" s="151"/>
      <c r="E108" s="192"/>
      <c r="G108" s="192"/>
    </row>
    <row r="109" spans="1:14" ht="26.25" customHeight="1" thickBot="1">
      <c r="A109" s="175"/>
      <c r="B109" s="151" t="s">
        <v>254</v>
      </c>
      <c r="C109"/>
      <c r="D109"/>
      <c r="E109"/>
    </row>
    <row r="110" spans="1:14" ht="26.25" customHeight="1">
      <c r="A110" s="179"/>
      <c r="C110" s="96" t="s">
        <v>110</v>
      </c>
      <c r="D110" s="96"/>
      <c r="E110" s="96"/>
      <c r="F110" s="96" t="s">
        <v>255</v>
      </c>
      <c r="G110" s="151"/>
    </row>
    <row r="111" spans="1:14" ht="26.25" customHeight="1">
      <c r="A111" s="179"/>
      <c r="C111" s="283" t="s">
        <v>111</v>
      </c>
      <c r="D111" s="283"/>
      <c r="E111" s="283"/>
      <c r="F111" s="283"/>
      <c r="G111" s="283"/>
      <c r="H111" s="283"/>
      <c r="I111" s="283"/>
      <c r="J111" s="283"/>
      <c r="K111" s="372" t="s">
        <v>112</v>
      </c>
      <c r="L111" s="372"/>
    </row>
    <row r="112" spans="1:14" ht="26.25" customHeight="1">
      <c r="A112" s="179"/>
      <c r="C112" s="283" t="s">
        <v>256</v>
      </c>
      <c r="D112" s="283"/>
      <c r="E112" s="283"/>
      <c r="F112" s="283"/>
      <c r="G112" s="283"/>
      <c r="H112" s="283"/>
      <c r="I112" s="283"/>
      <c r="J112" s="283"/>
      <c r="K112" s="372" t="s">
        <v>160</v>
      </c>
      <c r="L112" s="372"/>
    </row>
    <row r="113" spans="1:12" ht="26.25" customHeight="1">
      <c r="A113" s="179"/>
      <c r="C113" s="382" t="s">
        <v>505</v>
      </c>
      <c r="D113" s="283"/>
      <c r="E113" s="283"/>
      <c r="F113" s="283"/>
      <c r="G113" s="283"/>
      <c r="H113" s="283"/>
      <c r="I113" s="283"/>
      <c r="J113" s="283"/>
      <c r="K113" s="282" t="s">
        <v>506</v>
      </c>
      <c r="L113" s="372"/>
    </row>
    <row r="114" spans="1:12" customFormat="1" ht="25.5" customHeight="1">
      <c r="C114" s="283" t="s">
        <v>507</v>
      </c>
      <c r="D114" s="283"/>
      <c r="E114" s="283"/>
      <c r="F114" s="283"/>
      <c r="G114" s="283"/>
      <c r="H114" s="283"/>
      <c r="I114" s="283"/>
      <c r="J114" s="283"/>
      <c r="K114" s="282" t="s">
        <v>508</v>
      </c>
      <c r="L114" s="372"/>
    </row>
    <row r="115" spans="1:12" customFormat="1" ht="26.25" customHeight="1">
      <c r="C115" s="283" t="s">
        <v>509</v>
      </c>
      <c r="D115" s="283"/>
      <c r="E115" s="283"/>
      <c r="F115" s="283"/>
      <c r="G115" s="283"/>
      <c r="H115" s="283"/>
      <c r="I115" s="283"/>
      <c r="J115" s="283"/>
      <c r="K115" s="282" t="s">
        <v>510</v>
      </c>
      <c r="L115" s="372"/>
    </row>
    <row r="116" spans="1:12" customFormat="1" ht="26.25" customHeight="1">
      <c r="C116" s="283" t="s">
        <v>512</v>
      </c>
      <c r="D116" s="283"/>
      <c r="E116" s="283"/>
      <c r="F116" s="283"/>
      <c r="G116" s="283"/>
      <c r="H116" s="283"/>
      <c r="I116" s="283"/>
      <c r="J116" s="283"/>
      <c r="K116" s="282" t="s">
        <v>511</v>
      </c>
      <c r="L116" s="372"/>
    </row>
    <row r="117" spans="1:12" customFormat="1" ht="31.5" customHeight="1"/>
    <row r="120" spans="1:12" ht="26.25" customHeight="1">
      <c r="C120" s="395" t="s">
        <v>113</v>
      </c>
      <c r="D120" s="395"/>
      <c r="E120" s="395"/>
      <c r="F120" s="396" t="s">
        <v>517</v>
      </c>
      <c r="G120" s="397"/>
      <c r="H120" s="397"/>
      <c r="I120" s="398"/>
    </row>
    <row r="121" spans="1:12" ht="26.25" customHeight="1">
      <c r="C121" s="399" t="s">
        <v>114</v>
      </c>
      <c r="D121" s="399"/>
      <c r="E121" s="399"/>
      <c r="F121" s="396" t="s">
        <v>115</v>
      </c>
      <c r="G121" s="397"/>
      <c r="H121" s="397"/>
      <c r="I121" s="398"/>
    </row>
    <row r="122" spans="1:12" ht="26.25" customHeight="1">
      <c r="C122" s="399" t="s">
        <v>116</v>
      </c>
      <c r="D122" s="399"/>
      <c r="E122" s="399"/>
      <c r="F122" s="396" t="s">
        <v>117</v>
      </c>
      <c r="G122" s="397"/>
      <c r="H122" s="397"/>
      <c r="I122" s="398"/>
    </row>
    <row r="123" spans="1:12" ht="44.25" customHeight="1">
      <c r="C123" s="396" t="s">
        <v>118</v>
      </c>
      <c r="D123" s="397"/>
      <c r="E123" s="398"/>
      <c r="F123" s="396" t="s">
        <v>503</v>
      </c>
      <c r="G123" s="397"/>
      <c r="H123" s="397"/>
      <c r="I123" s="398"/>
    </row>
    <row r="124" spans="1:12" ht="26.25" customHeight="1">
      <c r="C124" s="396" t="s">
        <v>119</v>
      </c>
      <c r="D124" s="397"/>
      <c r="E124" s="398"/>
      <c r="F124" s="396" t="s">
        <v>120</v>
      </c>
      <c r="G124" s="397"/>
      <c r="H124" s="397"/>
      <c r="I124" s="398"/>
    </row>
    <row r="125" spans="1:12" ht="26.25" customHeight="1">
      <c r="C125" s="396" t="s">
        <v>121</v>
      </c>
      <c r="D125" s="397"/>
      <c r="E125" s="398"/>
      <c r="F125" s="396"/>
      <c r="G125" s="397"/>
      <c r="H125" s="397"/>
      <c r="I125" s="398"/>
    </row>
    <row r="126" spans="1:12" ht="26.25" customHeight="1">
      <c r="C126" s="396" t="s">
        <v>122</v>
      </c>
      <c r="D126" s="397"/>
      <c r="E126" s="398"/>
      <c r="F126" s="400"/>
      <c r="G126" s="397"/>
      <c r="H126" s="397"/>
      <c r="I126" s="398"/>
    </row>
    <row r="127" spans="1:12" ht="26.25" customHeight="1">
      <c r="C127" s="396" t="s">
        <v>123</v>
      </c>
      <c r="D127" s="397"/>
      <c r="E127" s="398"/>
      <c r="F127" s="401">
        <v>20260615</v>
      </c>
      <c r="G127" s="402"/>
      <c r="H127" s="402"/>
      <c r="I127" s="403"/>
    </row>
  </sheetData>
  <mergeCells count="79">
    <mergeCell ref="C126:E126"/>
    <mergeCell ref="F126:I126"/>
    <mergeCell ref="C127:E127"/>
    <mergeCell ref="F127:I127"/>
    <mergeCell ref="C123:E123"/>
    <mergeCell ref="F123:I123"/>
    <mergeCell ref="C124:E124"/>
    <mergeCell ref="F124:I124"/>
    <mergeCell ref="C125:E125"/>
    <mergeCell ref="F125:I125"/>
    <mergeCell ref="C120:E120"/>
    <mergeCell ref="F120:I120"/>
    <mergeCell ref="C121:E121"/>
    <mergeCell ref="F121:I121"/>
    <mergeCell ref="C122:E122"/>
    <mergeCell ref="F122:I122"/>
    <mergeCell ref="B65:M65"/>
    <mergeCell ref="B76:I77"/>
    <mergeCell ref="E99:E101"/>
    <mergeCell ref="B104:I105"/>
    <mergeCell ref="C49:D49"/>
    <mergeCell ref="C50:D50"/>
    <mergeCell ref="C51:D51"/>
    <mergeCell ref="G55:I55"/>
    <mergeCell ref="G56:I56"/>
    <mergeCell ref="G25:H25"/>
    <mergeCell ref="G26:H26"/>
    <mergeCell ref="B107:M107"/>
    <mergeCell ref="G46:I46"/>
    <mergeCell ref="G28:H28"/>
    <mergeCell ref="G29:H29"/>
    <mergeCell ref="G30:H30"/>
    <mergeCell ref="G31:H31"/>
    <mergeCell ref="G32:H32"/>
    <mergeCell ref="B39:M39"/>
    <mergeCell ref="B42:F42"/>
    <mergeCell ref="G43:I43"/>
    <mergeCell ref="C44:E45"/>
    <mergeCell ref="G44:I44"/>
    <mergeCell ref="G45:I45"/>
    <mergeCell ref="E59:E61"/>
    <mergeCell ref="A5:D5"/>
    <mergeCell ref="E5:G5"/>
    <mergeCell ref="A6:D6"/>
    <mergeCell ref="E6:G6"/>
    <mergeCell ref="A7:D7"/>
    <mergeCell ref="E7:G7"/>
    <mergeCell ref="A4:D4"/>
    <mergeCell ref="E4:G4"/>
    <mergeCell ref="J4:K4"/>
    <mergeCell ref="C1:J1"/>
    <mergeCell ref="A2:D2"/>
    <mergeCell ref="E2:G2"/>
    <mergeCell ref="A3:D3"/>
    <mergeCell ref="E3:G3"/>
    <mergeCell ref="C116:J116"/>
    <mergeCell ref="K116:L116"/>
    <mergeCell ref="C111:J111"/>
    <mergeCell ref="K111:L111"/>
    <mergeCell ref="C112:J112"/>
    <mergeCell ref="K112:L112"/>
    <mergeCell ref="C113:J113"/>
    <mergeCell ref="K113:L113"/>
    <mergeCell ref="I6:K6"/>
    <mergeCell ref="L6:N6"/>
    <mergeCell ref="C114:J114"/>
    <mergeCell ref="K114:L114"/>
    <mergeCell ref="C115:J115"/>
    <mergeCell ref="K115:L115"/>
    <mergeCell ref="G27:H27"/>
    <mergeCell ref="A8:D8"/>
    <mergeCell ref="E8:G8"/>
    <mergeCell ref="A9:D9"/>
    <mergeCell ref="E9:G9"/>
    <mergeCell ref="A10:D10"/>
    <mergeCell ref="E10:G10"/>
    <mergeCell ref="A11:D11"/>
    <mergeCell ref="B12:M12"/>
    <mergeCell ref="G24:H24"/>
  </mergeCells>
  <conditionalFormatting sqref="D16:D19">
    <cfRule type="iconSet" priority="1">
      <iconSet>
        <cfvo type="percent" val="0"/>
        <cfvo type="percent" val="33"/>
        <cfvo type="percent" val="67"/>
      </iconSet>
    </cfRule>
  </conditionalFormatting>
  <pageMargins left="0.7" right="0.7" top="0.75" bottom="0.75" header="0.3" footer="0.3"/>
  <pageSetup paperSize="9" scale="51" fitToHeight="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8433" r:id="rId4" name="Check Box 1">
              <controlPr defaultSize="0" autoFill="0" autoLine="0" autoPict="0">
                <anchor moveWithCells="1">
                  <from>
                    <xdr:col>0</xdr:col>
                    <xdr:colOff>38100</xdr:colOff>
                    <xdr:row>40</xdr:row>
                    <xdr:rowOff>47625</xdr:rowOff>
                  </from>
                  <to>
                    <xdr:col>1</xdr:col>
                    <xdr:colOff>76200</xdr:colOff>
                    <xdr:row>40</xdr:row>
                    <xdr:rowOff>276225</xdr:rowOff>
                  </to>
                </anchor>
              </controlPr>
            </control>
          </mc:Choice>
        </mc:AlternateContent>
        <mc:AlternateContent xmlns:mc="http://schemas.openxmlformats.org/markup-compatibility/2006">
          <mc:Choice Requires="x14">
            <control shapeId="18434" r:id="rId5" name="Check Box 2">
              <controlPr defaultSize="0" autoFill="0" autoLine="0" autoPict="0">
                <anchor moveWithCells="1">
                  <from>
                    <xdr:col>0</xdr:col>
                    <xdr:colOff>38100</xdr:colOff>
                    <xdr:row>39</xdr:row>
                    <xdr:rowOff>47625</xdr:rowOff>
                  </from>
                  <to>
                    <xdr:col>1</xdr:col>
                    <xdr:colOff>76200</xdr:colOff>
                    <xdr:row>39</xdr:row>
                    <xdr:rowOff>276225</xdr:rowOff>
                  </to>
                </anchor>
              </controlPr>
            </control>
          </mc:Choice>
        </mc:AlternateContent>
        <mc:AlternateContent xmlns:mc="http://schemas.openxmlformats.org/markup-compatibility/2006">
          <mc:Choice Requires="x14">
            <control shapeId="18435" r:id="rId6" name="Check Box 3">
              <controlPr defaultSize="0" autoFill="0" autoLine="0" autoPict="0">
                <anchor moveWithCells="1">
                  <from>
                    <xdr:col>0</xdr:col>
                    <xdr:colOff>38100</xdr:colOff>
                    <xdr:row>35</xdr:row>
                    <xdr:rowOff>47625</xdr:rowOff>
                  </from>
                  <to>
                    <xdr:col>1</xdr:col>
                    <xdr:colOff>76200</xdr:colOff>
                    <xdr:row>35</xdr:row>
                    <xdr:rowOff>276225</xdr:rowOff>
                  </to>
                </anchor>
              </controlPr>
            </control>
          </mc:Choice>
        </mc:AlternateContent>
        <mc:AlternateContent xmlns:mc="http://schemas.openxmlformats.org/markup-compatibility/2006">
          <mc:Choice Requires="x14">
            <control shapeId="18436" r:id="rId7" name="Check Box 4">
              <controlPr defaultSize="0" autoFill="0" autoLine="0" autoPict="0">
                <anchor moveWithCells="1">
                  <from>
                    <xdr:col>0</xdr:col>
                    <xdr:colOff>38100</xdr:colOff>
                    <xdr:row>33</xdr:row>
                    <xdr:rowOff>47625</xdr:rowOff>
                  </from>
                  <to>
                    <xdr:col>1</xdr:col>
                    <xdr:colOff>76200</xdr:colOff>
                    <xdr:row>33</xdr:row>
                    <xdr:rowOff>276225</xdr:rowOff>
                  </to>
                </anchor>
              </controlPr>
            </control>
          </mc:Choice>
        </mc:AlternateContent>
        <mc:AlternateContent xmlns:mc="http://schemas.openxmlformats.org/markup-compatibility/2006">
          <mc:Choice Requires="x14">
            <control shapeId="18437" r:id="rId8" name="Check Box 5">
              <controlPr defaultSize="0" autoFill="0" autoLine="0" autoPict="0">
                <anchor moveWithCells="1">
                  <from>
                    <xdr:col>0</xdr:col>
                    <xdr:colOff>38100</xdr:colOff>
                    <xdr:row>32</xdr:row>
                    <xdr:rowOff>47625</xdr:rowOff>
                  </from>
                  <to>
                    <xdr:col>1</xdr:col>
                    <xdr:colOff>76200</xdr:colOff>
                    <xdr:row>32</xdr:row>
                    <xdr:rowOff>276225</xdr:rowOff>
                  </to>
                </anchor>
              </controlPr>
            </control>
          </mc:Choice>
        </mc:AlternateContent>
        <mc:AlternateContent xmlns:mc="http://schemas.openxmlformats.org/markup-compatibility/2006">
          <mc:Choice Requires="x14">
            <control shapeId="18438" r:id="rId9" name="Check Box 6">
              <controlPr defaultSize="0" autoFill="0" autoLine="0" autoPict="0">
                <anchor moveWithCells="1">
                  <from>
                    <xdr:col>0</xdr:col>
                    <xdr:colOff>38100</xdr:colOff>
                    <xdr:row>22</xdr:row>
                    <xdr:rowOff>47625</xdr:rowOff>
                  </from>
                  <to>
                    <xdr:col>1</xdr:col>
                    <xdr:colOff>76200</xdr:colOff>
                    <xdr:row>22</xdr:row>
                    <xdr:rowOff>276225</xdr:rowOff>
                  </to>
                </anchor>
              </controlPr>
            </control>
          </mc:Choice>
        </mc:AlternateContent>
        <mc:AlternateContent xmlns:mc="http://schemas.openxmlformats.org/markup-compatibility/2006">
          <mc:Choice Requires="x14">
            <control shapeId="18439" r:id="rId10" name="Check Box 7">
              <controlPr defaultSize="0" autoFill="0" autoLine="0" autoPict="0">
                <anchor moveWithCells="1">
                  <from>
                    <xdr:col>0</xdr:col>
                    <xdr:colOff>38100</xdr:colOff>
                    <xdr:row>20</xdr:row>
                    <xdr:rowOff>47625</xdr:rowOff>
                  </from>
                  <to>
                    <xdr:col>1</xdr:col>
                    <xdr:colOff>76200</xdr:colOff>
                    <xdr:row>20</xdr:row>
                    <xdr:rowOff>276225</xdr:rowOff>
                  </to>
                </anchor>
              </controlPr>
            </control>
          </mc:Choice>
        </mc:AlternateContent>
        <mc:AlternateContent xmlns:mc="http://schemas.openxmlformats.org/markup-compatibility/2006">
          <mc:Choice Requires="x14">
            <control shapeId="18440" r:id="rId11" name="Check Box 8">
              <controlPr defaultSize="0" autoFill="0" autoLine="0" autoPict="0">
                <anchor moveWithCells="1">
                  <from>
                    <xdr:col>0</xdr:col>
                    <xdr:colOff>38100</xdr:colOff>
                    <xdr:row>15</xdr:row>
                    <xdr:rowOff>47625</xdr:rowOff>
                  </from>
                  <to>
                    <xdr:col>1</xdr:col>
                    <xdr:colOff>76200</xdr:colOff>
                    <xdr:row>15</xdr:row>
                    <xdr:rowOff>276225</xdr:rowOff>
                  </to>
                </anchor>
              </controlPr>
            </control>
          </mc:Choice>
        </mc:AlternateContent>
        <mc:AlternateContent xmlns:mc="http://schemas.openxmlformats.org/markup-compatibility/2006">
          <mc:Choice Requires="x14">
            <control shapeId="18441" r:id="rId12" name="Check Box 9">
              <controlPr defaultSize="0" autoFill="0" autoLine="0" autoPict="0">
                <anchor moveWithCells="1">
                  <from>
                    <xdr:col>0</xdr:col>
                    <xdr:colOff>38100</xdr:colOff>
                    <xdr:row>13</xdr:row>
                    <xdr:rowOff>47625</xdr:rowOff>
                  </from>
                  <to>
                    <xdr:col>1</xdr:col>
                    <xdr:colOff>76200</xdr:colOff>
                    <xdr:row>13</xdr:row>
                    <xdr:rowOff>276225</xdr:rowOff>
                  </to>
                </anchor>
              </controlPr>
            </control>
          </mc:Choice>
        </mc:AlternateContent>
        <mc:AlternateContent xmlns:mc="http://schemas.openxmlformats.org/markup-compatibility/2006">
          <mc:Choice Requires="x14">
            <control shapeId="18442" r:id="rId13" name="Check Box 10">
              <controlPr defaultSize="0" autoFill="0" autoLine="0" autoPict="0">
                <anchor moveWithCells="1">
                  <from>
                    <xdr:col>0</xdr:col>
                    <xdr:colOff>38100</xdr:colOff>
                    <xdr:row>12</xdr:row>
                    <xdr:rowOff>47625</xdr:rowOff>
                  </from>
                  <to>
                    <xdr:col>1</xdr:col>
                    <xdr:colOff>76200</xdr:colOff>
                    <xdr:row>12</xdr:row>
                    <xdr:rowOff>276225</xdr:rowOff>
                  </to>
                </anchor>
              </controlPr>
            </control>
          </mc:Choice>
        </mc:AlternateContent>
        <mc:AlternateContent xmlns:mc="http://schemas.openxmlformats.org/markup-compatibility/2006">
          <mc:Choice Requires="x14">
            <control shapeId="18443" r:id="rId14" name="Check Box 11">
              <controlPr defaultSize="0" autoFill="0" autoLine="0" autoPict="0">
                <anchor moveWithCells="1">
                  <from>
                    <xdr:col>0</xdr:col>
                    <xdr:colOff>38100</xdr:colOff>
                    <xdr:row>36</xdr:row>
                    <xdr:rowOff>47625</xdr:rowOff>
                  </from>
                  <to>
                    <xdr:col>1</xdr:col>
                    <xdr:colOff>76200</xdr:colOff>
                    <xdr:row>36</xdr:row>
                    <xdr:rowOff>276225</xdr:rowOff>
                  </to>
                </anchor>
              </controlPr>
            </control>
          </mc:Choice>
        </mc:AlternateContent>
        <mc:AlternateContent xmlns:mc="http://schemas.openxmlformats.org/markup-compatibility/2006">
          <mc:Choice Requires="x14">
            <control shapeId="18444" r:id="rId15" name="Check Box 12">
              <controlPr defaultSize="0" autoFill="0" autoLine="0" autoPict="0">
                <anchor moveWithCells="1">
                  <from>
                    <xdr:col>0</xdr:col>
                    <xdr:colOff>38100</xdr:colOff>
                    <xdr:row>41</xdr:row>
                    <xdr:rowOff>47625</xdr:rowOff>
                  </from>
                  <to>
                    <xdr:col>1</xdr:col>
                    <xdr:colOff>76200</xdr:colOff>
                    <xdr:row>41</xdr:row>
                    <xdr:rowOff>276225</xdr:rowOff>
                  </to>
                </anchor>
              </controlPr>
            </control>
          </mc:Choice>
        </mc:AlternateContent>
        <mc:AlternateContent xmlns:mc="http://schemas.openxmlformats.org/markup-compatibility/2006">
          <mc:Choice Requires="x14">
            <control shapeId="18445" r:id="rId16" name="Check Box 13">
              <controlPr defaultSize="0" autoFill="0" autoLine="0" autoPict="0">
                <anchor moveWithCells="1">
                  <from>
                    <xdr:col>0</xdr:col>
                    <xdr:colOff>38100</xdr:colOff>
                    <xdr:row>47</xdr:row>
                    <xdr:rowOff>47625</xdr:rowOff>
                  </from>
                  <to>
                    <xdr:col>1</xdr:col>
                    <xdr:colOff>76200</xdr:colOff>
                    <xdr:row>47</xdr:row>
                    <xdr:rowOff>276225</xdr:rowOff>
                  </to>
                </anchor>
              </controlPr>
            </control>
          </mc:Choice>
        </mc:AlternateContent>
        <mc:AlternateContent xmlns:mc="http://schemas.openxmlformats.org/markup-compatibility/2006">
          <mc:Choice Requires="x14">
            <control shapeId="18446" r:id="rId17" name="Check Box 14">
              <controlPr defaultSize="0" autoFill="0" autoLine="0" autoPict="0">
                <anchor moveWithCells="1">
                  <from>
                    <xdr:col>0</xdr:col>
                    <xdr:colOff>38100</xdr:colOff>
                    <xdr:row>52</xdr:row>
                    <xdr:rowOff>47625</xdr:rowOff>
                  </from>
                  <to>
                    <xdr:col>1</xdr:col>
                    <xdr:colOff>76200</xdr:colOff>
                    <xdr:row>52</xdr:row>
                    <xdr:rowOff>276225</xdr:rowOff>
                  </to>
                </anchor>
              </controlPr>
            </control>
          </mc:Choice>
        </mc:AlternateContent>
        <mc:AlternateContent xmlns:mc="http://schemas.openxmlformats.org/markup-compatibility/2006">
          <mc:Choice Requires="x14">
            <control shapeId="18447" r:id="rId18" name="Check Box 15">
              <controlPr defaultSize="0" autoFill="0" autoLine="0" autoPict="0">
                <anchor moveWithCells="1">
                  <from>
                    <xdr:col>0</xdr:col>
                    <xdr:colOff>38100</xdr:colOff>
                    <xdr:row>53</xdr:row>
                    <xdr:rowOff>47625</xdr:rowOff>
                  </from>
                  <to>
                    <xdr:col>1</xdr:col>
                    <xdr:colOff>76200</xdr:colOff>
                    <xdr:row>53</xdr:row>
                    <xdr:rowOff>276225</xdr:rowOff>
                  </to>
                </anchor>
              </controlPr>
            </control>
          </mc:Choice>
        </mc:AlternateContent>
        <mc:AlternateContent xmlns:mc="http://schemas.openxmlformats.org/markup-compatibility/2006">
          <mc:Choice Requires="x14">
            <control shapeId="18448" r:id="rId19" name="Check Box 16">
              <controlPr defaultSize="0" autoFill="0" autoLine="0" autoPict="0">
                <anchor moveWithCells="1">
                  <from>
                    <xdr:col>0</xdr:col>
                    <xdr:colOff>38100</xdr:colOff>
                    <xdr:row>57</xdr:row>
                    <xdr:rowOff>47625</xdr:rowOff>
                  </from>
                  <to>
                    <xdr:col>1</xdr:col>
                    <xdr:colOff>76200</xdr:colOff>
                    <xdr:row>58</xdr:row>
                    <xdr:rowOff>38100</xdr:rowOff>
                  </to>
                </anchor>
              </controlPr>
            </control>
          </mc:Choice>
        </mc:AlternateContent>
        <mc:AlternateContent xmlns:mc="http://schemas.openxmlformats.org/markup-compatibility/2006">
          <mc:Choice Requires="x14">
            <control shapeId="18449" r:id="rId20" name="Check Box 17">
              <controlPr defaultSize="0" autoFill="0" autoLine="0" autoPict="0">
                <anchor moveWithCells="1">
                  <from>
                    <xdr:col>0</xdr:col>
                    <xdr:colOff>38100</xdr:colOff>
                    <xdr:row>63</xdr:row>
                    <xdr:rowOff>47625</xdr:rowOff>
                  </from>
                  <to>
                    <xdr:col>1</xdr:col>
                    <xdr:colOff>76200</xdr:colOff>
                    <xdr:row>63</xdr:row>
                    <xdr:rowOff>276225</xdr:rowOff>
                  </to>
                </anchor>
              </controlPr>
            </control>
          </mc:Choice>
        </mc:AlternateContent>
        <mc:AlternateContent xmlns:mc="http://schemas.openxmlformats.org/markup-compatibility/2006">
          <mc:Choice Requires="x14">
            <control shapeId="18450" r:id="rId21" name="Check Box 18">
              <controlPr defaultSize="0" autoFill="0" autoLine="0" autoPict="0">
                <anchor moveWithCells="1">
                  <from>
                    <xdr:col>0</xdr:col>
                    <xdr:colOff>38100</xdr:colOff>
                    <xdr:row>65</xdr:row>
                    <xdr:rowOff>47625</xdr:rowOff>
                  </from>
                  <to>
                    <xdr:col>1</xdr:col>
                    <xdr:colOff>76200</xdr:colOff>
                    <xdr:row>65</xdr:row>
                    <xdr:rowOff>276225</xdr:rowOff>
                  </to>
                </anchor>
              </controlPr>
            </control>
          </mc:Choice>
        </mc:AlternateContent>
        <mc:AlternateContent xmlns:mc="http://schemas.openxmlformats.org/markup-compatibility/2006">
          <mc:Choice Requires="x14">
            <control shapeId="18451" r:id="rId22" name="Check Box 19">
              <controlPr defaultSize="0" autoFill="0" autoLine="0" autoPict="0">
                <anchor moveWithCells="1">
                  <from>
                    <xdr:col>0</xdr:col>
                    <xdr:colOff>38100</xdr:colOff>
                    <xdr:row>66</xdr:row>
                    <xdr:rowOff>47625</xdr:rowOff>
                  </from>
                  <to>
                    <xdr:col>1</xdr:col>
                    <xdr:colOff>76200</xdr:colOff>
                    <xdr:row>66</xdr:row>
                    <xdr:rowOff>276225</xdr:rowOff>
                  </to>
                </anchor>
              </controlPr>
            </control>
          </mc:Choice>
        </mc:AlternateContent>
        <mc:AlternateContent xmlns:mc="http://schemas.openxmlformats.org/markup-compatibility/2006">
          <mc:Choice Requires="x14">
            <control shapeId="18452" r:id="rId23" name="Check Box 20">
              <controlPr defaultSize="0" autoFill="0" autoLine="0" autoPict="0">
                <anchor moveWithCells="1">
                  <from>
                    <xdr:col>0</xdr:col>
                    <xdr:colOff>38100</xdr:colOff>
                    <xdr:row>68</xdr:row>
                    <xdr:rowOff>47625</xdr:rowOff>
                  </from>
                  <to>
                    <xdr:col>1</xdr:col>
                    <xdr:colOff>76200</xdr:colOff>
                    <xdr:row>68</xdr:row>
                    <xdr:rowOff>276225</xdr:rowOff>
                  </to>
                </anchor>
              </controlPr>
            </control>
          </mc:Choice>
        </mc:AlternateContent>
        <mc:AlternateContent xmlns:mc="http://schemas.openxmlformats.org/markup-compatibility/2006">
          <mc:Choice Requires="x14">
            <control shapeId="18453" r:id="rId24" name="Check Box 21">
              <controlPr defaultSize="0" autoFill="0" autoLine="0" autoPict="0">
                <anchor moveWithCells="1">
                  <from>
                    <xdr:col>0</xdr:col>
                    <xdr:colOff>38100</xdr:colOff>
                    <xdr:row>71</xdr:row>
                    <xdr:rowOff>47625</xdr:rowOff>
                  </from>
                  <to>
                    <xdr:col>1</xdr:col>
                    <xdr:colOff>76200</xdr:colOff>
                    <xdr:row>72</xdr:row>
                    <xdr:rowOff>9525</xdr:rowOff>
                  </to>
                </anchor>
              </controlPr>
            </control>
          </mc:Choice>
        </mc:AlternateContent>
        <mc:AlternateContent xmlns:mc="http://schemas.openxmlformats.org/markup-compatibility/2006">
          <mc:Choice Requires="x14">
            <control shapeId="18454" r:id="rId25" name="Check Box 22">
              <controlPr defaultSize="0" autoFill="0" autoLine="0" autoPict="0">
                <anchor moveWithCells="1">
                  <from>
                    <xdr:col>0</xdr:col>
                    <xdr:colOff>38100</xdr:colOff>
                    <xdr:row>75</xdr:row>
                    <xdr:rowOff>47625</xdr:rowOff>
                  </from>
                  <to>
                    <xdr:col>1</xdr:col>
                    <xdr:colOff>76200</xdr:colOff>
                    <xdr:row>75</xdr:row>
                    <xdr:rowOff>276225</xdr:rowOff>
                  </to>
                </anchor>
              </controlPr>
            </control>
          </mc:Choice>
        </mc:AlternateContent>
        <mc:AlternateContent xmlns:mc="http://schemas.openxmlformats.org/markup-compatibility/2006">
          <mc:Choice Requires="x14">
            <control shapeId="18455" r:id="rId26" name="Check Box 23">
              <controlPr defaultSize="0" autoFill="0" autoLine="0" autoPict="0">
                <anchor moveWithCells="1">
                  <from>
                    <xdr:col>0</xdr:col>
                    <xdr:colOff>38100</xdr:colOff>
                    <xdr:row>77</xdr:row>
                    <xdr:rowOff>47625</xdr:rowOff>
                  </from>
                  <to>
                    <xdr:col>1</xdr:col>
                    <xdr:colOff>76200</xdr:colOff>
                    <xdr:row>77</xdr:row>
                    <xdr:rowOff>276225</xdr:rowOff>
                  </to>
                </anchor>
              </controlPr>
            </control>
          </mc:Choice>
        </mc:AlternateContent>
        <mc:AlternateContent xmlns:mc="http://schemas.openxmlformats.org/markup-compatibility/2006">
          <mc:Choice Requires="x14">
            <control shapeId="18456" r:id="rId27" name="Check Box 24">
              <controlPr defaultSize="0" autoFill="0" autoLine="0" autoPict="0">
                <anchor moveWithCells="1">
                  <from>
                    <xdr:col>0</xdr:col>
                    <xdr:colOff>38100</xdr:colOff>
                    <xdr:row>79</xdr:row>
                    <xdr:rowOff>47625</xdr:rowOff>
                  </from>
                  <to>
                    <xdr:col>1</xdr:col>
                    <xdr:colOff>76200</xdr:colOff>
                    <xdr:row>79</xdr:row>
                    <xdr:rowOff>276225</xdr:rowOff>
                  </to>
                </anchor>
              </controlPr>
            </control>
          </mc:Choice>
        </mc:AlternateContent>
        <mc:AlternateContent xmlns:mc="http://schemas.openxmlformats.org/markup-compatibility/2006">
          <mc:Choice Requires="x14">
            <control shapeId="18457" r:id="rId28" name="Check Box 25">
              <controlPr defaultSize="0" autoFill="0" autoLine="0" autoPict="0">
                <anchor moveWithCells="1">
                  <from>
                    <xdr:col>0</xdr:col>
                    <xdr:colOff>38100</xdr:colOff>
                    <xdr:row>82</xdr:row>
                    <xdr:rowOff>47625</xdr:rowOff>
                  </from>
                  <to>
                    <xdr:col>1</xdr:col>
                    <xdr:colOff>76200</xdr:colOff>
                    <xdr:row>83</xdr:row>
                    <xdr:rowOff>28575</xdr:rowOff>
                  </to>
                </anchor>
              </controlPr>
            </control>
          </mc:Choice>
        </mc:AlternateContent>
        <mc:AlternateContent xmlns:mc="http://schemas.openxmlformats.org/markup-compatibility/2006">
          <mc:Choice Requires="x14">
            <control shapeId="18458" r:id="rId29" name="Check Box 26">
              <controlPr defaultSize="0" autoFill="0" autoLine="0" autoPict="0">
                <anchor moveWithCells="1">
                  <from>
                    <xdr:col>0</xdr:col>
                    <xdr:colOff>38100</xdr:colOff>
                    <xdr:row>84</xdr:row>
                    <xdr:rowOff>47625</xdr:rowOff>
                  </from>
                  <to>
                    <xdr:col>1</xdr:col>
                    <xdr:colOff>76200</xdr:colOff>
                    <xdr:row>84</xdr:row>
                    <xdr:rowOff>276225</xdr:rowOff>
                  </to>
                </anchor>
              </controlPr>
            </control>
          </mc:Choice>
        </mc:AlternateContent>
        <mc:AlternateContent xmlns:mc="http://schemas.openxmlformats.org/markup-compatibility/2006">
          <mc:Choice Requires="x14">
            <control shapeId="18459" r:id="rId30" name="Check Box 27">
              <controlPr defaultSize="0" autoFill="0" autoLine="0" autoPict="0">
                <anchor moveWithCells="1">
                  <from>
                    <xdr:col>0</xdr:col>
                    <xdr:colOff>38100</xdr:colOff>
                    <xdr:row>86</xdr:row>
                    <xdr:rowOff>47625</xdr:rowOff>
                  </from>
                  <to>
                    <xdr:col>1</xdr:col>
                    <xdr:colOff>76200</xdr:colOff>
                    <xdr:row>86</xdr:row>
                    <xdr:rowOff>276225</xdr:rowOff>
                  </to>
                </anchor>
              </controlPr>
            </control>
          </mc:Choice>
        </mc:AlternateContent>
        <mc:AlternateContent xmlns:mc="http://schemas.openxmlformats.org/markup-compatibility/2006">
          <mc:Choice Requires="x14">
            <control shapeId="18460" r:id="rId31" name="Check Box 28">
              <controlPr defaultSize="0" autoFill="0" autoLine="0" autoPict="0">
                <anchor moveWithCells="1">
                  <from>
                    <xdr:col>0</xdr:col>
                    <xdr:colOff>38100</xdr:colOff>
                    <xdr:row>85</xdr:row>
                    <xdr:rowOff>47625</xdr:rowOff>
                  </from>
                  <to>
                    <xdr:col>1</xdr:col>
                    <xdr:colOff>76200</xdr:colOff>
                    <xdr:row>85</xdr:row>
                    <xdr:rowOff>276225</xdr:rowOff>
                  </to>
                </anchor>
              </controlPr>
            </control>
          </mc:Choice>
        </mc:AlternateContent>
        <mc:AlternateContent xmlns:mc="http://schemas.openxmlformats.org/markup-compatibility/2006">
          <mc:Choice Requires="x14">
            <control shapeId="18461" r:id="rId32" name="Check Box 29">
              <controlPr defaultSize="0" autoFill="0" autoLine="0" autoPict="0">
                <anchor moveWithCells="1">
                  <from>
                    <xdr:col>0</xdr:col>
                    <xdr:colOff>38100</xdr:colOff>
                    <xdr:row>97</xdr:row>
                    <xdr:rowOff>47625</xdr:rowOff>
                  </from>
                  <to>
                    <xdr:col>1</xdr:col>
                    <xdr:colOff>76200</xdr:colOff>
                    <xdr:row>97</xdr:row>
                    <xdr:rowOff>276225</xdr:rowOff>
                  </to>
                </anchor>
              </controlPr>
            </control>
          </mc:Choice>
        </mc:AlternateContent>
        <mc:AlternateContent xmlns:mc="http://schemas.openxmlformats.org/markup-compatibility/2006">
          <mc:Choice Requires="x14">
            <control shapeId="18462" r:id="rId33" name="Check Box 30">
              <controlPr defaultSize="0" autoFill="0" autoLine="0" autoPict="0">
                <anchor moveWithCells="1">
                  <from>
                    <xdr:col>0</xdr:col>
                    <xdr:colOff>38100</xdr:colOff>
                    <xdr:row>103</xdr:row>
                    <xdr:rowOff>47625</xdr:rowOff>
                  </from>
                  <to>
                    <xdr:col>1</xdr:col>
                    <xdr:colOff>76200</xdr:colOff>
                    <xdr:row>103</xdr:row>
                    <xdr:rowOff>276225</xdr:rowOff>
                  </to>
                </anchor>
              </controlPr>
            </control>
          </mc:Choice>
        </mc:AlternateContent>
        <mc:AlternateContent xmlns:mc="http://schemas.openxmlformats.org/markup-compatibility/2006">
          <mc:Choice Requires="x14">
            <control shapeId="18463" r:id="rId34" name="Check Box 31">
              <controlPr defaultSize="0" autoFill="0" autoLine="0" autoPict="0">
                <anchor moveWithCells="1">
                  <from>
                    <xdr:col>0</xdr:col>
                    <xdr:colOff>38100</xdr:colOff>
                    <xdr:row>103</xdr:row>
                    <xdr:rowOff>47625</xdr:rowOff>
                  </from>
                  <to>
                    <xdr:col>1</xdr:col>
                    <xdr:colOff>76200</xdr:colOff>
                    <xdr:row>103</xdr:row>
                    <xdr:rowOff>276225</xdr:rowOff>
                  </to>
                </anchor>
              </controlPr>
            </control>
          </mc:Choice>
        </mc:AlternateContent>
        <mc:AlternateContent xmlns:mc="http://schemas.openxmlformats.org/markup-compatibility/2006">
          <mc:Choice Requires="x14">
            <control shapeId="18464" r:id="rId35" name="Check Box 32">
              <controlPr defaultSize="0" autoFill="0" autoLine="0" autoPict="0">
                <anchor moveWithCells="1">
                  <from>
                    <xdr:col>0</xdr:col>
                    <xdr:colOff>38100</xdr:colOff>
                    <xdr:row>105</xdr:row>
                    <xdr:rowOff>47625</xdr:rowOff>
                  </from>
                  <to>
                    <xdr:col>1</xdr:col>
                    <xdr:colOff>76200</xdr:colOff>
                    <xdr:row>105</xdr:row>
                    <xdr:rowOff>276225</xdr:rowOff>
                  </to>
                </anchor>
              </controlPr>
            </control>
          </mc:Choice>
        </mc:AlternateContent>
        <mc:AlternateContent xmlns:mc="http://schemas.openxmlformats.org/markup-compatibility/2006">
          <mc:Choice Requires="x14">
            <control shapeId="18465" r:id="rId36" name="Check Box 33">
              <controlPr defaultSize="0" autoFill="0" autoLine="0" autoPict="0">
                <anchor moveWithCells="1">
                  <from>
                    <xdr:col>0</xdr:col>
                    <xdr:colOff>38100</xdr:colOff>
                    <xdr:row>87</xdr:row>
                    <xdr:rowOff>47625</xdr:rowOff>
                  </from>
                  <to>
                    <xdr:col>1</xdr:col>
                    <xdr:colOff>76200</xdr:colOff>
                    <xdr:row>87</xdr:row>
                    <xdr:rowOff>304800</xdr:rowOff>
                  </to>
                </anchor>
              </controlPr>
            </control>
          </mc:Choice>
        </mc:AlternateContent>
        <mc:AlternateContent xmlns:mc="http://schemas.openxmlformats.org/markup-compatibility/2006">
          <mc:Choice Requires="x14">
            <control shapeId="18466" r:id="rId37" name="Check Box 34">
              <controlPr defaultSize="0" autoFill="0" autoLine="0" autoPict="0">
                <anchor moveWithCells="1">
                  <from>
                    <xdr:col>0</xdr:col>
                    <xdr:colOff>38100</xdr:colOff>
                    <xdr:row>34</xdr:row>
                    <xdr:rowOff>47625</xdr:rowOff>
                  </from>
                  <to>
                    <xdr:col>1</xdr:col>
                    <xdr:colOff>76200</xdr:colOff>
                    <xdr:row>34</xdr:row>
                    <xdr:rowOff>276225</xdr:rowOff>
                  </to>
                </anchor>
              </controlPr>
            </control>
          </mc:Choice>
        </mc:AlternateContent>
        <mc:AlternateContent xmlns:mc="http://schemas.openxmlformats.org/markup-compatibility/2006">
          <mc:Choice Requires="x14">
            <control shapeId="18467" r:id="rId38" name="Check Box 35">
              <controlPr defaultSize="0" autoFill="0" autoLine="0" autoPict="0">
                <anchor moveWithCells="1">
                  <from>
                    <xdr:col>0</xdr:col>
                    <xdr:colOff>38100</xdr:colOff>
                    <xdr:row>107</xdr:row>
                    <xdr:rowOff>0</xdr:rowOff>
                  </from>
                  <to>
                    <xdr:col>1</xdr:col>
                    <xdr:colOff>76200</xdr:colOff>
                    <xdr:row>108</xdr:row>
                    <xdr:rowOff>47625</xdr:rowOff>
                  </to>
                </anchor>
              </controlPr>
            </control>
          </mc:Choice>
        </mc:AlternateContent>
        <mc:AlternateContent xmlns:mc="http://schemas.openxmlformats.org/markup-compatibility/2006">
          <mc:Choice Requires="x14">
            <control shapeId="18468" r:id="rId39" name="Check Box 36">
              <controlPr defaultSize="0" autoFill="0" autoLine="0" autoPict="0">
                <anchor moveWithCells="1">
                  <from>
                    <xdr:col>0</xdr:col>
                    <xdr:colOff>38100</xdr:colOff>
                    <xdr:row>107</xdr:row>
                    <xdr:rowOff>304800</xdr:rowOff>
                  </from>
                  <to>
                    <xdr:col>1</xdr:col>
                    <xdr:colOff>76200</xdr:colOff>
                    <xdr:row>109</xdr:row>
                    <xdr:rowOff>28575</xdr:rowOff>
                  </to>
                </anchor>
              </controlPr>
            </control>
          </mc:Choice>
        </mc:AlternateContent>
        <mc:AlternateContent xmlns:mc="http://schemas.openxmlformats.org/markup-compatibility/2006">
          <mc:Choice Requires="x14">
            <control shapeId="18469" r:id="rId40" name="Check Box 37">
              <controlPr defaultSize="0" autoFill="0" autoLine="0" autoPict="0">
                <anchor moveWithCells="1">
                  <from>
                    <xdr:col>0</xdr:col>
                    <xdr:colOff>38100</xdr:colOff>
                    <xdr:row>21</xdr:row>
                    <xdr:rowOff>47625</xdr:rowOff>
                  </from>
                  <to>
                    <xdr:col>1</xdr:col>
                    <xdr:colOff>76200</xdr:colOff>
                    <xdr:row>21</xdr:row>
                    <xdr:rowOff>276225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91D69-0185-4DD1-966C-DAFA1F4A9051}">
  <sheetPr codeName="Sheet5"/>
  <dimension ref="A1:AK121"/>
  <sheetViews>
    <sheetView topLeftCell="A80" zoomScaleNormal="100" workbookViewId="0">
      <selection activeCell="D24" sqref="D24:D31"/>
    </sheetView>
  </sheetViews>
  <sheetFormatPr defaultColWidth="8.85546875" defaultRowHeight="26.25" customHeight="1"/>
  <cols>
    <col min="1" max="1" width="4.42578125" style="141" customWidth="1"/>
    <col min="2" max="2" width="6.140625" style="141" customWidth="1"/>
    <col min="3" max="3" width="5.28515625" style="141" customWidth="1"/>
    <col min="4" max="4" width="11.7109375" style="141" customWidth="1"/>
    <col min="5" max="5" width="11.85546875" style="141" customWidth="1"/>
    <col min="6" max="6" width="12.85546875" style="141" customWidth="1"/>
    <col min="7" max="7" width="7.85546875" style="141" customWidth="1"/>
    <col min="8" max="8" width="7.7109375" style="141" customWidth="1"/>
    <col min="9" max="9" width="6.7109375" style="141" customWidth="1"/>
    <col min="10" max="10" width="13.28515625" style="141" customWidth="1"/>
    <col min="11" max="11" width="11.140625" style="141" customWidth="1"/>
    <col min="12" max="12" width="9.7109375" style="141" customWidth="1"/>
    <col min="13" max="13" width="5.85546875" style="141" customWidth="1"/>
    <col min="14" max="14" width="8.7109375" style="141" customWidth="1"/>
    <col min="15" max="15" width="8.85546875" style="141" customWidth="1"/>
    <col min="16" max="16" width="8.140625" style="141" customWidth="1"/>
    <col min="17" max="17" width="5.7109375" style="141" customWidth="1"/>
    <col min="18" max="18" width="5.85546875" style="141" customWidth="1"/>
    <col min="19" max="19" width="5.42578125" style="141" customWidth="1"/>
    <col min="20" max="20" width="6.42578125" style="141" customWidth="1"/>
    <col min="21" max="21" width="5.85546875" style="141" customWidth="1"/>
    <col min="22" max="22" width="5.42578125" style="141" customWidth="1"/>
    <col min="23" max="23" width="6.140625" style="141" customWidth="1"/>
    <col min="24" max="25" width="5.85546875" style="141" customWidth="1"/>
    <col min="26" max="27" width="6.42578125" style="141" customWidth="1"/>
    <col min="28" max="28" width="6.140625" style="141" customWidth="1"/>
    <col min="29" max="29" width="5.85546875" style="141" customWidth="1"/>
    <col min="30" max="31" width="8.85546875" style="141" customWidth="1"/>
    <col min="32" max="32" width="9.42578125" style="141" customWidth="1"/>
    <col min="33" max="33" width="8.85546875" style="141" customWidth="1"/>
    <col min="34" max="16384" width="8.85546875" style="141"/>
  </cols>
  <sheetData>
    <row r="1" spans="1:37" ht="26.25" customHeight="1">
      <c r="B1" s="90"/>
      <c r="C1" s="310" t="s">
        <v>318</v>
      </c>
      <c r="D1" s="407"/>
      <c r="E1" s="407"/>
      <c r="F1" s="407"/>
      <c r="G1" s="407"/>
      <c r="H1" s="407"/>
      <c r="I1" s="407"/>
      <c r="J1" s="407"/>
      <c r="Q1" s="90"/>
    </row>
    <row r="2" spans="1:37" ht="26.25" customHeight="1">
      <c r="A2" s="286" t="s">
        <v>60</v>
      </c>
      <c r="B2" s="404"/>
      <c r="C2" s="404"/>
      <c r="D2" s="405"/>
      <c r="E2" s="287"/>
      <c r="F2" s="404"/>
      <c r="G2" s="405"/>
    </row>
    <row r="3" spans="1:37" ht="26.25" customHeight="1">
      <c r="A3" s="408" t="s">
        <v>62</v>
      </c>
      <c r="B3" s="404"/>
      <c r="C3" s="404"/>
      <c r="D3" s="405"/>
      <c r="E3" s="287"/>
      <c r="F3" s="404"/>
      <c r="G3" s="405"/>
      <c r="K3" s="145" t="s">
        <v>205</v>
      </c>
      <c r="L3" s="144" t="s">
        <v>206</v>
      </c>
    </row>
    <row r="4" spans="1:37" ht="23.45" customHeight="1">
      <c r="A4" s="291" t="s">
        <v>207</v>
      </c>
      <c r="B4" s="404"/>
      <c r="C4" s="404"/>
      <c r="D4" s="405"/>
      <c r="E4" s="287"/>
      <c r="F4" s="404"/>
      <c r="G4" s="405"/>
      <c r="J4" s="319" t="s">
        <v>63</v>
      </c>
      <c r="K4" s="406"/>
      <c r="L4" s="144"/>
      <c r="AK4" s="147"/>
    </row>
    <row r="5" spans="1:37" ht="25.5" customHeight="1">
      <c r="A5" s="291" t="s">
        <v>319</v>
      </c>
      <c r="B5" s="404"/>
      <c r="C5" s="404"/>
      <c r="D5" s="405"/>
      <c r="E5" s="287"/>
      <c r="F5" s="404"/>
      <c r="G5" s="405"/>
      <c r="AK5" s="147"/>
    </row>
    <row r="6" spans="1:37" ht="23.45" customHeight="1">
      <c r="A6" s="286" t="s">
        <v>320</v>
      </c>
      <c r="B6" s="404"/>
      <c r="C6" s="404"/>
      <c r="D6" s="405"/>
      <c r="E6" s="287"/>
      <c r="F6" s="404"/>
      <c r="G6" s="405"/>
      <c r="AK6" s="147"/>
    </row>
    <row r="7" spans="1:37" ht="28.5" customHeight="1">
      <c r="A7" s="291" t="s">
        <v>321</v>
      </c>
      <c r="B7" s="404"/>
      <c r="C7" s="404"/>
      <c r="D7" s="405"/>
      <c r="E7" s="287"/>
      <c r="F7" s="404"/>
      <c r="G7" s="405"/>
      <c r="AK7" s="147"/>
    </row>
    <row r="8" spans="1:37" ht="29.25" customHeight="1">
      <c r="A8" s="286" t="s">
        <v>65</v>
      </c>
      <c r="B8" s="404"/>
      <c r="C8" s="404"/>
      <c r="D8" s="405"/>
      <c r="E8" s="301"/>
      <c r="F8" s="404"/>
      <c r="G8" s="405"/>
    </row>
    <row r="9" spans="1:37" ht="26.25" customHeight="1">
      <c r="A9" s="286" t="s">
        <v>66</v>
      </c>
      <c r="B9" s="404"/>
      <c r="C9" s="404"/>
      <c r="D9" s="405"/>
      <c r="E9" s="287"/>
      <c r="F9" s="404"/>
      <c r="G9" s="405"/>
    </row>
    <row r="10" spans="1:37" ht="26.25" customHeight="1">
      <c r="A10" s="414" t="s">
        <v>67</v>
      </c>
      <c r="B10" s="404"/>
      <c r="C10" s="404"/>
      <c r="D10" s="405"/>
      <c r="E10" s="415"/>
      <c r="F10" s="404"/>
      <c r="G10" s="405"/>
    </row>
    <row r="11" spans="1:37" ht="20.45" customHeight="1" thickBot="1">
      <c r="A11" s="286" t="s">
        <v>167</v>
      </c>
      <c r="B11" s="404"/>
      <c r="C11" s="404"/>
      <c r="D11" s="405"/>
      <c r="E11" s="148"/>
    </row>
    <row r="12" spans="1:37" ht="26.25" customHeight="1" thickBot="1">
      <c r="A12" s="149"/>
      <c r="B12" s="409" t="s">
        <v>68</v>
      </c>
      <c r="C12" s="410"/>
      <c r="D12" s="410"/>
      <c r="E12" s="410"/>
      <c r="F12" s="410"/>
      <c r="G12" s="410"/>
      <c r="H12" s="410"/>
      <c r="I12" s="410"/>
      <c r="J12" s="410"/>
      <c r="K12" s="410"/>
      <c r="L12" s="410"/>
      <c r="M12" s="411"/>
      <c r="O12" s="92"/>
    </row>
    <row r="13" spans="1:37" ht="26.25" customHeight="1" thickBot="1">
      <c r="A13" s="150"/>
      <c r="B13" s="151" t="s">
        <v>209</v>
      </c>
      <c r="C13" s="151"/>
      <c r="D13" s="151"/>
      <c r="E13" s="151"/>
      <c r="O13" s="92"/>
    </row>
    <row r="14" spans="1:37" ht="26.25" customHeight="1" thickBot="1">
      <c r="A14" s="150"/>
      <c r="B14" s="151" t="s">
        <v>322</v>
      </c>
      <c r="C14" s="151"/>
      <c r="D14" s="151"/>
      <c r="E14" s="151"/>
      <c r="O14" s="92"/>
    </row>
    <row r="15" spans="1:37" ht="33.6" customHeight="1" thickBot="1">
      <c r="B15" s="151"/>
      <c r="C15" s="151"/>
      <c r="E15" s="152" t="s">
        <v>323</v>
      </c>
      <c r="F15" s="152" t="str">
        <f>CONCATENATE(" Volume for ",$E$11," samples")</f>
        <v xml:space="preserve"> Volume for  samples</v>
      </c>
      <c r="O15" s="92"/>
    </row>
    <row r="16" spans="1:37" ht="26.25" customHeight="1" thickBot="1">
      <c r="A16" s="150"/>
      <c r="B16" s="151" t="s">
        <v>72</v>
      </c>
      <c r="C16" s="153"/>
      <c r="D16" s="154" t="s">
        <v>324</v>
      </c>
      <c r="E16" s="155">
        <v>17.18</v>
      </c>
      <c r="F16" s="234">
        <f>E16*$E$11*1.1</f>
        <v>0</v>
      </c>
      <c r="G16" s="143" t="s">
        <v>73</v>
      </c>
      <c r="O16" s="92"/>
      <c r="Q16" s="151"/>
    </row>
    <row r="17" spans="1:17" ht="26.25" customHeight="1">
      <c r="A17" s="149"/>
      <c r="B17" s="151"/>
      <c r="C17" s="157"/>
      <c r="D17" s="158" t="s">
        <v>325</v>
      </c>
      <c r="E17" s="159">
        <v>3.18</v>
      </c>
      <c r="F17" s="234">
        <f>E17*$E$11*1.1</f>
        <v>0</v>
      </c>
      <c r="G17" s="143" t="s">
        <v>73</v>
      </c>
      <c r="O17" s="92"/>
      <c r="Q17" s="151"/>
    </row>
    <row r="18" spans="1:17" ht="28.5" customHeight="1">
      <c r="A18" s="149"/>
      <c r="B18" s="151"/>
      <c r="C18" s="157"/>
      <c r="D18" s="160" t="s">
        <v>74</v>
      </c>
      <c r="E18" s="159">
        <v>2</v>
      </c>
      <c r="F18" s="234">
        <f>E18*$E$11*1.1</f>
        <v>0</v>
      </c>
      <c r="G18" s="143" t="s">
        <v>73</v>
      </c>
      <c r="O18" s="92"/>
      <c r="Q18" s="151"/>
    </row>
    <row r="19" spans="1:17" ht="23.1" customHeight="1" thickBot="1">
      <c r="A19" s="149"/>
      <c r="B19" s="151"/>
      <c r="C19" s="161"/>
      <c r="D19" s="162" t="s">
        <v>326</v>
      </c>
      <c r="E19" s="163">
        <v>7.18</v>
      </c>
      <c r="F19" s="235">
        <f>E19*$E$11*1.1</f>
        <v>0</v>
      </c>
      <c r="G19" s="164" t="s">
        <v>73</v>
      </c>
      <c r="O19" s="92"/>
    </row>
    <row r="20" spans="1:17" ht="15.95" customHeight="1" thickBot="1">
      <c r="A20" s="149"/>
      <c r="B20" s="151"/>
      <c r="D20" s="165"/>
      <c r="E20" s="166">
        <f>SUM(E16:E19)</f>
        <v>29.54</v>
      </c>
      <c r="F20" s="236">
        <f>SUM(F16:F19)</f>
        <v>0</v>
      </c>
      <c r="G20" s="167" t="s">
        <v>73</v>
      </c>
      <c r="H20" s="141" t="s">
        <v>75</v>
      </c>
      <c r="O20" s="92"/>
    </row>
    <row r="21" spans="1:17" ht="26.25" customHeight="1" thickBot="1">
      <c r="A21" s="150"/>
      <c r="B21" s="151" t="s">
        <v>327</v>
      </c>
      <c r="D21" s="94"/>
      <c r="E21" s="151"/>
      <c r="F21" s="95"/>
      <c r="O21" s="92"/>
    </row>
    <row r="22" spans="1:17" ht="26.25" customHeight="1" thickBot="1">
      <c r="A22" s="150"/>
      <c r="B22" s="151" t="s">
        <v>328</v>
      </c>
      <c r="D22" s="151"/>
      <c r="E22" s="151"/>
    </row>
    <row r="23" spans="1:17" ht="26.25" customHeight="1" thickBot="1">
      <c r="A23" s="149"/>
      <c r="C23" s="168"/>
      <c r="D23" s="169" t="s">
        <v>210</v>
      </c>
      <c r="E23" s="170" t="s">
        <v>211</v>
      </c>
      <c r="F23" s="170" t="s">
        <v>212</v>
      </c>
      <c r="G23" s="412" t="s">
        <v>213</v>
      </c>
      <c r="H23" s="298"/>
      <c r="J23" s="413" t="s">
        <v>214</v>
      </c>
      <c r="K23" s="407"/>
      <c r="L23" s="407"/>
    </row>
    <row r="24" spans="1:17" ht="14.45" customHeight="1">
      <c r="A24" s="149"/>
      <c r="C24" s="171">
        <v>1</v>
      </c>
      <c r="D24" s="172">
        <f>'10X_table'!C2</f>
        <v>0</v>
      </c>
      <c r="E24" s="172"/>
      <c r="F24" s="172"/>
      <c r="G24" s="299"/>
      <c r="H24" s="300"/>
    </row>
    <row r="25" spans="1:17" ht="14.45" customHeight="1">
      <c r="A25" s="149"/>
      <c r="C25" s="173">
        <v>2</v>
      </c>
      <c r="D25" s="172">
        <f>'10X_table'!C3</f>
        <v>0</v>
      </c>
      <c r="E25" s="156"/>
      <c r="F25" s="156"/>
      <c r="G25" s="282"/>
      <c r="H25" s="405"/>
    </row>
    <row r="26" spans="1:17" ht="14.45" customHeight="1">
      <c r="A26" s="149"/>
      <c r="C26" s="1">
        <v>3</v>
      </c>
      <c r="D26" s="172">
        <f>'10X_table'!C4</f>
        <v>0</v>
      </c>
      <c r="E26" s="156"/>
      <c r="F26" s="156"/>
      <c r="G26" s="282"/>
      <c r="H26" s="405"/>
    </row>
    <row r="27" spans="1:17" ht="14.45" customHeight="1">
      <c r="A27" s="149"/>
      <c r="C27" s="173">
        <v>4</v>
      </c>
      <c r="D27" s="172">
        <f>'10X_table'!C5</f>
        <v>0</v>
      </c>
      <c r="E27" s="156"/>
      <c r="F27" s="156"/>
      <c r="G27" s="282"/>
      <c r="H27" s="405"/>
    </row>
    <row r="28" spans="1:17" ht="14.45" customHeight="1">
      <c r="A28" s="149"/>
      <c r="C28" s="173">
        <v>5</v>
      </c>
      <c r="D28" s="172">
        <f>'10X_table'!C6</f>
        <v>0</v>
      </c>
      <c r="E28" s="156"/>
      <c r="F28" s="156"/>
      <c r="G28" s="282"/>
      <c r="H28" s="405"/>
    </row>
    <row r="29" spans="1:17" ht="14.45" customHeight="1">
      <c r="A29" s="149"/>
      <c r="C29" s="173">
        <v>6</v>
      </c>
      <c r="D29" s="172">
        <f>'10X_table'!C7</f>
        <v>0</v>
      </c>
      <c r="E29" s="156"/>
      <c r="F29" s="156"/>
      <c r="G29" s="282"/>
      <c r="H29" s="405"/>
    </row>
    <row r="30" spans="1:17" ht="14.45" customHeight="1">
      <c r="A30" s="149"/>
      <c r="C30" s="173">
        <v>7</v>
      </c>
      <c r="D30" s="172">
        <f>'10X_table'!C8</f>
        <v>0</v>
      </c>
      <c r="E30" s="156"/>
      <c r="F30" s="156"/>
      <c r="G30" s="282"/>
      <c r="H30" s="405"/>
    </row>
    <row r="31" spans="1:17" ht="14.45" customHeight="1" thickBot="1">
      <c r="A31" s="149"/>
      <c r="C31" s="173">
        <v>8</v>
      </c>
      <c r="D31" s="172">
        <f>'10X_table'!C9</f>
        <v>0</v>
      </c>
      <c r="E31" s="156"/>
      <c r="F31" s="156"/>
      <c r="G31" s="282"/>
      <c r="H31" s="405"/>
    </row>
    <row r="32" spans="1:17" ht="26.25" customHeight="1" thickBot="1">
      <c r="A32" s="150"/>
      <c r="B32" s="96" t="s">
        <v>329</v>
      </c>
    </row>
    <row r="33" spans="1:13" ht="26.25" customHeight="1" thickBot="1">
      <c r="A33" s="174"/>
      <c r="B33" s="96" t="s">
        <v>330</v>
      </c>
    </row>
    <row r="34" spans="1:13" ht="26.25" customHeight="1" thickBot="1">
      <c r="A34" s="174"/>
      <c r="B34" s="96" t="s">
        <v>331</v>
      </c>
    </row>
    <row r="35" spans="1:13" ht="26.25" customHeight="1" thickBot="1">
      <c r="A35" s="150"/>
      <c r="B35" s="96" t="s">
        <v>215</v>
      </c>
    </row>
    <row r="36" spans="1:13" ht="26.25" customHeight="1" thickBot="1">
      <c r="A36" s="150"/>
      <c r="B36" s="96" t="s">
        <v>332</v>
      </c>
      <c r="I36" s="94" t="s">
        <v>333</v>
      </c>
      <c r="K36" s="151" t="s">
        <v>334</v>
      </c>
    </row>
    <row r="37" spans="1:13" ht="21.95" customHeight="1" thickBot="1">
      <c r="A37" s="149"/>
      <c r="B37" s="96"/>
      <c r="I37" s="94" t="s">
        <v>216</v>
      </c>
    </row>
    <row r="38" spans="1:13" ht="26.25" customHeight="1" thickBot="1">
      <c r="A38" s="149"/>
      <c r="B38" s="416" t="s">
        <v>217</v>
      </c>
      <c r="C38" s="410"/>
      <c r="D38" s="410"/>
      <c r="E38" s="410"/>
      <c r="F38" s="410"/>
      <c r="G38" s="410"/>
      <c r="H38" s="410"/>
      <c r="I38" s="410"/>
      <c r="J38" s="410"/>
      <c r="K38" s="410"/>
      <c r="L38" s="410"/>
      <c r="M38" s="411"/>
    </row>
    <row r="39" spans="1:13" s="151" customFormat="1" ht="26.25" customHeight="1" thickBot="1">
      <c r="A39" s="175"/>
      <c r="B39" s="151" t="s">
        <v>218</v>
      </c>
      <c r="H39" s="95" t="s">
        <v>77</v>
      </c>
    </row>
    <row r="40" spans="1:13" ht="26.25" customHeight="1" thickBot="1">
      <c r="A40" s="150"/>
      <c r="B40" s="96" t="s">
        <v>219</v>
      </c>
      <c r="H40" s="95" t="s">
        <v>78</v>
      </c>
    </row>
    <row r="41" spans="1:13" ht="35.1" customHeight="1" thickBot="1">
      <c r="A41" s="150"/>
      <c r="B41" s="386" t="s">
        <v>220</v>
      </c>
      <c r="C41" s="407"/>
      <c r="D41" s="407"/>
      <c r="E41" s="407"/>
      <c r="F41" s="407"/>
      <c r="G41" s="96" t="s">
        <v>221</v>
      </c>
      <c r="J41" s="176" t="s">
        <v>71</v>
      </c>
      <c r="K41" s="176" t="str">
        <f>CONCATENATE(" Volume for ",$E$11," samples")</f>
        <v xml:space="preserve"> Volume for  samples</v>
      </c>
    </row>
    <row r="42" spans="1:13" s="142" customFormat="1" ht="23.1" customHeight="1">
      <c r="A42" s="99"/>
      <c r="B42" s="99"/>
      <c r="C42" s="177"/>
      <c r="D42" s="177"/>
      <c r="E42" s="177"/>
      <c r="F42" s="177"/>
      <c r="G42" s="388" t="s">
        <v>222</v>
      </c>
      <c r="H42" s="404"/>
      <c r="I42" s="405"/>
      <c r="J42" s="155">
        <v>182</v>
      </c>
      <c r="K42" s="156">
        <f>J42*$E$11*1.1</f>
        <v>0</v>
      </c>
      <c r="L42" s="156" t="s">
        <v>73</v>
      </c>
    </row>
    <row r="43" spans="1:13" s="142" customFormat="1" ht="23.1" customHeight="1">
      <c r="B43" s="99"/>
      <c r="C43" s="389" t="s">
        <v>223</v>
      </c>
      <c r="D43" s="310"/>
      <c r="E43" s="310"/>
      <c r="F43" s="99"/>
      <c r="G43" s="388" t="s">
        <v>224</v>
      </c>
      <c r="H43" s="404"/>
      <c r="I43" s="405"/>
      <c r="J43" s="155">
        <v>8</v>
      </c>
      <c r="K43" s="156">
        <f>J43*$E$11*1.1</f>
        <v>0</v>
      </c>
      <c r="L43" s="156" t="s">
        <v>73</v>
      </c>
    </row>
    <row r="44" spans="1:13" s="142" customFormat="1" ht="23.1" customHeight="1">
      <c r="B44" s="99"/>
      <c r="C44" s="310"/>
      <c r="D44" s="310"/>
      <c r="E44" s="310"/>
      <c r="F44" s="99"/>
      <c r="G44" s="390" t="s">
        <v>225</v>
      </c>
      <c r="H44" s="404"/>
      <c r="I44" s="405"/>
      <c r="J44" s="155">
        <v>5</v>
      </c>
      <c r="K44" s="156">
        <f>J44*$E$11*1.1</f>
        <v>0</v>
      </c>
      <c r="L44" s="156" t="s">
        <v>73</v>
      </c>
    </row>
    <row r="45" spans="1:13" s="142" customFormat="1" ht="23.1" customHeight="1" thickBot="1">
      <c r="B45" s="99"/>
      <c r="C45" s="99"/>
      <c r="D45" s="99"/>
      <c r="E45" s="99"/>
      <c r="F45" s="99"/>
      <c r="G45" s="385" t="s">
        <v>79</v>
      </c>
      <c r="H45" s="417"/>
      <c r="I45" s="298"/>
      <c r="J45" s="178">
        <v>5</v>
      </c>
      <c r="K45" s="163">
        <f>J45*$E$11*1.1</f>
        <v>0</v>
      </c>
      <c r="L45" s="163" t="s">
        <v>73</v>
      </c>
    </row>
    <row r="46" spans="1:13" s="142" customFormat="1" ht="23.1" customHeight="1" thickBot="1">
      <c r="B46" s="99"/>
      <c r="C46" s="99"/>
      <c r="D46" s="99"/>
      <c r="E46" s="99"/>
      <c r="F46" s="99"/>
      <c r="G46" s="99"/>
      <c r="H46" s="99"/>
      <c r="I46" s="99"/>
      <c r="J46" s="172">
        <f>SUM(J42:J45)</f>
        <v>200</v>
      </c>
      <c r="K46" s="172">
        <f>SUM(K42:K45)</f>
        <v>0</v>
      </c>
      <c r="L46" s="172" t="s">
        <v>73</v>
      </c>
      <c r="M46" s="179" t="s">
        <v>75</v>
      </c>
    </row>
    <row r="47" spans="1:13" ht="33" customHeight="1" thickBot="1">
      <c r="A47" s="150"/>
      <c r="B47" s="96" t="s">
        <v>80</v>
      </c>
      <c r="E47" s="176" t="s">
        <v>71</v>
      </c>
      <c r="F47" s="176" t="str">
        <f>CONCATENATE(" Volume for ",$E$11," samples")</f>
        <v xml:space="preserve"> Volume for  samples</v>
      </c>
      <c r="L47" s="146"/>
      <c r="M47" s="179"/>
    </row>
    <row r="48" spans="1:13" ht="26.25" customHeight="1">
      <c r="A48" s="149"/>
      <c r="B48" s="96"/>
      <c r="C48" s="388" t="s">
        <v>81</v>
      </c>
      <c r="D48" s="405"/>
      <c r="E48" s="180">
        <v>98</v>
      </c>
      <c r="F48" s="173">
        <f>IF($E$11&lt;2, E48,E48*0.5*$E$11)</f>
        <v>98</v>
      </c>
      <c r="G48" s="143" t="s">
        <v>73</v>
      </c>
      <c r="L48" s="146"/>
      <c r="M48" s="179"/>
    </row>
    <row r="49" spans="1:13" ht="26.25" customHeight="1">
      <c r="A49" s="149"/>
      <c r="B49" s="96"/>
      <c r="C49" s="388" t="s">
        <v>82</v>
      </c>
      <c r="D49" s="405"/>
      <c r="E49" s="180">
        <v>1</v>
      </c>
      <c r="F49" s="173">
        <f>IF($E$11&lt;2, E49,E49*0.5*$E$11)</f>
        <v>1</v>
      </c>
      <c r="G49" s="143" t="s">
        <v>73</v>
      </c>
      <c r="L49" s="146"/>
      <c r="M49" s="179"/>
    </row>
    <row r="50" spans="1:13" ht="26.25" customHeight="1" thickBot="1">
      <c r="A50" s="149"/>
      <c r="B50" s="96"/>
      <c r="C50" s="385" t="s">
        <v>74</v>
      </c>
      <c r="D50" s="298"/>
      <c r="E50" s="182">
        <v>1</v>
      </c>
      <c r="F50" s="183">
        <f>IF($E$11&lt;2, E50,E50*0.5*$E$11)</f>
        <v>1</v>
      </c>
      <c r="G50" s="164" t="s">
        <v>73</v>
      </c>
      <c r="L50" s="146"/>
      <c r="M50" s="179"/>
    </row>
    <row r="51" spans="1:13" ht="26.25" customHeight="1" thickBot="1">
      <c r="A51" s="149"/>
      <c r="E51" s="171">
        <f>SUM(E48:E50)</f>
        <v>100</v>
      </c>
      <c r="F51" s="171">
        <f>SUM(F48:F50)</f>
        <v>100</v>
      </c>
      <c r="G51" s="167" t="s">
        <v>73</v>
      </c>
      <c r="H51" s="179" t="s">
        <v>75</v>
      </c>
    </row>
    <row r="52" spans="1:13" ht="23.1" customHeight="1" thickBot="1">
      <c r="A52" s="150"/>
      <c r="B52" s="96" t="s">
        <v>226</v>
      </c>
      <c r="L52" s="146"/>
      <c r="M52" s="179"/>
    </row>
    <row r="53" spans="1:13" ht="30.95" customHeight="1" thickBot="1">
      <c r="A53" s="150"/>
      <c r="B53" s="96" t="s">
        <v>227</v>
      </c>
      <c r="H53" s="184" t="s">
        <v>228</v>
      </c>
      <c r="J53" s="176" t="s">
        <v>71</v>
      </c>
      <c r="K53" s="176" t="str">
        <f>CONCATENATE(" Volume for ",$E$11," samples")</f>
        <v xml:space="preserve"> Volume for  samples</v>
      </c>
    </row>
    <row r="54" spans="1:13" ht="21.6" customHeight="1">
      <c r="A54" s="149"/>
      <c r="B54" s="96"/>
      <c r="G54" s="390" t="s">
        <v>229</v>
      </c>
      <c r="H54" s="404"/>
      <c r="I54" s="405"/>
      <c r="J54" s="155">
        <v>50</v>
      </c>
      <c r="K54" s="156">
        <f>J54*$E$11*1.1</f>
        <v>0</v>
      </c>
      <c r="L54" s="143" t="s">
        <v>73</v>
      </c>
    </row>
    <row r="55" spans="1:13" ht="21.95" customHeight="1" thickBot="1">
      <c r="G55" s="385" t="s">
        <v>230</v>
      </c>
      <c r="H55" s="417"/>
      <c r="I55" s="298"/>
      <c r="J55" s="178">
        <v>15</v>
      </c>
      <c r="K55" s="163">
        <f>J55*$E$11*1.1</f>
        <v>0</v>
      </c>
      <c r="L55" s="164" t="s">
        <v>73</v>
      </c>
    </row>
    <row r="56" spans="1:13" ht="21.6" customHeight="1" thickBot="1">
      <c r="J56" s="172">
        <f>SUM(J54:J55)</f>
        <v>65</v>
      </c>
      <c r="K56" s="172">
        <f>SUM(K54:K55)</f>
        <v>0</v>
      </c>
      <c r="L56" s="167" t="s">
        <v>73</v>
      </c>
      <c r="M56" s="179" t="s">
        <v>75</v>
      </c>
    </row>
    <row r="57" spans="1:13" ht="20.100000000000001" customHeight="1" thickBot="1">
      <c r="A57" s="150"/>
      <c r="B57" s="96" t="s">
        <v>83</v>
      </c>
      <c r="D57" s="100" t="s">
        <v>99</v>
      </c>
      <c r="L57" s="146"/>
      <c r="M57" s="179"/>
    </row>
    <row r="58" spans="1:13" ht="20.100000000000001" customHeight="1">
      <c r="D58" s="101" t="s">
        <v>100</v>
      </c>
      <c r="E58" s="283" t="s">
        <v>231</v>
      </c>
      <c r="L58" s="146"/>
      <c r="M58" s="179"/>
    </row>
    <row r="59" spans="1:13" ht="20.100000000000001" customHeight="1">
      <c r="D59" s="101" t="s">
        <v>335</v>
      </c>
      <c r="E59" s="420"/>
      <c r="L59" s="146"/>
      <c r="M59" s="179"/>
    </row>
    <row r="60" spans="1:13" ht="20.100000000000001" customHeight="1">
      <c r="D60" s="101" t="s">
        <v>87</v>
      </c>
      <c r="E60" s="421"/>
      <c r="G60" s="142" t="s">
        <v>88</v>
      </c>
      <c r="H60" s="185"/>
      <c r="L60" s="146"/>
      <c r="M60" s="179"/>
    </row>
    <row r="61" spans="1:13" ht="20.100000000000001" customHeight="1" thickBot="1">
      <c r="D61" s="100" t="s">
        <v>87</v>
      </c>
    </row>
    <row r="62" spans="1:13" ht="24.95" customHeight="1" thickBot="1">
      <c r="A62" s="150"/>
      <c r="B62" s="96" t="s">
        <v>232</v>
      </c>
    </row>
    <row r="63" spans="1:13" ht="26.25" customHeight="1" thickBot="1">
      <c r="B63" s="422" t="s">
        <v>233</v>
      </c>
      <c r="C63" s="410"/>
      <c r="D63" s="410"/>
      <c r="E63" s="410"/>
      <c r="F63" s="410"/>
      <c r="G63" s="410"/>
      <c r="H63" s="410"/>
      <c r="I63" s="410"/>
      <c r="J63" s="410"/>
      <c r="K63" s="410"/>
      <c r="L63" s="410"/>
      <c r="M63" s="411"/>
    </row>
    <row r="64" spans="1:13" ht="24.95" customHeight="1" thickBot="1">
      <c r="A64" s="150"/>
      <c r="B64" s="96" t="s">
        <v>336</v>
      </c>
    </row>
    <row r="65" spans="1:11" ht="24.95" customHeight="1" thickBot="1">
      <c r="A65" s="150"/>
      <c r="B65" s="96" t="s">
        <v>337</v>
      </c>
    </row>
    <row r="66" spans="1:11" ht="36" customHeight="1" thickBot="1">
      <c r="E66" s="176" t="s">
        <v>71</v>
      </c>
      <c r="F66" s="176" t="str">
        <f>CONCATENATE(" Volume for ",$E$11," samples")</f>
        <v xml:space="preserve"> Volume for  samples</v>
      </c>
    </row>
    <row r="67" spans="1:11" ht="26.1" customHeight="1" thickBot="1">
      <c r="A67" s="150"/>
      <c r="B67" s="151" t="s">
        <v>72</v>
      </c>
      <c r="C67" s="186"/>
      <c r="D67" s="133" t="s">
        <v>236</v>
      </c>
      <c r="E67" s="155">
        <v>5</v>
      </c>
      <c r="F67" s="156">
        <f>E67*$E$11*1.1</f>
        <v>0</v>
      </c>
      <c r="G67" s="143" t="s">
        <v>73</v>
      </c>
    </row>
    <row r="68" spans="1:11" ht="26.1" customHeight="1" thickBot="1">
      <c r="C68" s="187"/>
      <c r="D68" s="181" t="s">
        <v>237</v>
      </c>
      <c r="E68" s="178">
        <v>10</v>
      </c>
      <c r="F68" s="163">
        <f>E68*$E$11*1.1</f>
        <v>0</v>
      </c>
      <c r="G68" s="164" t="s">
        <v>73</v>
      </c>
    </row>
    <row r="69" spans="1:11" ht="21.6" customHeight="1" thickBot="1">
      <c r="E69" s="172">
        <f>SUM(E67:E68)</f>
        <v>15</v>
      </c>
      <c r="F69" s="172">
        <f>SUM(F67:F68)</f>
        <v>0</v>
      </c>
      <c r="G69" s="167" t="s">
        <v>73</v>
      </c>
      <c r="H69" s="179" t="s">
        <v>75</v>
      </c>
      <c r="I69" s="179"/>
    </row>
    <row r="70" spans="1:11" ht="21.6" customHeight="1" thickBot="1">
      <c r="A70" s="150"/>
      <c r="B70" s="96" t="s">
        <v>83</v>
      </c>
      <c r="D70" s="94" t="s">
        <v>238</v>
      </c>
    </row>
    <row r="71" spans="1:11" ht="21.6" customHeight="1">
      <c r="D71" s="94" t="s">
        <v>239</v>
      </c>
    </row>
    <row r="72" spans="1:11" ht="21.6" customHeight="1">
      <c r="D72" s="94" t="s">
        <v>240</v>
      </c>
    </row>
    <row r="73" spans="1:11" ht="21.6" customHeight="1" thickBot="1">
      <c r="D73" s="94" t="s">
        <v>241</v>
      </c>
    </row>
    <row r="74" spans="1:11" ht="24.95" customHeight="1" thickBot="1">
      <c r="A74" s="150"/>
      <c r="B74" s="387" t="s">
        <v>338</v>
      </c>
      <c r="C74" s="407"/>
      <c r="D74" s="407"/>
      <c r="E74" s="407"/>
      <c r="F74" s="407"/>
      <c r="G74" s="407"/>
      <c r="H74" s="407"/>
      <c r="I74" s="407"/>
      <c r="K74" s="103" t="s">
        <v>243</v>
      </c>
    </row>
    <row r="75" spans="1:11" ht="17.45" customHeight="1" thickBot="1">
      <c r="B75" s="407"/>
      <c r="C75" s="407"/>
      <c r="D75" s="407"/>
      <c r="E75" s="407"/>
      <c r="F75" s="407"/>
      <c r="G75" s="407"/>
      <c r="H75" s="407"/>
      <c r="I75" s="407"/>
    </row>
    <row r="76" spans="1:11" ht="24.95" customHeight="1" thickBot="1">
      <c r="A76" s="150"/>
      <c r="B76" s="96" t="s">
        <v>339</v>
      </c>
    </row>
    <row r="77" spans="1:11" ht="33" customHeight="1" thickBot="1">
      <c r="E77" s="176" t="s">
        <v>71</v>
      </c>
      <c r="F77" s="176" t="str">
        <f>CONCATENATE(" Volume for ",$E$11," samples")</f>
        <v xml:space="preserve"> Volume for  samples</v>
      </c>
    </row>
    <row r="78" spans="1:11" ht="26.1" customHeight="1" thickBot="1">
      <c r="A78" s="150"/>
      <c r="B78" s="151" t="s">
        <v>245</v>
      </c>
      <c r="C78" s="186"/>
      <c r="D78" s="133" t="s">
        <v>340</v>
      </c>
      <c r="E78" s="155">
        <v>40</v>
      </c>
      <c r="F78" s="156">
        <f>E78*$E$11*1.1</f>
        <v>0</v>
      </c>
      <c r="G78" s="143" t="s">
        <v>73</v>
      </c>
    </row>
    <row r="79" spans="1:11" ht="26.1" customHeight="1" thickBot="1">
      <c r="A79" s="149"/>
      <c r="B79" s="151"/>
      <c r="C79" s="186"/>
      <c r="D79" s="133" t="s">
        <v>246</v>
      </c>
      <c r="E79" s="163">
        <v>10</v>
      </c>
      <c r="F79" s="163">
        <f>E79*$E$11*1.1</f>
        <v>0</v>
      </c>
      <c r="G79" s="143" t="s">
        <v>73</v>
      </c>
    </row>
    <row r="80" spans="1:11" ht="26.25" customHeight="1" thickBot="1">
      <c r="E80" s="172">
        <f>SUM(E78:E79)</f>
        <v>50</v>
      </c>
      <c r="F80" s="172">
        <f>SUM(F78:F79)</f>
        <v>0</v>
      </c>
      <c r="G80" s="167" t="s">
        <v>73</v>
      </c>
      <c r="H80" s="179" t="s">
        <v>75</v>
      </c>
    </row>
    <row r="81" spans="1:14" ht="20.45" customHeight="1" thickBot="1">
      <c r="A81" s="150"/>
      <c r="B81" s="96" t="s">
        <v>83</v>
      </c>
      <c r="D81" s="94" t="s">
        <v>247</v>
      </c>
      <c r="G81" s="146"/>
      <c r="H81" s="179"/>
    </row>
    <row r="82" spans="1:14" ht="20.45" customHeight="1" thickBot="1">
      <c r="D82" s="94" t="s">
        <v>238</v>
      </c>
      <c r="G82" s="146"/>
      <c r="H82" s="179"/>
    </row>
    <row r="83" spans="1:14" ht="24.95" customHeight="1" thickBot="1">
      <c r="A83" s="150"/>
      <c r="B83" s="96" t="s">
        <v>341</v>
      </c>
    </row>
    <row r="84" spans="1:14" ht="24.95" customHeight="1" thickBot="1">
      <c r="A84" s="150"/>
      <c r="B84" s="96" t="s">
        <v>342</v>
      </c>
    </row>
    <row r="85" spans="1:14" ht="24.95" customHeight="1" thickBot="1">
      <c r="A85" s="150"/>
      <c r="B85" s="96" t="str">
        <f>CONCATENATE("Add 20 µL of indexes of the plate ", L3)</f>
        <v>Add 20 µL of indexes of the plate TT Set A</v>
      </c>
    </row>
    <row r="86" spans="1:14" ht="24.95" customHeight="1" thickBot="1">
      <c r="A86" s="188"/>
      <c r="B86" s="179" t="s">
        <v>89</v>
      </c>
      <c r="G86" s="141" t="s">
        <v>90</v>
      </c>
      <c r="H86" s="185"/>
    </row>
    <row r="87" spans="1:14" ht="24.95" customHeight="1">
      <c r="A87" s="149"/>
      <c r="B87" s="189"/>
      <c r="C87" s="104">
        <v>1</v>
      </c>
      <c r="D87" s="104">
        <v>2</v>
      </c>
      <c r="E87" s="104">
        <v>3</v>
      </c>
      <c r="F87" s="104">
        <v>4</v>
      </c>
      <c r="G87" s="104">
        <v>5</v>
      </c>
      <c r="H87" s="104">
        <v>6</v>
      </c>
      <c r="I87" s="104">
        <v>7</v>
      </c>
      <c r="J87" s="104">
        <v>8</v>
      </c>
      <c r="K87" s="104">
        <v>9</v>
      </c>
      <c r="L87" s="104">
        <v>10</v>
      </c>
      <c r="M87" s="104">
        <v>11</v>
      </c>
      <c r="N87" s="104">
        <v>12</v>
      </c>
    </row>
    <row r="88" spans="1:14" ht="24.95" customHeight="1">
      <c r="A88" s="149"/>
      <c r="B88" s="105" t="s">
        <v>91</v>
      </c>
      <c r="C88" s="106" t="str">
        <f>IF(ISNUMBER(#REF!),#REF!, " ")</f>
        <v xml:space="preserve"> </v>
      </c>
      <c r="D88" s="106" t="str">
        <f>IF(ISNUMBER(#REF!),#REF!, " ")</f>
        <v xml:space="preserve"> </v>
      </c>
      <c r="E88" s="106" t="str">
        <f>IF(ISNUMBER(#REF!),#REF!, " ")</f>
        <v xml:space="preserve"> </v>
      </c>
      <c r="F88" s="106" t="str">
        <f>IF(ISNUMBER(#REF!),#REF!, " ")</f>
        <v xml:space="preserve"> </v>
      </c>
      <c r="G88" s="106" t="str">
        <f>IF(ISNUMBER(#REF!),#REF!, " ")</f>
        <v xml:space="preserve"> </v>
      </c>
      <c r="H88" s="106" t="str">
        <f>IF(ISNUMBER(#REF!),#REF!, " ")</f>
        <v xml:space="preserve"> </v>
      </c>
      <c r="I88" s="106" t="str">
        <f>IF(ISNUMBER(#REF!),#REF!, " ")</f>
        <v xml:space="preserve"> </v>
      </c>
      <c r="J88" s="106" t="str">
        <f>IF(ISNUMBER(#REF!),#REF!, " ")</f>
        <v xml:space="preserve"> </v>
      </c>
      <c r="K88" s="106" t="str">
        <f>IF(ISNUMBER(#REF!),#REF!, " ")</f>
        <v xml:space="preserve"> </v>
      </c>
      <c r="L88" s="106" t="str">
        <f>IF(ISNUMBER(#REF!),#REF!, " ")</f>
        <v xml:space="preserve"> </v>
      </c>
      <c r="M88" s="106" t="str">
        <f>IF(ISNUMBER(#REF!),#REF!, " ")</f>
        <v xml:space="preserve"> </v>
      </c>
      <c r="N88" s="106" t="str">
        <f>IF(ISNUMBER(#REF!),#REF!, " ")</f>
        <v xml:space="preserve"> </v>
      </c>
    </row>
    <row r="89" spans="1:14" ht="24.95" customHeight="1">
      <c r="B89" s="105" t="s">
        <v>92</v>
      </c>
      <c r="C89" s="106" t="str">
        <f>IF(ISNUMBER(#REF!),#REF!, " ")</f>
        <v xml:space="preserve"> </v>
      </c>
      <c r="D89" s="106" t="str">
        <f>IF(ISNUMBER(#REF!),#REF!, " ")</f>
        <v xml:space="preserve"> </v>
      </c>
      <c r="E89" s="106" t="str">
        <f>IF(ISNUMBER(#REF!),#REF!, " ")</f>
        <v xml:space="preserve"> </v>
      </c>
      <c r="F89" s="106" t="str">
        <f>IF(ISNUMBER(#REF!),#REF!, " ")</f>
        <v xml:space="preserve"> </v>
      </c>
      <c r="G89" s="106" t="str">
        <f>IF(ISNUMBER(#REF!),#REF!, " ")</f>
        <v xml:space="preserve"> </v>
      </c>
      <c r="H89" s="106" t="str">
        <f>IF(ISNUMBER(#REF!),#REF!, " ")</f>
        <v xml:space="preserve"> </v>
      </c>
      <c r="I89" s="106" t="str">
        <f>IF(ISNUMBER(#REF!),#REF!, " ")</f>
        <v xml:space="preserve"> </v>
      </c>
      <c r="J89" s="106" t="str">
        <f>IF(ISNUMBER(#REF!),#REF!, " ")</f>
        <v xml:space="preserve"> </v>
      </c>
      <c r="K89" s="106" t="str">
        <f>IF(ISNUMBER(#REF!),#REF!, " ")</f>
        <v xml:space="preserve"> </v>
      </c>
      <c r="L89" s="106" t="str">
        <f>IF(ISNUMBER(#REF!),#REF!, " ")</f>
        <v xml:space="preserve"> </v>
      </c>
      <c r="M89" s="106" t="str">
        <f>IF(ISNUMBER(#REF!),#REF!, " ")</f>
        <v xml:space="preserve"> </v>
      </c>
      <c r="N89" s="106" t="str">
        <f>IF(ISNUMBER(#REF!),#REF!, " ")</f>
        <v xml:space="preserve"> </v>
      </c>
    </row>
    <row r="90" spans="1:14" ht="24.95" customHeight="1">
      <c r="B90" s="105" t="s">
        <v>93</v>
      </c>
      <c r="C90" s="106" t="str">
        <f>IF(ISNUMBER(#REF!),#REF!, " ")</f>
        <v xml:space="preserve"> </v>
      </c>
      <c r="D90" s="106" t="str">
        <f>IF(ISNUMBER(#REF!),#REF!, " ")</f>
        <v xml:space="preserve"> </v>
      </c>
      <c r="E90" s="106" t="str">
        <f>IF(ISNUMBER(#REF!),#REF!, " ")</f>
        <v xml:space="preserve"> </v>
      </c>
      <c r="F90" s="106" t="str">
        <f>IF(ISNUMBER(#REF!),#REF!, " ")</f>
        <v xml:space="preserve"> </v>
      </c>
      <c r="G90" s="106" t="str">
        <f>IF(ISNUMBER(#REF!),#REF!, " ")</f>
        <v xml:space="preserve"> </v>
      </c>
      <c r="H90" s="106" t="str">
        <f>IF(ISNUMBER(#REF!),#REF!, " ")</f>
        <v xml:space="preserve"> </v>
      </c>
      <c r="I90" s="106" t="str">
        <f>IF(ISNUMBER(#REF!),#REF!, " ")</f>
        <v xml:space="preserve"> </v>
      </c>
      <c r="J90" s="106" t="str">
        <f>IF(ISNUMBER(#REF!),#REF!, " ")</f>
        <v xml:space="preserve"> </v>
      </c>
      <c r="K90" s="106" t="str">
        <f>IF(ISNUMBER(#REF!),#REF!, " ")</f>
        <v xml:space="preserve"> </v>
      </c>
      <c r="L90" s="106" t="str">
        <f>IF(ISNUMBER(#REF!),#REF!, " ")</f>
        <v xml:space="preserve"> </v>
      </c>
      <c r="M90" s="106" t="str">
        <f>IF(ISNUMBER(#REF!),#REF!, " ")</f>
        <v xml:space="preserve"> </v>
      </c>
      <c r="N90" s="106" t="str">
        <f>IF(ISNUMBER(#REF!),#REF!, " ")</f>
        <v xml:space="preserve"> </v>
      </c>
    </row>
    <row r="91" spans="1:14" ht="24.95" customHeight="1">
      <c r="B91" s="105" t="s">
        <v>94</v>
      </c>
      <c r="C91" s="106" t="str">
        <f>IF(ISNUMBER(#REF!),#REF!, " ")</f>
        <v xml:space="preserve"> </v>
      </c>
      <c r="D91" s="106" t="str">
        <f>IF(ISNUMBER(#REF!),#REF!, " ")</f>
        <v xml:space="preserve"> </v>
      </c>
      <c r="E91" s="106" t="str">
        <f>IF(ISNUMBER(#REF!),#REF!, " ")</f>
        <v xml:space="preserve"> </v>
      </c>
      <c r="F91" s="106" t="str">
        <f>IF(ISNUMBER(#REF!),#REF!, " ")</f>
        <v xml:space="preserve"> </v>
      </c>
      <c r="G91" s="106" t="str">
        <f>IF(ISNUMBER(#REF!),#REF!, " ")</f>
        <v xml:space="preserve"> </v>
      </c>
      <c r="H91" s="106" t="str">
        <f>IF(ISNUMBER(#REF!),#REF!, " ")</f>
        <v xml:space="preserve"> </v>
      </c>
      <c r="I91" s="106" t="str">
        <f>IF(ISNUMBER(#REF!),#REF!, " ")</f>
        <v xml:space="preserve"> </v>
      </c>
      <c r="J91" s="106" t="str">
        <f>IF(ISNUMBER(#REF!),#REF!, " ")</f>
        <v xml:space="preserve"> </v>
      </c>
      <c r="K91" s="106" t="str">
        <f>IF(ISNUMBER(#REF!),#REF!, " ")</f>
        <v xml:space="preserve"> </v>
      </c>
      <c r="L91" s="106" t="str">
        <f>IF(ISNUMBER(#REF!),#REF!, " ")</f>
        <v xml:space="preserve"> </v>
      </c>
      <c r="M91" s="106" t="str">
        <f>IF(ISNUMBER(#REF!),#REF!, " ")</f>
        <v xml:space="preserve"> </v>
      </c>
      <c r="N91" s="106" t="str">
        <f>IF(ISNUMBER(#REF!),#REF!, " ")</f>
        <v xml:space="preserve"> </v>
      </c>
    </row>
    <row r="92" spans="1:14" ht="24.95" customHeight="1">
      <c r="B92" s="105" t="s">
        <v>95</v>
      </c>
      <c r="C92" s="106" t="str">
        <f>IF(ISNUMBER(#REF!),#REF!, " ")</f>
        <v xml:space="preserve"> </v>
      </c>
      <c r="D92" s="106" t="str">
        <f>IF(ISNUMBER(#REF!),#REF!, " ")</f>
        <v xml:space="preserve"> </v>
      </c>
      <c r="E92" s="106" t="str">
        <f>IF(ISNUMBER(#REF!),#REF!, " ")</f>
        <v xml:space="preserve"> </v>
      </c>
      <c r="F92" s="106" t="str">
        <f>IF(ISNUMBER(#REF!),#REF!, " ")</f>
        <v xml:space="preserve"> </v>
      </c>
      <c r="G92" s="106" t="str">
        <f>IF(ISNUMBER(#REF!),#REF!, " ")</f>
        <v xml:space="preserve"> </v>
      </c>
      <c r="H92" s="106" t="str">
        <f>IF(ISNUMBER(#REF!),#REF!, " ")</f>
        <v xml:space="preserve"> </v>
      </c>
      <c r="I92" s="106" t="str">
        <f>IF(ISNUMBER(#REF!),#REF!, " ")</f>
        <v xml:space="preserve"> </v>
      </c>
      <c r="J92" s="106" t="str">
        <f>IF(ISNUMBER(#REF!),#REF!, " ")</f>
        <v xml:space="preserve"> </v>
      </c>
      <c r="K92" s="106" t="str">
        <f>IF(ISNUMBER(#REF!),#REF!, " ")</f>
        <v xml:space="preserve"> </v>
      </c>
      <c r="L92" s="106" t="str">
        <f>IF(ISNUMBER(#REF!),#REF!, " ")</f>
        <v xml:space="preserve"> </v>
      </c>
      <c r="M92" s="106" t="str">
        <f>IF(ISNUMBER(#REF!),#REF!, " ")</f>
        <v xml:space="preserve"> </v>
      </c>
      <c r="N92" s="106" t="str">
        <f>IF(ISNUMBER(#REF!),#REF!, " ")</f>
        <v xml:space="preserve"> </v>
      </c>
    </row>
    <row r="93" spans="1:14" ht="24.95" customHeight="1">
      <c r="B93" s="105" t="s">
        <v>96</v>
      </c>
      <c r="C93" s="106" t="str">
        <f>IF(ISNUMBER(#REF!),#REF!, " ")</f>
        <v xml:space="preserve"> </v>
      </c>
      <c r="D93" s="106" t="str">
        <f>IF(ISNUMBER(#REF!),#REF!, " ")</f>
        <v xml:space="preserve"> </v>
      </c>
      <c r="E93" s="106" t="str">
        <f>IF(ISNUMBER(#REF!),#REF!, " ")</f>
        <v xml:space="preserve"> </v>
      </c>
      <c r="F93" s="106" t="str">
        <f>IF(ISNUMBER(#REF!),#REF!, " ")</f>
        <v xml:space="preserve"> </v>
      </c>
      <c r="G93" s="106" t="str">
        <f>IF(ISNUMBER(#REF!),#REF!, " ")</f>
        <v xml:space="preserve"> </v>
      </c>
      <c r="H93" s="106" t="str">
        <f>IF(ISNUMBER(#REF!),#REF!, " ")</f>
        <v xml:space="preserve"> </v>
      </c>
      <c r="I93" s="106" t="str">
        <f>IF(ISNUMBER(#REF!),#REF!, " ")</f>
        <v xml:space="preserve"> </v>
      </c>
      <c r="J93" s="106" t="str">
        <f>IF(ISNUMBER(#REF!),#REF!, " ")</f>
        <v xml:space="preserve"> </v>
      </c>
      <c r="K93" s="106" t="str">
        <f>IF(ISNUMBER(#REF!),#REF!, " ")</f>
        <v xml:space="preserve"> </v>
      </c>
      <c r="L93" s="106" t="str">
        <f>IF(ISNUMBER(#REF!),#REF!, " ")</f>
        <v xml:space="preserve"> </v>
      </c>
      <c r="M93" s="106" t="str">
        <f>IF(ISNUMBER(#REF!),#REF!, " ")</f>
        <v xml:space="preserve"> </v>
      </c>
      <c r="N93" s="106" t="str">
        <f>IF(ISNUMBER(#REF!),#REF!, " ")</f>
        <v xml:space="preserve"> </v>
      </c>
    </row>
    <row r="94" spans="1:14" ht="24.95" customHeight="1">
      <c r="B94" s="105" t="s">
        <v>97</v>
      </c>
      <c r="C94" s="106" t="str">
        <f>IF(ISNUMBER(#REF!),#REF!, " ")</f>
        <v xml:space="preserve"> </v>
      </c>
      <c r="D94" s="106" t="str">
        <f>IF(ISNUMBER(#REF!),#REF!, " ")</f>
        <v xml:space="preserve"> </v>
      </c>
      <c r="E94" s="106" t="str">
        <f>IF(ISNUMBER(#REF!),#REF!, " ")</f>
        <v xml:space="preserve"> </v>
      </c>
      <c r="F94" s="106" t="str">
        <f>IF(ISNUMBER(#REF!),#REF!, " ")</f>
        <v xml:space="preserve"> </v>
      </c>
      <c r="G94" s="106" t="str">
        <f>IF(ISNUMBER(#REF!),#REF!, " ")</f>
        <v xml:space="preserve"> </v>
      </c>
      <c r="H94" s="106" t="str">
        <f>IF(ISNUMBER(#REF!),#REF!, " ")</f>
        <v xml:space="preserve"> </v>
      </c>
      <c r="I94" s="106" t="str">
        <f>IF(ISNUMBER(#REF!),#REF!, " ")</f>
        <v xml:space="preserve"> </v>
      </c>
      <c r="J94" s="106" t="str">
        <f>IF(ISNUMBER(#REF!),#REF!, " ")</f>
        <v xml:space="preserve"> </v>
      </c>
      <c r="K94" s="106" t="str">
        <f>IF(ISNUMBER(#REF!),#REF!, " ")</f>
        <v xml:space="preserve"> </v>
      </c>
      <c r="L94" s="106" t="str">
        <f>IF(ISNUMBER(#REF!),#REF!, " ")</f>
        <v xml:space="preserve"> </v>
      </c>
      <c r="M94" s="106" t="str">
        <f>IF(ISNUMBER(#REF!),#REF!, " ")</f>
        <v xml:space="preserve"> </v>
      </c>
      <c r="N94" s="106" t="str">
        <f>IF(ISNUMBER(#REF!),#REF!, " ")</f>
        <v xml:space="preserve"> </v>
      </c>
    </row>
    <row r="95" spans="1:14" ht="24.95" customHeight="1" thickBot="1">
      <c r="B95" s="105" t="s">
        <v>98</v>
      </c>
      <c r="C95" s="106" t="str">
        <f>IF(ISNUMBER(#REF!),#REF!, " ")</f>
        <v xml:space="preserve"> </v>
      </c>
      <c r="D95" s="106" t="str">
        <f>IF(ISNUMBER(#REF!),#REF!, " ")</f>
        <v xml:space="preserve"> </v>
      </c>
      <c r="E95" s="106" t="str">
        <f>IF(ISNUMBER(#REF!),#REF!, " ")</f>
        <v xml:space="preserve"> </v>
      </c>
      <c r="F95" s="106" t="str">
        <f>IF(ISNUMBER(#REF!),#REF!, " ")</f>
        <v xml:space="preserve"> </v>
      </c>
      <c r="G95" s="106" t="str">
        <f>IF(ISNUMBER(#REF!),#REF!, " ")</f>
        <v xml:space="preserve"> </v>
      </c>
      <c r="H95" s="106" t="str">
        <f>IF(ISNUMBER(#REF!),#REF!, " ")</f>
        <v xml:space="preserve"> </v>
      </c>
      <c r="I95" s="106" t="str">
        <f>IF(ISNUMBER(#REF!),#REF!, " ")</f>
        <v xml:space="preserve"> </v>
      </c>
      <c r="J95" s="106" t="str">
        <f>IF(ISNUMBER(#REF!),#REF!, " ")</f>
        <v xml:space="preserve"> </v>
      </c>
      <c r="K95" s="106" t="str">
        <f>IF(ISNUMBER(#REF!),#REF!, " ")</f>
        <v xml:space="preserve"> </v>
      </c>
      <c r="L95" s="106" t="str">
        <f>IF(ISNUMBER(#REF!),#REF!, " ")</f>
        <v xml:space="preserve"> </v>
      </c>
      <c r="M95" s="106" t="str">
        <f>IF(ISNUMBER(#REF!),#REF!, " ")</f>
        <v xml:space="preserve"> </v>
      </c>
      <c r="N95" s="106" t="str">
        <f>IF(ISNUMBER(#REF!),#REF!, " ")</f>
        <v xml:space="preserve"> </v>
      </c>
    </row>
    <row r="96" spans="1:14" ht="24.95" customHeight="1" thickBot="1">
      <c r="A96" s="150"/>
      <c r="B96" s="96" t="s">
        <v>83</v>
      </c>
      <c r="D96" s="190" t="s">
        <v>99</v>
      </c>
      <c r="G96" s="142" t="s">
        <v>88</v>
      </c>
      <c r="H96" s="185"/>
    </row>
    <row r="97" spans="1:13" ht="24.95" customHeight="1">
      <c r="D97" s="191" t="s">
        <v>100</v>
      </c>
      <c r="E97" s="283" t="str">
        <f>IF($H$96&gt;0,CONCATENATE($H$96," cycles"),"___cycles")</f>
        <v>___cycles</v>
      </c>
    </row>
    <row r="98" spans="1:13" ht="24.95" customHeight="1">
      <c r="D98" s="191" t="s">
        <v>101</v>
      </c>
      <c r="E98" s="420"/>
    </row>
    <row r="99" spans="1:13" ht="24.95" customHeight="1">
      <c r="D99" s="191" t="s">
        <v>102</v>
      </c>
      <c r="E99" s="421"/>
    </row>
    <row r="100" spans="1:13" ht="24.95" customHeight="1">
      <c r="D100" s="190" t="s">
        <v>87</v>
      </c>
    </row>
    <row r="101" spans="1:13" ht="24.95" customHeight="1" thickBot="1">
      <c r="D101" s="190" t="s">
        <v>238</v>
      </c>
    </row>
    <row r="102" spans="1:13" ht="24.95" customHeight="1" thickBot="1">
      <c r="A102" s="150"/>
      <c r="B102" s="386" t="s">
        <v>343</v>
      </c>
      <c r="C102" s="407"/>
      <c r="D102" s="407"/>
      <c r="E102" s="407"/>
      <c r="F102" s="407"/>
      <c r="G102" s="407"/>
      <c r="H102" s="407"/>
      <c r="I102" s="407"/>
      <c r="K102" s="103" t="s">
        <v>243</v>
      </c>
    </row>
    <row r="103" spans="1:13" ht="12" customHeight="1" thickBot="1">
      <c r="B103" s="419"/>
      <c r="C103" s="407"/>
      <c r="D103" s="407"/>
      <c r="E103" s="407"/>
      <c r="F103" s="407"/>
      <c r="G103" s="407"/>
      <c r="H103" s="407"/>
      <c r="I103" s="407"/>
      <c r="K103" s="103"/>
    </row>
    <row r="104" spans="1:13" ht="24.95" customHeight="1" thickBot="1">
      <c r="A104" s="150"/>
      <c r="B104" s="96" t="s">
        <v>344</v>
      </c>
    </row>
    <row r="105" spans="1:13" ht="26.25" customHeight="1" thickBot="1">
      <c r="A105" s="188"/>
      <c r="B105" s="418" t="s">
        <v>252</v>
      </c>
      <c r="C105" s="410"/>
      <c r="D105" s="410"/>
      <c r="E105" s="410"/>
      <c r="F105" s="410"/>
      <c r="G105" s="410"/>
      <c r="H105" s="410"/>
      <c r="I105" s="410"/>
      <c r="J105" s="410"/>
      <c r="K105" s="410"/>
      <c r="L105" s="410"/>
      <c r="M105" s="411"/>
    </row>
    <row r="106" spans="1:13" ht="26.25" customHeight="1" thickBot="1">
      <c r="A106" s="175"/>
      <c r="B106" s="96" t="s">
        <v>253</v>
      </c>
      <c r="C106" s="151"/>
      <c r="E106" s="192"/>
    </row>
    <row r="107" spans="1:13" ht="26.25" customHeight="1" thickBot="1">
      <c r="A107" s="175"/>
      <c r="B107" s="151" t="s">
        <v>254</v>
      </c>
    </row>
    <row r="108" spans="1:13" ht="26.25" customHeight="1">
      <c r="A108" s="179"/>
      <c r="C108" s="96" t="s">
        <v>110</v>
      </c>
      <c r="D108" s="96"/>
      <c r="E108" s="96"/>
      <c r="F108" s="96" t="s">
        <v>420</v>
      </c>
      <c r="G108" s="151"/>
    </row>
    <row r="109" spans="1:13" ht="26.25" customHeight="1">
      <c r="A109" s="179"/>
      <c r="C109" s="242" t="s">
        <v>424</v>
      </c>
      <c r="D109" s="96"/>
      <c r="E109" s="96"/>
      <c r="G109" s="242" t="s">
        <v>423</v>
      </c>
    </row>
    <row r="110" spans="1:13" ht="26.25" customHeight="1">
      <c r="A110" s="179"/>
      <c r="C110" s="242" t="s">
        <v>425</v>
      </c>
      <c r="E110" s="96"/>
      <c r="G110" s="242" t="s">
        <v>421</v>
      </c>
    </row>
    <row r="111" spans="1:13" ht="26.25" customHeight="1">
      <c r="A111" s="179"/>
      <c r="C111" s="242" t="s">
        <v>426</v>
      </c>
      <c r="E111" s="96"/>
      <c r="G111" s="242" t="s">
        <v>422</v>
      </c>
    </row>
    <row r="114" spans="3:9" ht="26.25" customHeight="1">
      <c r="C114" s="395" t="s">
        <v>113</v>
      </c>
      <c r="D114" s="404"/>
      <c r="E114" s="405"/>
      <c r="F114" s="399" t="s">
        <v>518</v>
      </c>
      <c r="G114" s="404"/>
      <c r="H114" s="404"/>
      <c r="I114" s="405"/>
    </row>
    <row r="115" spans="3:9" ht="26.25" customHeight="1">
      <c r="C115" s="399" t="s">
        <v>114</v>
      </c>
      <c r="D115" s="404"/>
      <c r="E115" s="405"/>
      <c r="F115" s="399" t="s">
        <v>115</v>
      </c>
      <c r="G115" s="404"/>
      <c r="H115" s="404"/>
      <c r="I115" s="405"/>
    </row>
    <row r="116" spans="3:9" ht="26.25" customHeight="1">
      <c r="C116" s="399" t="s">
        <v>116</v>
      </c>
      <c r="D116" s="404"/>
      <c r="E116" s="405"/>
      <c r="F116" s="399" t="s">
        <v>117</v>
      </c>
      <c r="G116" s="404"/>
      <c r="H116" s="404"/>
      <c r="I116" s="405"/>
    </row>
    <row r="117" spans="3:9" ht="30.6" customHeight="1">
      <c r="C117" s="399" t="s">
        <v>118</v>
      </c>
      <c r="D117" s="404"/>
      <c r="E117" s="405"/>
      <c r="F117" s="399" t="s">
        <v>345</v>
      </c>
      <c r="G117" s="404"/>
      <c r="H117" s="404"/>
      <c r="I117" s="405"/>
    </row>
    <row r="118" spans="3:9" ht="26.25" customHeight="1">
      <c r="C118" s="399" t="s">
        <v>119</v>
      </c>
      <c r="D118" s="404"/>
      <c r="E118" s="405"/>
      <c r="F118" s="399" t="s">
        <v>277</v>
      </c>
      <c r="G118" s="404"/>
      <c r="H118" s="404"/>
      <c r="I118" s="405"/>
    </row>
    <row r="119" spans="3:9" ht="26.25" customHeight="1">
      <c r="C119" s="399" t="s">
        <v>121</v>
      </c>
      <c r="D119" s="404"/>
      <c r="E119" s="405"/>
      <c r="F119" s="399" t="s">
        <v>120</v>
      </c>
      <c r="G119" s="404"/>
      <c r="H119" s="404"/>
      <c r="I119" s="405"/>
    </row>
    <row r="120" spans="3:9" ht="26.25" customHeight="1">
      <c r="C120" s="399" t="s">
        <v>122</v>
      </c>
      <c r="D120" s="404"/>
      <c r="E120" s="405"/>
      <c r="F120" s="423" t="s">
        <v>427</v>
      </c>
      <c r="G120" s="404"/>
      <c r="H120" s="404"/>
      <c r="I120" s="405"/>
    </row>
    <row r="121" spans="3:9" ht="26.25" customHeight="1">
      <c r="C121" s="399" t="s">
        <v>123</v>
      </c>
      <c r="D121" s="404"/>
      <c r="E121" s="405"/>
      <c r="F121" s="424">
        <v>20250801</v>
      </c>
      <c r="G121" s="404"/>
      <c r="H121" s="404"/>
      <c r="I121" s="405"/>
    </row>
  </sheetData>
  <mergeCells count="66">
    <mergeCell ref="C119:E119"/>
    <mergeCell ref="F119:I119"/>
    <mergeCell ref="C120:E120"/>
    <mergeCell ref="F120:I120"/>
    <mergeCell ref="C121:E121"/>
    <mergeCell ref="F121:I121"/>
    <mergeCell ref="C116:E116"/>
    <mergeCell ref="F116:I116"/>
    <mergeCell ref="C117:E117"/>
    <mergeCell ref="F117:I117"/>
    <mergeCell ref="C118:E118"/>
    <mergeCell ref="F118:I118"/>
    <mergeCell ref="B102:I103"/>
    <mergeCell ref="G55:I55"/>
    <mergeCell ref="E58:E60"/>
    <mergeCell ref="B63:M63"/>
    <mergeCell ref="B74:I75"/>
    <mergeCell ref="E97:E99"/>
    <mergeCell ref="C114:E114"/>
    <mergeCell ref="F114:I114"/>
    <mergeCell ref="C115:E115"/>
    <mergeCell ref="F115:I115"/>
    <mergeCell ref="B105:M105"/>
    <mergeCell ref="G30:H30"/>
    <mergeCell ref="G25:H25"/>
    <mergeCell ref="G26:H26"/>
    <mergeCell ref="G27:H27"/>
    <mergeCell ref="G54:I54"/>
    <mergeCell ref="G45:I45"/>
    <mergeCell ref="G28:H28"/>
    <mergeCell ref="G29:H29"/>
    <mergeCell ref="C48:D48"/>
    <mergeCell ref="C49:D49"/>
    <mergeCell ref="C50:D50"/>
    <mergeCell ref="G31:H31"/>
    <mergeCell ref="B38:M38"/>
    <mergeCell ref="B41:F41"/>
    <mergeCell ref="G42:I42"/>
    <mergeCell ref="C43:E44"/>
    <mergeCell ref="G43:I43"/>
    <mergeCell ref="G44:I44"/>
    <mergeCell ref="A8:D8"/>
    <mergeCell ref="E8:G8"/>
    <mergeCell ref="A9:D9"/>
    <mergeCell ref="E9:G9"/>
    <mergeCell ref="A10:D10"/>
    <mergeCell ref="E10:G10"/>
    <mergeCell ref="A11:D11"/>
    <mergeCell ref="B12:M12"/>
    <mergeCell ref="G23:H23"/>
    <mergeCell ref="J23:L23"/>
    <mergeCell ref="G24:H24"/>
    <mergeCell ref="A5:D5"/>
    <mergeCell ref="E5:G5"/>
    <mergeCell ref="A6:D6"/>
    <mergeCell ref="E6:G6"/>
    <mergeCell ref="A7:D7"/>
    <mergeCell ref="E7:G7"/>
    <mergeCell ref="A4:D4"/>
    <mergeCell ref="E4:G4"/>
    <mergeCell ref="J4:K4"/>
    <mergeCell ref="C1:J1"/>
    <mergeCell ref="A2:D2"/>
    <mergeCell ref="E2:G2"/>
    <mergeCell ref="A3:D3"/>
    <mergeCell ref="E3:G3"/>
  </mergeCells>
  <conditionalFormatting sqref="D16:D19">
    <cfRule type="iconSet" priority="1">
      <iconSet>
        <cfvo type="percent" val="0"/>
        <cfvo type="percent" val="33"/>
        <cfvo type="percent" val="67"/>
      </iconSet>
    </cfRule>
  </conditionalFormatting>
  <pageMargins left="0.25" right="0" top="0.25" bottom="0.25" header="0" footer="0"/>
  <pageSetup paperSize="9" scale="60" fitToWidth="2"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30F1-8FDD-4CE5-AC72-A8DF5AC58633}">
  <dimension ref="A1:AK206"/>
  <sheetViews>
    <sheetView tabSelected="1" zoomScaleNormal="100" workbookViewId="0">
      <selection activeCell="A8" sqref="A8:D8"/>
    </sheetView>
  </sheetViews>
  <sheetFormatPr defaultColWidth="8.85546875" defaultRowHeight="26.25" customHeight="1"/>
  <cols>
    <col min="1" max="1" width="4.42578125" style="141" customWidth="1"/>
    <col min="2" max="2" width="5.85546875" style="141" customWidth="1"/>
    <col min="3" max="3" width="5.42578125" style="141" customWidth="1"/>
    <col min="4" max="4" width="12.42578125" style="141" customWidth="1"/>
    <col min="5" max="5" width="12.85546875" style="141" customWidth="1"/>
    <col min="6" max="6" width="16.28515625" style="141" customWidth="1"/>
    <col min="7" max="7" width="13.85546875" style="141" customWidth="1"/>
    <col min="8" max="8" width="11.5703125" style="141" customWidth="1"/>
    <col min="9" max="9" width="12.42578125" style="141" customWidth="1"/>
    <col min="10" max="10" width="6.85546875" style="141" customWidth="1"/>
    <col min="11" max="11" width="9" style="141" customWidth="1"/>
    <col min="12" max="12" width="7.42578125" style="141" customWidth="1"/>
    <col min="13" max="13" width="11" style="141" customWidth="1"/>
    <col min="14" max="14" width="14.28515625" style="141" customWidth="1"/>
    <col min="15" max="15" width="7.140625" style="141" customWidth="1"/>
    <col min="16" max="16" width="8.140625" style="141" customWidth="1"/>
    <col min="17" max="17" width="5.5703125" style="141" customWidth="1"/>
    <col min="18" max="18" width="5.85546875" style="141" customWidth="1"/>
    <col min="19" max="19" width="11.28515625" style="141" customWidth="1"/>
    <col min="20" max="20" width="12.85546875" style="141" customWidth="1"/>
    <col min="21" max="21" width="19" style="141" customWidth="1"/>
    <col min="22" max="22" width="5.42578125" style="141" customWidth="1"/>
    <col min="23" max="23" width="6.140625" style="141" customWidth="1"/>
    <col min="24" max="25" width="5.85546875" style="141" customWidth="1"/>
    <col min="26" max="27" width="6.42578125" style="141" customWidth="1"/>
    <col min="28" max="28" width="6.140625" style="141" customWidth="1"/>
    <col min="29" max="29" width="5.85546875" style="141" customWidth="1"/>
    <col min="30" max="31" width="8.85546875" style="141"/>
    <col min="32" max="32" width="9.42578125" style="141" customWidth="1"/>
    <col min="33" max="16384" width="8.85546875" style="141"/>
  </cols>
  <sheetData>
    <row r="1" spans="1:37" ht="26.25" customHeight="1">
      <c r="B1" s="90"/>
      <c r="C1" s="310" t="s">
        <v>502</v>
      </c>
      <c r="D1" s="310"/>
      <c r="E1" s="310"/>
      <c r="F1" s="310"/>
      <c r="G1" s="310"/>
      <c r="H1" s="310"/>
      <c r="I1" s="310"/>
      <c r="J1" s="310"/>
      <c r="Q1" s="90"/>
    </row>
    <row r="2" spans="1:37" ht="26.25" customHeight="1">
      <c r="A2" s="286" t="s">
        <v>60</v>
      </c>
      <c r="B2" s="286"/>
      <c r="C2" s="286"/>
      <c r="D2" s="286"/>
      <c r="E2" s="287"/>
      <c r="F2" s="287"/>
      <c r="G2" s="287"/>
      <c r="J2" s="146" t="s">
        <v>61</v>
      </c>
      <c r="K2" s="91" t="s">
        <v>159</v>
      </c>
    </row>
    <row r="3" spans="1:37" ht="26.25" customHeight="1">
      <c r="A3" s="311" t="s">
        <v>62</v>
      </c>
      <c r="B3" s="312"/>
      <c r="C3" s="312"/>
      <c r="D3" s="313"/>
      <c r="E3" s="314"/>
      <c r="F3" s="315"/>
      <c r="G3" s="316"/>
      <c r="I3" s="318" t="s">
        <v>63</v>
      </c>
      <c r="J3" s="319"/>
      <c r="K3" s="144"/>
      <c r="L3" s="282" t="s">
        <v>64</v>
      </c>
      <c r="M3" s="282"/>
      <c r="P3" s="110"/>
    </row>
    <row r="4" spans="1:37" ht="26.25" customHeight="1">
      <c r="A4" s="317" t="s">
        <v>1336</v>
      </c>
      <c r="B4" s="317"/>
      <c r="C4" s="317"/>
      <c r="D4" s="317"/>
      <c r="E4" s="314"/>
      <c r="F4" s="315"/>
      <c r="G4" s="316"/>
      <c r="I4" s="318" t="s">
        <v>442</v>
      </c>
      <c r="J4" s="319"/>
      <c r="K4" s="144"/>
      <c r="L4"/>
      <c r="M4"/>
      <c r="N4"/>
      <c r="O4"/>
      <c r="P4" s="110"/>
    </row>
    <row r="5" spans="1:37" ht="24.75" customHeight="1">
      <c r="A5" s="317" t="s">
        <v>1341</v>
      </c>
      <c r="B5" s="317"/>
      <c r="C5" s="317"/>
      <c r="D5" s="317"/>
      <c r="E5" s="287"/>
      <c r="F5" s="287"/>
      <c r="G5" s="287"/>
      <c r="J5" s="146" t="s">
        <v>1337</v>
      </c>
      <c r="K5" s="91"/>
      <c r="N5"/>
      <c r="O5"/>
    </row>
    <row r="6" spans="1:37" ht="27" customHeight="1">
      <c r="A6" s="317" t="s">
        <v>1340</v>
      </c>
      <c r="B6" s="317"/>
      <c r="C6" s="317"/>
      <c r="D6" s="317"/>
      <c r="E6" s="287"/>
      <c r="F6" s="287"/>
      <c r="G6" s="287"/>
      <c r="I6" s="320" t="s">
        <v>1338</v>
      </c>
      <c r="J6" s="321"/>
      <c r="K6" s="91"/>
      <c r="N6"/>
      <c r="O6"/>
    </row>
    <row r="7" spans="1:37" ht="24.75" customHeight="1">
      <c r="A7" s="317" t="s">
        <v>1339</v>
      </c>
      <c r="B7" s="317"/>
      <c r="C7" s="317"/>
      <c r="D7" s="317"/>
      <c r="E7" s="287"/>
      <c r="F7" s="287"/>
      <c r="G7" s="287"/>
      <c r="I7"/>
      <c r="J7"/>
      <c r="K7"/>
      <c r="L7"/>
      <c r="M7"/>
      <c r="N7"/>
      <c r="O7"/>
    </row>
    <row r="8" spans="1:37" ht="23.45" customHeight="1">
      <c r="A8" s="286" t="s">
        <v>443</v>
      </c>
      <c r="B8" s="286"/>
      <c r="C8" s="286"/>
      <c r="D8" s="286"/>
      <c r="E8" s="287"/>
      <c r="F8" s="287"/>
      <c r="G8" s="287"/>
      <c r="L8"/>
      <c r="M8"/>
      <c r="N8"/>
      <c r="AK8" s="147"/>
    </row>
    <row r="9" spans="1:37" ht="28.5" customHeight="1">
      <c r="A9" s="286" t="s">
        <v>124</v>
      </c>
      <c r="B9" s="286"/>
      <c r="C9" s="286"/>
      <c r="D9" s="286"/>
      <c r="E9" s="287"/>
      <c r="F9" s="287"/>
      <c r="G9" s="287"/>
      <c r="L9"/>
      <c r="M9"/>
      <c r="N9"/>
      <c r="O9"/>
      <c r="AK9" s="147"/>
    </row>
    <row r="10" spans="1:37" ht="23.25" customHeight="1">
      <c r="A10" s="286" t="s">
        <v>65</v>
      </c>
      <c r="B10" s="286"/>
      <c r="C10" s="286"/>
      <c r="D10" s="286"/>
      <c r="E10" s="301"/>
      <c r="F10" s="301"/>
      <c r="G10" s="301"/>
      <c r="I10" s="285" t="s">
        <v>287</v>
      </c>
      <c r="J10" s="285"/>
      <c r="K10" s="285"/>
      <c r="O10"/>
    </row>
    <row r="11" spans="1:37" ht="26.25" customHeight="1">
      <c r="A11" s="286" t="s">
        <v>66</v>
      </c>
      <c r="B11" s="286"/>
      <c r="C11" s="286"/>
      <c r="D11" s="286"/>
      <c r="E11" s="287"/>
      <c r="F11" s="287"/>
      <c r="G11" s="287"/>
      <c r="I11" s="285"/>
      <c r="J11" s="285"/>
      <c r="K11" s="285"/>
      <c r="O11"/>
      <c r="P11"/>
      <c r="Q11"/>
      <c r="R11"/>
    </row>
    <row r="12" spans="1:37" ht="28.5" customHeight="1">
      <c r="A12" s="286" t="s">
        <v>67</v>
      </c>
      <c r="B12" s="286"/>
      <c r="C12" s="286"/>
      <c r="D12" s="286"/>
      <c r="E12" s="288"/>
      <c r="F12" s="289"/>
      <c r="G12" s="290"/>
      <c r="I12" s="285"/>
      <c r="J12" s="285"/>
      <c r="K12" s="285"/>
    </row>
    <row r="13" spans="1:37" ht="21.6" customHeight="1" thickBot="1">
      <c r="A13" s="291" t="s">
        <v>167</v>
      </c>
      <c r="B13" s="291"/>
      <c r="C13" s="291"/>
      <c r="D13" s="291"/>
      <c r="E13" s="148">
        <v>4</v>
      </c>
      <c r="F13" s="128">
        <v>1</v>
      </c>
      <c r="G13" s="292" t="s">
        <v>166</v>
      </c>
      <c r="H13" s="292"/>
      <c r="I13" s="292"/>
      <c r="J13" s="267">
        <v>1</v>
      </c>
      <c r="K13" s="151"/>
    </row>
    <row r="14" spans="1:37" ht="26.25" customHeight="1" thickBot="1">
      <c r="A14" s="149"/>
      <c r="B14" s="293" t="s">
        <v>125</v>
      </c>
      <c r="C14" s="294"/>
      <c r="D14" s="294"/>
      <c r="E14" s="294"/>
      <c r="F14" s="294"/>
      <c r="G14" s="295"/>
      <c r="H14" s="295"/>
      <c r="I14" s="295"/>
      <c r="J14" s="295"/>
      <c r="K14" s="294"/>
      <c r="L14" s="294"/>
      <c r="M14" s="296"/>
      <c r="O14" s="92"/>
    </row>
    <row r="15" spans="1:37" ht="23.45" customHeight="1" thickBot="1">
      <c r="A15" s="124"/>
      <c r="B15" s="151" t="s">
        <v>128</v>
      </c>
      <c r="C15"/>
      <c r="D15"/>
      <c r="E15"/>
      <c r="F15"/>
      <c r="G15"/>
      <c r="H15"/>
      <c r="I15"/>
      <c r="J15"/>
      <c r="K15"/>
      <c r="L15"/>
      <c r="M15"/>
      <c r="N15"/>
      <c r="O15"/>
      <c r="P15"/>
    </row>
    <row r="16" spans="1:37" ht="21.75" customHeight="1" thickBot="1">
      <c r="A16" s="124"/>
      <c r="B16" s="151" t="s">
        <v>282</v>
      </c>
      <c r="C16"/>
      <c r="D16"/>
      <c r="E16"/>
      <c r="F16"/>
      <c r="G16"/>
      <c r="H16"/>
      <c r="I16"/>
      <c r="J16"/>
      <c r="K16"/>
      <c r="L16"/>
      <c r="M16"/>
      <c r="N16"/>
      <c r="O16"/>
      <c r="P16"/>
    </row>
    <row r="17" spans="1:16" ht="27.75" customHeight="1" thickBot="1">
      <c r="A17"/>
      <c r="D17" s="114" t="s">
        <v>126</v>
      </c>
      <c r="E17" s="131" t="s">
        <v>127</v>
      </c>
      <c r="F17" s="297" t="str">
        <f>CONCATENATE(" Volume for ",$E$13," samples +20%")</f>
        <v xml:space="preserve"> Volume for 4 samples +20%</v>
      </c>
      <c r="G17" s="298"/>
      <c r="H17"/>
      <c r="I17"/>
      <c r="J17"/>
      <c r="K17"/>
      <c r="L17"/>
      <c r="M17"/>
      <c r="N17"/>
      <c r="O17"/>
    </row>
    <row r="18" spans="1:16" ht="27.75" customHeight="1">
      <c r="A18"/>
      <c r="D18" s="119" t="s">
        <v>79</v>
      </c>
      <c r="E18" s="172">
        <f>500-62.5</f>
        <v>437.5</v>
      </c>
      <c r="F18" s="299">
        <f>E18*E13*1.2</f>
        <v>2100</v>
      </c>
      <c r="G18" s="300"/>
      <c r="H18"/>
      <c r="I18"/>
      <c r="J18"/>
      <c r="K18"/>
      <c r="L18"/>
      <c r="M18" s="213"/>
      <c r="N18"/>
      <c r="O18"/>
    </row>
    <row r="19" spans="1:16" ht="27.75" customHeight="1" thickBot="1">
      <c r="A19"/>
      <c r="D19" s="116" t="s">
        <v>281</v>
      </c>
      <c r="E19" s="156">
        <f>62.5</f>
        <v>62.5</v>
      </c>
      <c r="F19" s="302">
        <f>E19*E13*1.2</f>
        <v>300</v>
      </c>
      <c r="G19" s="303"/>
      <c r="H19"/>
      <c r="I19"/>
      <c r="J19"/>
      <c r="K19"/>
      <c r="L19"/>
      <c r="M19"/>
      <c r="N19"/>
      <c r="O19"/>
    </row>
    <row r="20" spans="1:16" ht="21.95" customHeight="1" thickBot="1">
      <c r="A20" s="124"/>
      <c r="B20" s="151" t="s">
        <v>283</v>
      </c>
      <c r="C20"/>
      <c r="D20"/>
      <c r="E20"/>
      <c r="F20"/>
      <c r="G20"/>
      <c r="H20"/>
      <c r="I20"/>
      <c r="J20"/>
      <c r="K20"/>
      <c r="L20"/>
      <c r="M20"/>
      <c r="N20"/>
      <c r="O20"/>
      <c r="P20"/>
    </row>
    <row r="21" spans="1:16" ht="21.75" customHeight="1" thickBot="1">
      <c r="A21" s="124"/>
      <c r="B21" s="151" t="s">
        <v>295</v>
      </c>
      <c r="C21"/>
      <c r="D21"/>
      <c r="E21"/>
      <c r="F21"/>
      <c r="G21"/>
      <c r="H21"/>
      <c r="I21"/>
      <c r="J21"/>
      <c r="K21" s="103" t="s">
        <v>129</v>
      </c>
      <c r="L21"/>
      <c r="M21"/>
      <c r="N21"/>
      <c r="O21"/>
      <c r="P21"/>
    </row>
    <row r="22" spans="1:16" ht="23.25" customHeight="1" thickBot="1">
      <c r="A22" s="124"/>
      <c r="B22" s="151" t="s">
        <v>168</v>
      </c>
      <c r="C22"/>
      <c r="D22"/>
      <c r="E22"/>
      <c r="F22"/>
      <c r="G22"/>
      <c r="H22"/>
      <c r="I22"/>
      <c r="J22"/>
      <c r="K22"/>
      <c r="L22"/>
      <c r="M22"/>
      <c r="N22"/>
      <c r="O22"/>
      <c r="P22"/>
    </row>
    <row r="23" spans="1:16" s="111" customFormat="1" ht="45.75" customHeight="1" thickBot="1">
      <c r="D23" s="136" t="s">
        <v>130</v>
      </c>
      <c r="E23" s="252" t="s">
        <v>477</v>
      </c>
      <c r="H23" s="136" t="s">
        <v>130</v>
      </c>
      <c r="I23" s="252" t="s">
        <v>477</v>
      </c>
    </row>
    <row r="24" spans="1:16" ht="27.75" customHeight="1">
      <c r="A24"/>
      <c r="B24"/>
      <c r="C24"/>
      <c r="D24" s="113" cm="1">
        <f t="array" ref="D24:D31">[1]FLEX_table!B2:B9</f>
        <v>0</v>
      </c>
      <c r="E24" s="113"/>
      <c r="F24"/>
      <c r="G24"/>
      <c r="H24" s="113" cm="1">
        <f t="array" ref="H24:H31">[1]FLEX_table!B10:B17</f>
        <v>0</v>
      </c>
      <c r="I24" s="113"/>
      <c r="J24"/>
      <c r="K24"/>
      <c r="L24"/>
      <c r="M24"/>
      <c r="N24"/>
      <c r="O24"/>
      <c r="P24"/>
    </row>
    <row r="25" spans="1:16" ht="27.75" customHeight="1">
      <c r="A25"/>
      <c r="B25"/>
      <c r="C25"/>
      <c r="D25" s="113">
        <v>0</v>
      </c>
      <c r="E25" s="1"/>
      <c r="F25"/>
      <c r="G25"/>
      <c r="H25" s="113">
        <v>0</v>
      </c>
      <c r="I25" s="1"/>
      <c r="J25"/>
      <c r="K25"/>
      <c r="L25"/>
      <c r="M25"/>
      <c r="N25"/>
      <c r="O25"/>
      <c r="P25"/>
    </row>
    <row r="26" spans="1:16" ht="27.75" customHeight="1">
      <c r="A26"/>
      <c r="B26"/>
      <c r="C26"/>
      <c r="D26" s="113">
        <v>0</v>
      </c>
      <c r="E26" s="1"/>
      <c r="F26"/>
      <c r="G26"/>
      <c r="H26" s="113">
        <v>0</v>
      </c>
      <c r="I26" s="1"/>
      <c r="J26"/>
      <c r="K26"/>
      <c r="L26"/>
      <c r="M26"/>
      <c r="N26"/>
      <c r="O26"/>
      <c r="P26"/>
    </row>
    <row r="27" spans="1:16" ht="27.75" customHeight="1">
      <c r="A27"/>
      <c r="B27"/>
      <c r="C27"/>
      <c r="D27" s="113">
        <v>0</v>
      </c>
      <c r="E27" s="1"/>
      <c r="F27"/>
      <c r="G27"/>
      <c r="H27" s="113">
        <v>0</v>
      </c>
      <c r="I27" s="1"/>
      <c r="J27"/>
      <c r="K27"/>
      <c r="L27"/>
      <c r="M27"/>
      <c r="N27"/>
      <c r="O27"/>
      <c r="P27"/>
    </row>
    <row r="28" spans="1:16" ht="27.75" customHeight="1">
      <c r="A28"/>
      <c r="B28"/>
      <c r="C28"/>
      <c r="D28" s="113">
        <v>0</v>
      </c>
      <c r="E28" s="1"/>
      <c r="F28"/>
      <c r="G28"/>
      <c r="H28" s="113">
        <v>0</v>
      </c>
      <c r="I28" s="1"/>
      <c r="J28"/>
      <c r="K28"/>
      <c r="L28"/>
      <c r="M28"/>
      <c r="N28"/>
      <c r="O28"/>
      <c r="P28"/>
    </row>
    <row r="29" spans="1:16" ht="27.75" customHeight="1">
      <c r="A29"/>
      <c r="B29"/>
      <c r="C29"/>
      <c r="D29" s="113">
        <v>0</v>
      </c>
      <c r="E29" s="1"/>
      <c r="F29"/>
      <c r="G29"/>
      <c r="H29" s="113">
        <v>0</v>
      </c>
      <c r="I29" s="1"/>
      <c r="J29"/>
      <c r="K29"/>
      <c r="L29"/>
      <c r="M29"/>
      <c r="N29"/>
      <c r="O29"/>
      <c r="P29"/>
    </row>
    <row r="30" spans="1:16" ht="27.75" customHeight="1">
      <c r="A30"/>
      <c r="B30"/>
      <c r="C30"/>
      <c r="D30" s="113">
        <v>0</v>
      </c>
      <c r="E30" s="1"/>
      <c r="F30"/>
      <c r="G30"/>
      <c r="H30" s="113">
        <v>0</v>
      </c>
      <c r="I30" s="1"/>
      <c r="J30"/>
      <c r="K30"/>
      <c r="L30"/>
      <c r="M30"/>
      <c r="N30"/>
      <c r="O30"/>
      <c r="P30"/>
    </row>
    <row r="31" spans="1:16" ht="27.75" customHeight="1" thickBot="1">
      <c r="A31"/>
      <c r="B31"/>
      <c r="C31"/>
      <c r="D31" s="113">
        <v>0</v>
      </c>
      <c r="E31" s="1"/>
      <c r="F31"/>
      <c r="G31"/>
      <c r="H31" s="113">
        <v>0</v>
      </c>
      <c r="I31" s="1"/>
      <c r="J31"/>
      <c r="K31"/>
      <c r="L31"/>
      <c r="M31"/>
      <c r="N31"/>
      <c r="O31"/>
      <c r="P31"/>
    </row>
    <row r="32" spans="1:16" ht="27.75" customHeight="1" thickBot="1">
      <c r="A32"/>
      <c r="B32" s="304" t="s">
        <v>131</v>
      </c>
      <c r="C32" s="305"/>
      <c r="D32" s="305"/>
      <c r="E32" s="305"/>
      <c r="F32" s="305"/>
      <c r="G32" s="305"/>
      <c r="H32" s="305"/>
      <c r="I32" s="305"/>
      <c r="J32" s="305"/>
      <c r="K32" s="305"/>
      <c r="L32" s="305"/>
      <c r="M32" s="306"/>
      <c r="N32"/>
      <c r="O32"/>
      <c r="P32"/>
    </row>
    <row r="33" spans="1:25" ht="23.45" customHeight="1" thickBot="1">
      <c r="A33" s="150"/>
      <c r="B33" s="151" t="s">
        <v>169</v>
      </c>
      <c r="C33"/>
      <c r="D33"/>
      <c r="E33"/>
      <c r="F33"/>
      <c r="G33"/>
      <c r="H33"/>
      <c r="I33"/>
      <c r="J33"/>
      <c r="K33"/>
      <c r="L33"/>
      <c r="M33"/>
      <c r="N33"/>
      <c r="O33"/>
      <c r="P33"/>
    </row>
    <row r="34" spans="1:25" ht="23.25" customHeight="1" thickBot="1">
      <c r="A34" s="150"/>
      <c r="B34" s="151" t="s">
        <v>171</v>
      </c>
      <c r="C34"/>
      <c r="D34"/>
      <c r="E34"/>
      <c r="F34"/>
      <c r="G34"/>
      <c r="H34"/>
      <c r="I34"/>
      <c r="J34"/>
      <c r="K34"/>
      <c r="L34"/>
      <c r="M34"/>
      <c r="N34"/>
      <c r="O34"/>
      <c r="P34"/>
    </row>
    <row r="35" spans="1:25" ht="23.25" customHeight="1" thickBot="1">
      <c r="A35" s="150"/>
      <c r="B35" s="151" t="s">
        <v>444</v>
      </c>
      <c r="C35"/>
      <c r="D35"/>
      <c r="E35"/>
      <c r="F35"/>
      <c r="G35"/>
      <c r="H35"/>
      <c r="I35"/>
      <c r="J35"/>
      <c r="K35"/>
      <c r="L35"/>
      <c r="M35"/>
      <c r="N35"/>
      <c r="O35"/>
      <c r="P35"/>
    </row>
    <row r="36" spans="1:25" ht="23.25" customHeight="1" thickBot="1">
      <c r="A36" s="150"/>
      <c r="B36" s="151" t="s">
        <v>447</v>
      </c>
      <c r="C36"/>
      <c r="D36"/>
      <c r="E36"/>
      <c r="F36"/>
      <c r="G36"/>
      <c r="H36"/>
      <c r="I36"/>
      <c r="J36"/>
      <c r="K36"/>
      <c r="L36"/>
      <c r="M36"/>
      <c r="N36"/>
      <c r="O36"/>
      <c r="P36"/>
    </row>
    <row r="37" spans="1:25" ht="27.75" customHeight="1" thickBot="1">
      <c r="A37" s="150"/>
      <c r="B37" s="151" t="s">
        <v>170</v>
      </c>
      <c r="C37"/>
      <c r="D37"/>
      <c r="E37"/>
      <c r="F37"/>
      <c r="G37"/>
      <c r="H37"/>
      <c r="I37"/>
      <c r="J37"/>
      <c r="K37"/>
      <c r="L37"/>
      <c r="M37"/>
      <c r="N37"/>
      <c r="O37"/>
      <c r="P37"/>
    </row>
    <row r="38" spans="1:25" ht="33.75" customHeight="1">
      <c r="A38"/>
      <c r="B38" s="151"/>
      <c r="C38" s="151"/>
      <c r="E38" s="98" t="s">
        <v>71</v>
      </c>
      <c r="F38" s="98" t="str">
        <f>CONCATENATE(" Volume for ",$E$13," samples +10%")</f>
        <v xml:space="preserve"> Volume for 4 samples +10%</v>
      </c>
      <c r="J38" s="340" t="s">
        <v>134</v>
      </c>
      <c r="K38" s="341"/>
      <c r="L38" s="327" t="s">
        <v>163</v>
      </c>
      <c r="M38" s="328"/>
      <c r="N38" s="338" t="s">
        <v>164</v>
      </c>
      <c r="O38" s="339"/>
    </row>
    <row r="39" spans="1:25" ht="26.25" customHeight="1">
      <c r="A39"/>
      <c r="B39"/>
      <c r="C39"/>
      <c r="D39" s="137" t="s">
        <v>132</v>
      </c>
      <c r="E39" s="257">
        <v>35</v>
      </c>
      <c r="F39" s="266">
        <f>E39*$E$13*1.1</f>
        <v>154</v>
      </c>
      <c r="G39" s="143" t="s">
        <v>73</v>
      </c>
      <c r="J39" s="340" t="s">
        <v>135</v>
      </c>
      <c r="K39" s="341"/>
      <c r="L39" s="307" t="s">
        <v>285</v>
      </c>
      <c r="M39" s="308"/>
      <c r="N39" s="307" t="s">
        <v>286</v>
      </c>
      <c r="O39" s="308"/>
      <c r="Q39" s="151"/>
    </row>
    <row r="40" spans="1:25" ht="26.25" customHeight="1">
      <c r="A40"/>
      <c r="B40"/>
      <c r="C40"/>
      <c r="D40" s="137" t="s">
        <v>133</v>
      </c>
      <c r="E40" s="257">
        <v>5</v>
      </c>
      <c r="F40" s="266">
        <f>E40*$E$13*1.1</f>
        <v>22</v>
      </c>
      <c r="G40" s="143" t="s">
        <v>73</v>
      </c>
      <c r="J40" s="249"/>
      <c r="K40" s="249"/>
      <c r="L40" s="3"/>
      <c r="M40" s="3"/>
      <c r="N40" s="3"/>
      <c r="O40" s="3"/>
      <c r="Q40" s="151"/>
      <c r="S40" s="276" t="s">
        <v>521</v>
      </c>
      <c r="T40" s="277" t="s">
        <v>522</v>
      </c>
    </row>
    <row r="41" spans="1:25" ht="26.25" customHeight="1">
      <c r="A41"/>
      <c r="B41"/>
      <c r="C41"/>
      <c r="D41" s="137" t="s">
        <v>445</v>
      </c>
      <c r="E41" s="257">
        <v>2.5</v>
      </c>
      <c r="F41" s="266">
        <f>E41*$E$13*1.1</f>
        <v>11</v>
      </c>
      <c r="G41" s="143" t="s">
        <v>73</v>
      </c>
      <c r="J41" s="249"/>
      <c r="K41" s="249"/>
      <c r="L41" s="3"/>
      <c r="M41" s="3"/>
      <c r="N41" s="3"/>
      <c r="O41" s="3"/>
      <c r="Q41" s="151"/>
      <c r="S41" s="275" cm="1">
        <f t="array" ref="S41:T56">_xlfn._xlws.FILTER(_xlfn.CHOOSECOLS(FLEX_table[],1,6), FLEX_table[sample_num] &lt;&gt; "")</f>
        <v>1</v>
      </c>
      <c r="T41" s="268" t="e">
        <v>#DIV/0!</v>
      </c>
      <c r="U41" s="268"/>
      <c r="V41" s="268"/>
      <c r="W41" s="268"/>
      <c r="X41" s="268"/>
      <c r="Y41" s="268"/>
    </row>
    <row r="42" spans="1:25" ht="26.25" customHeight="1" thickBot="1">
      <c r="A42" s="149"/>
      <c r="B42" s="151"/>
      <c r="C42" s="151"/>
      <c r="D42" s="138" t="s">
        <v>446</v>
      </c>
      <c r="E42" s="265">
        <v>7.5</v>
      </c>
      <c r="F42" s="255">
        <f>E42*$E$13*1.1</f>
        <v>33</v>
      </c>
      <c r="G42" s="164" t="s">
        <v>73</v>
      </c>
      <c r="J42"/>
      <c r="K42"/>
      <c r="L42"/>
      <c r="M42"/>
      <c r="N42"/>
      <c r="O42"/>
      <c r="Q42" s="151"/>
      <c r="S42" s="268">
        <v>2</v>
      </c>
      <c r="T42" s="268" t="e">
        <v>#DIV/0!</v>
      </c>
      <c r="U42" s="268"/>
      <c r="V42" s="268"/>
      <c r="W42" s="268"/>
      <c r="X42" s="268"/>
      <c r="Y42" s="268"/>
    </row>
    <row r="43" spans="1:25" ht="27.95" customHeight="1" thickBot="1">
      <c r="A43" s="149"/>
      <c r="B43" s="151"/>
      <c r="D43" s="165"/>
      <c r="E43" s="166">
        <f>SUM(E39:E42)</f>
        <v>50</v>
      </c>
      <c r="F43" s="172">
        <f>E43*$E$13*1.1</f>
        <v>220.00000000000003</v>
      </c>
      <c r="G43" s="167" t="s">
        <v>73</v>
      </c>
      <c r="H43" s="141" t="s">
        <v>75</v>
      </c>
      <c r="J43"/>
      <c r="K43"/>
      <c r="L43"/>
      <c r="M43"/>
      <c r="N43"/>
      <c r="O43"/>
      <c r="S43" s="141">
        <v>3</v>
      </c>
      <c r="T43" s="141" t="e">
        <v>#DIV/0!</v>
      </c>
    </row>
    <row r="44" spans="1:25" ht="24.95" customHeight="1" thickBot="1">
      <c r="A44" s="150"/>
      <c r="B44" s="151" t="s">
        <v>172</v>
      </c>
      <c r="D44" s="151"/>
      <c r="E44" s="142"/>
      <c r="F44" s="142"/>
      <c r="G44" s="179"/>
      <c r="J44" s="95" t="s">
        <v>284</v>
      </c>
      <c r="S44" s="141">
        <v>4</v>
      </c>
      <c r="T44" s="141" t="e">
        <v>#DIV/0!</v>
      </c>
    </row>
    <row r="45" spans="1:25" ht="21.95" customHeight="1" thickBot="1">
      <c r="A45" s="149"/>
      <c r="B45" s="151"/>
      <c r="D45" s="114" t="s">
        <v>130</v>
      </c>
      <c r="E45" s="114" t="s">
        <v>136</v>
      </c>
      <c r="F45" s="114" t="s">
        <v>478</v>
      </c>
      <c r="G45"/>
      <c r="I45" s="114" t="s">
        <v>130</v>
      </c>
      <c r="J45" s="342" t="s">
        <v>136</v>
      </c>
      <c r="K45" s="343"/>
      <c r="L45" s="342" t="s">
        <v>478</v>
      </c>
      <c r="M45" s="343"/>
      <c r="N45"/>
      <c r="O45" s="92"/>
      <c r="S45" s="141">
        <v>5</v>
      </c>
      <c r="T45" s="141" t="e">
        <v>#DIV/0!</v>
      </c>
    </row>
    <row r="46" spans="1:25" ht="21.95" customHeight="1">
      <c r="A46" s="149"/>
      <c r="B46" s="151"/>
      <c r="D46" s="113" cm="1">
        <f t="array" ref="D46:D53">[1]FLEX_table!B2:B9</f>
        <v>0</v>
      </c>
      <c r="E46" s="113" cm="1">
        <f t="array" ref="E46:E53">[1]FLEX_table!E2:E9</f>
        <v>0</v>
      </c>
      <c r="F46" s="113" t="e" cm="1">
        <f t="array" ref="F46:F53">[1]FLEX_table!F2:F9</f>
        <v>#DIV/0!</v>
      </c>
      <c r="G46"/>
      <c r="I46" s="113" cm="1">
        <f t="array" ref="I46:I53">[1]FLEX_table!B10:B17</f>
        <v>0</v>
      </c>
      <c r="J46" s="216" cm="1">
        <f t="array" ref="J46:J53">[1]FLEX_table!E10:E17</f>
        <v>0</v>
      </c>
      <c r="K46" s="145"/>
      <c r="L46" s="216" t="e" cm="1">
        <f t="array" ref="L46:L53">[1]FLEX_table!F10:F17</f>
        <v>#DIV/0!</v>
      </c>
      <c r="M46" s="214"/>
      <c r="N46"/>
      <c r="O46" s="92"/>
      <c r="S46" s="141">
        <v>6</v>
      </c>
      <c r="T46" s="141" t="e">
        <v>#DIV/0!</v>
      </c>
    </row>
    <row r="47" spans="1:25" ht="21.95" customHeight="1">
      <c r="A47" s="149"/>
      <c r="B47" s="151"/>
      <c r="D47" s="1">
        <v>0</v>
      </c>
      <c r="E47" s="1">
        <v>0</v>
      </c>
      <c r="F47" s="1" t="e">
        <v>#DIV/0!</v>
      </c>
      <c r="G47"/>
      <c r="I47" s="1">
        <v>0</v>
      </c>
      <c r="J47" s="217">
        <v>0</v>
      </c>
      <c r="K47" s="218"/>
      <c r="L47" s="217" t="e">
        <v>#DIV/0!</v>
      </c>
      <c r="M47" s="215"/>
      <c r="N47"/>
      <c r="O47" s="92"/>
      <c r="S47" s="141">
        <v>7</v>
      </c>
      <c r="T47" s="141" t="e">
        <v>#DIV/0!</v>
      </c>
    </row>
    <row r="48" spans="1:25" ht="21.95" customHeight="1">
      <c r="A48" s="149"/>
      <c r="B48" s="151"/>
      <c r="D48" s="1">
        <v>0</v>
      </c>
      <c r="E48" s="1">
        <v>0</v>
      </c>
      <c r="F48" s="1" t="e">
        <v>#DIV/0!</v>
      </c>
      <c r="G48"/>
      <c r="I48" s="1">
        <v>0</v>
      </c>
      <c r="J48" s="217">
        <v>0</v>
      </c>
      <c r="K48" s="218"/>
      <c r="L48" s="217" t="e">
        <v>#DIV/0!</v>
      </c>
      <c r="M48" s="215"/>
      <c r="N48"/>
      <c r="O48" s="92"/>
      <c r="S48" s="141">
        <v>8</v>
      </c>
      <c r="T48" s="141" t="e">
        <v>#DIV/0!</v>
      </c>
    </row>
    <row r="49" spans="1:20" ht="21.95" customHeight="1">
      <c r="A49" s="149"/>
      <c r="B49" s="151"/>
      <c r="D49" s="1">
        <v>0</v>
      </c>
      <c r="E49" s="1">
        <v>0</v>
      </c>
      <c r="F49" s="1" t="e">
        <v>#DIV/0!</v>
      </c>
      <c r="G49"/>
      <c r="I49" s="1">
        <v>0</v>
      </c>
      <c r="J49" s="217">
        <v>0</v>
      </c>
      <c r="K49" s="218"/>
      <c r="L49" s="217" t="e">
        <v>#DIV/0!</v>
      </c>
      <c r="M49" s="215"/>
      <c r="N49"/>
      <c r="O49" s="92"/>
      <c r="S49" s="141">
        <v>9</v>
      </c>
      <c r="T49" s="141" t="e">
        <v>#DIV/0!</v>
      </c>
    </row>
    <row r="50" spans="1:20" ht="21.95" customHeight="1">
      <c r="A50" s="149"/>
      <c r="B50" s="151"/>
      <c r="D50" s="1">
        <v>0</v>
      </c>
      <c r="E50" s="1">
        <v>0</v>
      </c>
      <c r="F50" s="1" t="e">
        <v>#DIV/0!</v>
      </c>
      <c r="G50"/>
      <c r="I50" s="1">
        <v>0</v>
      </c>
      <c r="J50" s="217">
        <v>0</v>
      </c>
      <c r="K50" s="218"/>
      <c r="L50" s="217" t="e">
        <v>#DIV/0!</v>
      </c>
      <c r="M50" s="215"/>
      <c r="N50"/>
      <c r="O50" s="92"/>
      <c r="S50" s="141">
        <v>10</v>
      </c>
      <c r="T50" s="141" t="e">
        <v>#DIV/0!</v>
      </c>
    </row>
    <row r="51" spans="1:20" ht="21.95" customHeight="1">
      <c r="A51" s="149"/>
      <c r="B51" s="151"/>
      <c r="D51" s="1">
        <v>0</v>
      </c>
      <c r="E51" s="1">
        <v>0</v>
      </c>
      <c r="F51" s="1" t="e">
        <v>#DIV/0!</v>
      </c>
      <c r="G51"/>
      <c r="I51" s="1">
        <v>0</v>
      </c>
      <c r="J51" s="217">
        <v>0</v>
      </c>
      <c r="K51" s="218"/>
      <c r="L51" s="217" t="e">
        <v>#DIV/0!</v>
      </c>
      <c r="M51" s="215"/>
      <c r="N51"/>
      <c r="O51" s="92"/>
      <c r="S51" s="141">
        <v>11</v>
      </c>
      <c r="T51" s="141" t="e">
        <v>#DIV/0!</v>
      </c>
    </row>
    <row r="52" spans="1:20" ht="21.95" customHeight="1">
      <c r="A52" s="149"/>
      <c r="B52" s="151"/>
      <c r="D52" s="1">
        <v>0</v>
      </c>
      <c r="E52" s="1">
        <v>0</v>
      </c>
      <c r="F52" s="1" t="e">
        <v>#DIV/0!</v>
      </c>
      <c r="G52"/>
      <c r="I52" s="1">
        <v>0</v>
      </c>
      <c r="J52" s="217">
        <v>0</v>
      </c>
      <c r="K52" s="218"/>
      <c r="L52" s="217" t="e">
        <v>#DIV/0!</v>
      </c>
      <c r="M52" s="215"/>
      <c r="N52"/>
      <c r="O52" s="92"/>
      <c r="S52" s="141">
        <v>12</v>
      </c>
      <c r="T52" s="141" t="e">
        <v>#DIV/0!</v>
      </c>
    </row>
    <row r="53" spans="1:20" ht="21.95" customHeight="1" thickBot="1">
      <c r="A53" s="149"/>
      <c r="B53" s="151"/>
      <c r="D53" s="1">
        <v>0</v>
      </c>
      <c r="E53" s="1">
        <v>0</v>
      </c>
      <c r="F53" s="1" t="e">
        <v>#DIV/0!</v>
      </c>
      <c r="G53"/>
      <c r="I53" s="1">
        <v>0</v>
      </c>
      <c r="J53" s="217">
        <v>0</v>
      </c>
      <c r="K53" s="218"/>
      <c r="L53" s="217" t="e">
        <v>#DIV/0!</v>
      </c>
      <c r="M53" s="215"/>
      <c r="N53"/>
      <c r="O53" s="92"/>
      <c r="S53" s="141">
        <v>13</v>
      </c>
      <c r="T53" s="141" t="e">
        <v>#DIV/0!</v>
      </c>
    </row>
    <row r="54" spans="1:20" ht="26.25" customHeight="1" thickBot="1">
      <c r="A54" s="150"/>
      <c r="B54" s="151" t="s">
        <v>448</v>
      </c>
      <c r="D54" s="151"/>
      <c r="E54" s="142"/>
      <c r="F54" s="142"/>
      <c r="G54" s="179"/>
      <c r="J54" s="212" t="s">
        <v>280</v>
      </c>
      <c r="L54"/>
      <c r="M54"/>
      <c r="N54"/>
      <c r="O54"/>
      <c r="P54"/>
      <c r="S54" s="141">
        <v>14</v>
      </c>
      <c r="T54" s="141" t="e">
        <v>#DIV/0!</v>
      </c>
    </row>
    <row r="55" spans="1:20" ht="29.25" customHeight="1" thickBot="1">
      <c r="A55" s="150"/>
      <c r="B55" s="151" t="s">
        <v>137</v>
      </c>
      <c r="C55"/>
      <c r="D55"/>
      <c r="E55"/>
      <c r="F55"/>
      <c r="G55"/>
      <c r="H55"/>
      <c r="I55"/>
      <c r="J55"/>
      <c r="K55" s="329" t="s">
        <v>162</v>
      </c>
      <c r="L55" s="329"/>
      <c r="M55" s="329"/>
      <c r="N55" s="329"/>
      <c r="O55"/>
      <c r="P55"/>
      <c r="S55" s="141">
        <v>15</v>
      </c>
      <c r="T55" s="141" t="e">
        <v>#DIV/0!</v>
      </c>
    </row>
    <row r="56" spans="1:20" ht="26.25" customHeight="1" thickBot="1">
      <c r="A56" s="149"/>
      <c r="B56" s="330" t="s">
        <v>449</v>
      </c>
      <c r="C56" s="331"/>
      <c r="D56" s="331"/>
      <c r="E56" s="331"/>
      <c r="F56" s="331"/>
      <c r="G56" s="331"/>
      <c r="H56" s="331"/>
      <c r="I56" s="331"/>
      <c r="J56" s="331"/>
      <c r="K56" s="331"/>
      <c r="L56" s="331"/>
      <c r="M56" s="332"/>
      <c r="O56" s="92"/>
      <c r="S56" s="141">
        <v>16</v>
      </c>
      <c r="T56" s="141" t="e">
        <v>#DIV/0!</v>
      </c>
    </row>
    <row r="57" spans="1:20" ht="26.25" customHeight="1" thickBot="1">
      <c r="A57" s="124"/>
      <c r="B57" s="151" t="s">
        <v>479</v>
      </c>
      <c r="C57"/>
      <c r="D57"/>
      <c r="E57"/>
      <c r="F57"/>
      <c r="G57"/>
      <c r="H57"/>
      <c r="I57"/>
      <c r="J57"/>
      <c r="K57"/>
      <c r="L57"/>
      <c r="M57"/>
      <c r="N57"/>
      <c r="O57"/>
    </row>
    <row r="58" spans="1:20" ht="26.25" customHeight="1" thickBot="1">
      <c r="A58" s="124"/>
      <c r="B58" s="151" t="s">
        <v>451</v>
      </c>
      <c r="C58"/>
      <c r="D58"/>
      <c r="E58"/>
      <c r="F58"/>
      <c r="G58"/>
      <c r="H58"/>
      <c r="I58"/>
      <c r="J58"/>
      <c r="K58"/>
      <c r="L58"/>
      <c r="M58"/>
      <c r="N58"/>
      <c r="O58"/>
    </row>
    <row r="59" spans="1:20" ht="28.5" customHeight="1">
      <c r="A59"/>
      <c r="B59" s="151"/>
      <c r="C59"/>
      <c r="D59" s="261" t="s">
        <v>126</v>
      </c>
      <c r="E59" s="98" t="s">
        <v>450</v>
      </c>
      <c r="F59" s="98" t="str">
        <f>CONCATENATE(" Volume for ",$E$13," samples [µL] +10%")</f>
        <v xml:space="preserve"> Volume for 4 samples [µL] +10%</v>
      </c>
      <c r="G59"/>
      <c r="H59"/>
      <c r="I59"/>
      <c r="J59"/>
      <c r="K59"/>
      <c r="L59"/>
      <c r="M59"/>
      <c r="N59"/>
      <c r="O59"/>
    </row>
    <row r="60" spans="1:20" ht="26.25" customHeight="1">
      <c r="A60"/>
      <c r="B60" s="151"/>
      <c r="C60"/>
      <c r="D60" s="115" t="s">
        <v>79</v>
      </c>
      <c r="E60" s="176">
        <v>180</v>
      </c>
      <c r="F60" s="176">
        <f>E60*$E$13*1.1</f>
        <v>792.00000000000011</v>
      </c>
      <c r="G60"/>
      <c r="H60"/>
      <c r="I60"/>
      <c r="J60"/>
      <c r="K60"/>
      <c r="L60"/>
      <c r="M60"/>
      <c r="N60"/>
      <c r="O60"/>
    </row>
    <row r="61" spans="1:20" ht="26.25" customHeight="1">
      <c r="A61"/>
      <c r="B61" s="151"/>
      <c r="C61"/>
      <c r="D61" s="115" t="s">
        <v>139</v>
      </c>
      <c r="E61" s="176">
        <v>10</v>
      </c>
      <c r="F61" s="176">
        <f>E61*$E$13*1.1</f>
        <v>44</v>
      </c>
      <c r="G61"/>
      <c r="H61"/>
      <c r="I61"/>
      <c r="J61"/>
      <c r="K61"/>
      <c r="L61"/>
      <c r="M61"/>
      <c r="N61"/>
      <c r="O61"/>
    </row>
    <row r="62" spans="1:20" ht="26.25" customHeight="1" thickBot="1">
      <c r="A62"/>
      <c r="B62" s="151"/>
      <c r="C62"/>
      <c r="D62" s="263" t="s">
        <v>133</v>
      </c>
      <c r="E62" s="260">
        <v>10</v>
      </c>
      <c r="F62" s="176">
        <f>E62*$E$13*1.1</f>
        <v>44</v>
      </c>
      <c r="G62"/>
      <c r="H62"/>
      <c r="I62"/>
      <c r="J62"/>
      <c r="K62"/>
      <c r="L62"/>
      <c r="M62"/>
      <c r="N62"/>
      <c r="O62"/>
    </row>
    <row r="63" spans="1:20" ht="26.25" customHeight="1" thickBot="1">
      <c r="A63"/>
      <c r="B63" s="151"/>
      <c r="C63"/>
      <c r="D63" s="259" t="s">
        <v>104</v>
      </c>
      <c r="E63" s="258">
        <f>+SUM(E60:E62)</f>
        <v>200</v>
      </c>
      <c r="F63" s="258">
        <f>SUM(F60:F62)</f>
        <v>880.00000000000011</v>
      </c>
      <c r="G63"/>
      <c r="H63"/>
      <c r="I63"/>
      <c r="J63"/>
      <c r="K63"/>
      <c r="L63"/>
      <c r="M63" s="125"/>
      <c r="N63"/>
      <c r="O63" s="125"/>
    </row>
    <row r="64" spans="1:20" ht="26.25" customHeight="1" thickBot="1">
      <c r="A64" s="124"/>
      <c r="B64" s="151" t="s">
        <v>452</v>
      </c>
      <c r="C64"/>
      <c r="D64"/>
      <c r="E64"/>
      <c r="F64"/>
      <c r="G64"/>
      <c r="H64"/>
      <c r="I64"/>
      <c r="J64"/>
      <c r="K64"/>
      <c r="L64"/>
      <c r="M64"/>
      <c r="N64"/>
      <c r="O64"/>
    </row>
    <row r="65" spans="1:15" ht="28.5" customHeight="1">
      <c r="A65"/>
      <c r="B65" s="151"/>
      <c r="C65"/>
      <c r="D65" s="261" t="s">
        <v>126</v>
      </c>
      <c r="E65" s="98" t="s">
        <v>450</v>
      </c>
      <c r="F65" s="98" t="str">
        <f>CONCATENATE(" Volume for ",$E$13," samples [µL] +10%")</f>
        <v xml:space="preserve"> Volume for 4 samples [µL] +10%</v>
      </c>
      <c r="G65"/>
      <c r="H65"/>
      <c r="I65"/>
      <c r="J65"/>
      <c r="K65"/>
      <c r="L65"/>
      <c r="M65"/>
      <c r="N65"/>
      <c r="O65"/>
    </row>
    <row r="66" spans="1:15" ht="26.25" customHeight="1">
      <c r="A66"/>
      <c r="B66" s="151"/>
      <c r="C66"/>
      <c r="D66" s="115" t="s">
        <v>453</v>
      </c>
      <c r="E66" s="264">
        <v>35</v>
      </c>
      <c r="F66" s="176">
        <f>E66*$E$13*1.1</f>
        <v>154</v>
      </c>
      <c r="G66"/>
      <c r="H66"/>
      <c r="I66"/>
      <c r="J66"/>
      <c r="K66"/>
      <c r="L66"/>
      <c r="M66"/>
      <c r="N66"/>
      <c r="O66"/>
    </row>
    <row r="67" spans="1:15" ht="26.25" customHeight="1" thickBot="1">
      <c r="A67"/>
      <c r="B67" s="151"/>
      <c r="C67"/>
      <c r="D67" s="263" t="s">
        <v>133</v>
      </c>
      <c r="E67" s="262">
        <v>5</v>
      </c>
      <c r="F67" s="260">
        <f>E67*$E$13*1.1</f>
        <v>22</v>
      </c>
      <c r="G67"/>
      <c r="H67"/>
      <c r="I67"/>
      <c r="J67"/>
      <c r="K67"/>
      <c r="L67"/>
      <c r="M67"/>
      <c r="N67"/>
      <c r="O67"/>
    </row>
    <row r="68" spans="1:15" ht="26.25" customHeight="1" thickBot="1">
      <c r="A68"/>
      <c r="B68" s="151"/>
      <c r="C68"/>
      <c r="D68" s="259" t="s">
        <v>104</v>
      </c>
      <c r="E68" s="258">
        <f>+SUM(E66:E67)</f>
        <v>40</v>
      </c>
      <c r="F68" s="258">
        <f>SUM(F66:F67)</f>
        <v>176</v>
      </c>
      <c r="G68"/>
      <c r="H68"/>
      <c r="I68"/>
      <c r="J68"/>
      <c r="K68"/>
      <c r="L68"/>
      <c r="M68" s="125"/>
      <c r="N68"/>
      <c r="O68" s="125"/>
    </row>
    <row r="69" spans="1:15" ht="26.25" customHeight="1" thickBot="1">
      <c r="A69" s="124"/>
      <c r="B69" s="151" t="s">
        <v>455</v>
      </c>
      <c r="C69"/>
      <c r="D69"/>
      <c r="E69"/>
      <c r="F69"/>
      <c r="G69"/>
      <c r="H69"/>
      <c r="I69"/>
      <c r="J69"/>
      <c r="K69"/>
      <c r="L69"/>
      <c r="M69"/>
      <c r="N69"/>
      <c r="O69"/>
    </row>
    <row r="70" spans="1:15" ht="26.25" customHeight="1" thickBot="1">
      <c r="A70" s="124"/>
      <c r="B70" s="151" t="s">
        <v>456</v>
      </c>
      <c r="C70"/>
      <c r="D70"/>
      <c r="E70"/>
      <c r="F70"/>
      <c r="G70"/>
      <c r="H70"/>
      <c r="I70"/>
      <c r="J70"/>
      <c r="K70"/>
      <c r="L70"/>
      <c r="M70"/>
      <c r="N70"/>
      <c r="O70"/>
    </row>
    <row r="71" spans="1:15" ht="26.25" customHeight="1" thickBot="1">
      <c r="A71" s="124"/>
      <c r="B71" s="151" t="s">
        <v>523</v>
      </c>
      <c r="C71"/>
      <c r="D71"/>
      <c r="E71"/>
      <c r="F71"/>
      <c r="G71"/>
      <c r="H71"/>
      <c r="I71"/>
      <c r="J71"/>
      <c r="K71"/>
      <c r="L71"/>
      <c r="M71"/>
      <c r="N71"/>
      <c r="O71"/>
    </row>
    <row r="72" spans="1:15" ht="26.25" customHeight="1" thickBot="1">
      <c r="A72" s="124"/>
      <c r="B72" s="151" t="s">
        <v>454</v>
      </c>
      <c r="C72"/>
      <c r="D72"/>
      <c r="E72"/>
      <c r="F72"/>
      <c r="G72"/>
      <c r="H72"/>
      <c r="I72"/>
      <c r="J72"/>
      <c r="K72"/>
      <c r="L72"/>
      <c r="M72"/>
      <c r="N72"/>
      <c r="O72"/>
    </row>
    <row r="73" spans="1:15" ht="26.25" customHeight="1" thickBot="1">
      <c r="A73" s="124"/>
      <c r="B73" s="151" t="s">
        <v>457</v>
      </c>
      <c r="C73"/>
      <c r="D73"/>
      <c r="E73"/>
      <c r="F73"/>
      <c r="G73"/>
      <c r="H73"/>
      <c r="I73"/>
      <c r="J73"/>
      <c r="K73"/>
      <c r="L73"/>
      <c r="M73"/>
      <c r="N73"/>
      <c r="O73"/>
    </row>
    <row r="74" spans="1:15" ht="26.25" customHeight="1" thickBot="1">
      <c r="A74" s="124"/>
      <c r="B74" s="151" t="s">
        <v>458</v>
      </c>
      <c r="C74"/>
      <c r="D74"/>
      <c r="E74"/>
      <c r="F74"/>
      <c r="G74"/>
      <c r="H74"/>
      <c r="I74"/>
      <c r="J74"/>
      <c r="K74"/>
      <c r="L74"/>
      <c r="M74"/>
      <c r="N74"/>
      <c r="O74"/>
    </row>
    <row r="75" spans="1:15" ht="53.45" customHeight="1" thickBot="1">
      <c r="A75" s="124"/>
      <c r="B75" s="362" t="s">
        <v>459</v>
      </c>
      <c r="C75" s="363"/>
      <c r="D75" s="363"/>
      <c r="E75" s="363"/>
      <c r="F75" s="363"/>
      <c r="G75" s="363"/>
      <c r="H75" s="363"/>
      <c r="I75" s="363"/>
      <c r="J75" s="363"/>
      <c r="K75" s="363"/>
      <c r="L75" s="363"/>
      <c r="M75" s="363"/>
      <c r="N75"/>
      <c r="O75"/>
    </row>
    <row r="76" spans="1:15" ht="26.25" customHeight="1" thickBot="1">
      <c r="A76"/>
      <c r="B76" s="151"/>
      <c r="C76"/>
      <c r="D76"/>
      <c r="E76"/>
      <c r="F76"/>
      <c r="G76"/>
      <c r="H76"/>
      <c r="I76"/>
      <c r="J76"/>
      <c r="K76"/>
      <c r="L76"/>
      <c r="M76"/>
      <c r="N76"/>
      <c r="O76"/>
    </row>
    <row r="77" spans="1:15" ht="26.25" customHeight="1" thickBot="1">
      <c r="A77" s="124"/>
      <c r="B77" s="151" t="s">
        <v>460</v>
      </c>
      <c r="C77"/>
      <c r="D77"/>
      <c r="E77"/>
      <c r="F77"/>
      <c r="G77"/>
      <c r="H77"/>
      <c r="I77"/>
      <c r="J77"/>
      <c r="K77"/>
      <c r="L77"/>
      <c r="M77"/>
      <c r="N77"/>
      <c r="O77"/>
    </row>
    <row r="78" spans="1:15" ht="26.25" customHeight="1" thickBot="1">
      <c r="A78" s="149"/>
      <c r="B78" s="293" t="s">
        <v>461</v>
      </c>
      <c r="C78" s="294"/>
      <c r="D78" s="294"/>
      <c r="E78" s="294"/>
      <c r="F78" s="294"/>
      <c r="G78" s="294"/>
      <c r="H78" s="294"/>
      <c r="I78" s="294"/>
      <c r="J78" s="294"/>
      <c r="K78" s="294"/>
      <c r="L78" s="294"/>
      <c r="M78" s="296"/>
      <c r="O78" s="92"/>
    </row>
    <row r="79" spans="1:15" ht="26.25" customHeight="1" thickBot="1">
      <c r="A79" s="124"/>
      <c r="B79" s="151" t="s">
        <v>138</v>
      </c>
      <c r="C79"/>
      <c r="D79"/>
      <c r="E79"/>
      <c r="F79"/>
      <c r="G79"/>
      <c r="H79"/>
      <c r="I79"/>
      <c r="J79"/>
      <c r="K79"/>
      <c r="L79"/>
      <c r="M79"/>
      <c r="N79"/>
      <c r="O79"/>
    </row>
    <row r="80" spans="1:15" ht="28.5" customHeight="1">
      <c r="A80"/>
      <c r="B80" s="151"/>
      <c r="C80"/>
      <c r="D80" s="261" t="s">
        <v>126</v>
      </c>
      <c r="E80" s="98" t="s">
        <v>462</v>
      </c>
      <c r="F80" s="98" t="str">
        <f>CONCATENATE(" Volume for ",$E$13," samples [mL]")</f>
        <v xml:space="preserve"> Volume for 4 samples [mL]</v>
      </c>
      <c r="G80"/>
      <c r="H80"/>
      <c r="I80"/>
      <c r="J80"/>
      <c r="K80"/>
      <c r="L80"/>
      <c r="M80"/>
      <c r="N80"/>
      <c r="O80"/>
    </row>
    <row r="81" spans="1:15" ht="26.25" customHeight="1">
      <c r="A81"/>
      <c r="B81" s="151"/>
      <c r="C81"/>
      <c r="D81" s="115" t="s">
        <v>79</v>
      </c>
      <c r="E81" s="176">
        <v>0.44500000000000001</v>
      </c>
      <c r="F81" s="176">
        <f>$E$13*E81*1.1</f>
        <v>1.9580000000000002</v>
      </c>
      <c r="G81"/>
      <c r="H81"/>
      <c r="I81"/>
      <c r="J81"/>
      <c r="K81"/>
      <c r="L81"/>
      <c r="M81"/>
      <c r="N81"/>
      <c r="O81"/>
    </row>
    <row r="82" spans="1:15" ht="26.25" customHeight="1">
      <c r="A82"/>
      <c r="B82" s="151"/>
      <c r="C82"/>
      <c r="D82" s="115" t="s">
        <v>133</v>
      </c>
      <c r="E82" s="176">
        <v>2.5000000000000001E-2</v>
      </c>
      <c r="F82" s="176">
        <f t="shared" ref="F82:F83" si="0">$E$13*E82*1.1</f>
        <v>0.11000000000000001</v>
      </c>
      <c r="H82"/>
      <c r="I82"/>
      <c r="J82"/>
      <c r="K82"/>
      <c r="L82"/>
      <c r="M82"/>
      <c r="N82"/>
      <c r="O82"/>
    </row>
    <row r="83" spans="1:15" ht="26.25" customHeight="1" thickBot="1">
      <c r="A83"/>
      <c r="B83" s="151"/>
      <c r="C83"/>
      <c r="D83" s="250" t="s">
        <v>139</v>
      </c>
      <c r="E83" s="260">
        <v>2.5000000000000001E-2</v>
      </c>
      <c r="F83" s="260">
        <f t="shared" si="0"/>
        <v>0.11000000000000001</v>
      </c>
      <c r="G83"/>
      <c r="H83"/>
      <c r="I83"/>
      <c r="J83"/>
      <c r="K83"/>
      <c r="L83"/>
      <c r="M83"/>
      <c r="N83"/>
      <c r="O83"/>
    </row>
    <row r="84" spans="1:15" ht="26.25" customHeight="1" thickBot="1">
      <c r="A84"/>
      <c r="B84" s="151"/>
      <c r="C84"/>
      <c r="D84" s="259" t="s">
        <v>104</v>
      </c>
      <c r="E84" s="258">
        <f>+SUM(E81:E83)</f>
        <v>0.49500000000000005</v>
      </c>
      <c r="F84" s="258">
        <f>SUM(F81:F83)</f>
        <v>2.1779999999999999</v>
      </c>
      <c r="G84"/>
      <c r="H84"/>
      <c r="I84"/>
      <c r="J84"/>
      <c r="K84"/>
      <c r="L84"/>
      <c r="M84" s="125"/>
      <c r="N84"/>
      <c r="O84" s="125"/>
    </row>
    <row r="85" spans="1:15" ht="26.25" customHeight="1" thickBot="1">
      <c r="A85" s="124"/>
      <c r="B85" s="151" t="s">
        <v>1333</v>
      </c>
      <c r="C85"/>
      <c r="D85"/>
      <c r="E85"/>
      <c r="F85"/>
      <c r="G85"/>
      <c r="H85"/>
      <c r="I85"/>
      <c r="J85"/>
      <c r="L85" s="103"/>
      <c r="M85"/>
      <c r="N85"/>
      <c r="O85"/>
    </row>
    <row r="86" spans="1:15" ht="26.25" customHeight="1" thickBot="1">
      <c r="A86" s="124"/>
      <c r="B86" s="96" t="s">
        <v>464</v>
      </c>
      <c r="C86"/>
      <c r="D86"/>
      <c r="E86"/>
      <c r="F86"/>
      <c r="G86"/>
      <c r="H86"/>
      <c r="I86"/>
      <c r="J86"/>
      <c r="L86" s="103" t="s">
        <v>1334</v>
      </c>
      <c r="M86"/>
      <c r="N86"/>
      <c r="O86"/>
    </row>
    <row r="87" spans="1:15" ht="26.25" customHeight="1" thickBot="1">
      <c r="A87" s="124"/>
      <c r="B87" s="129" t="s">
        <v>463</v>
      </c>
      <c r="C87"/>
      <c r="D87"/>
      <c r="E87"/>
      <c r="F87"/>
      <c r="G87"/>
      <c r="H87"/>
      <c r="I87"/>
      <c r="K87"/>
      <c r="L87"/>
      <c r="O87" s="151"/>
    </row>
    <row r="88" spans="1:15" ht="26.25" customHeight="1" thickBot="1">
      <c r="A88" s="124"/>
      <c r="B88" s="129" t="s">
        <v>465</v>
      </c>
      <c r="C88"/>
      <c r="D88"/>
      <c r="E88"/>
      <c r="F88"/>
      <c r="G88"/>
      <c r="H88"/>
      <c r="I88"/>
      <c r="K88"/>
      <c r="L88"/>
      <c r="O88" s="151"/>
    </row>
    <row r="89" spans="1:15" ht="26.25" customHeight="1" thickBot="1">
      <c r="A89" s="124"/>
      <c r="B89" s="96" t="s">
        <v>466</v>
      </c>
      <c r="C89"/>
      <c r="D89"/>
      <c r="E89"/>
      <c r="F89"/>
      <c r="G89"/>
      <c r="H89"/>
      <c r="I89"/>
      <c r="J89"/>
      <c r="K89" s="95" t="s">
        <v>69</v>
      </c>
      <c r="L89"/>
      <c r="M89"/>
      <c r="N89"/>
      <c r="O89"/>
    </row>
    <row r="90" spans="1:15" ht="26.25" customHeight="1" thickBot="1">
      <c r="A90" s="124"/>
      <c r="B90" s="151" t="s">
        <v>467</v>
      </c>
      <c r="C90"/>
      <c r="D90"/>
      <c r="E90"/>
      <c r="F90"/>
      <c r="G90"/>
      <c r="H90"/>
      <c r="I90"/>
      <c r="J90"/>
      <c r="K90"/>
      <c r="L90"/>
      <c r="M90"/>
      <c r="N90"/>
      <c r="O90"/>
    </row>
    <row r="91" spans="1:15" ht="28.5" customHeight="1">
      <c r="A91"/>
      <c r="B91" s="151"/>
      <c r="C91"/>
      <c r="D91" s="261" t="s">
        <v>126</v>
      </c>
      <c r="E91" s="98" t="s">
        <v>524</v>
      </c>
      <c r="F91"/>
      <c r="G91"/>
      <c r="H91"/>
      <c r="I91"/>
      <c r="J91"/>
      <c r="K91"/>
      <c r="L91"/>
      <c r="M91"/>
      <c r="N91"/>
      <c r="O91"/>
    </row>
    <row r="92" spans="1:15" ht="26.25" customHeight="1">
      <c r="A92"/>
      <c r="B92" s="151"/>
      <c r="C92"/>
      <c r="D92" s="115" t="s">
        <v>79</v>
      </c>
      <c r="E92" s="176">
        <v>2.97</v>
      </c>
      <c r="F92"/>
      <c r="G92"/>
      <c r="H92"/>
      <c r="I92"/>
      <c r="J92"/>
      <c r="K92"/>
      <c r="L92"/>
      <c r="M92"/>
      <c r="N92"/>
      <c r="O92"/>
    </row>
    <row r="93" spans="1:15" ht="26.25" customHeight="1">
      <c r="A93"/>
      <c r="B93" s="151"/>
      <c r="C93"/>
      <c r="D93" s="115" t="s">
        <v>133</v>
      </c>
      <c r="E93" s="176">
        <v>0.16500000000000001</v>
      </c>
      <c r="F93"/>
      <c r="H93"/>
      <c r="I93"/>
      <c r="J93"/>
      <c r="K93"/>
      <c r="L93"/>
      <c r="M93"/>
      <c r="N93"/>
      <c r="O93"/>
    </row>
    <row r="94" spans="1:15" ht="26.25" customHeight="1" thickBot="1">
      <c r="A94"/>
      <c r="B94" s="151"/>
      <c r="C94"/>
      <c r="D94" s="250" t="s">
        <v>139</v>
      </c>
      <c r="E94" s="260">
        <v>0.16500000000000001</v>
      </c>
      <c r="F94"/>
      <c r="G94"/>
      <c r="H94"/>
      <c r="I94"/>
      <c r="J94"/>
      <c r="K94"/>
      <c r="L94"/>
      <c r="M94"/>
      <c r="N94"/>
      <c r="O94"/>
    </row>
    <row r="95" spans="1:15" ht="26.25" customHeight="1" thickBot="1">
      <c r="A95"/>
      <c r="B95" s="151"/>
      <c r="C95"/>
      <c r="D95" s="259" t="s">
        <v>104</v>
      </c>
      <c r="E95" s="258">
        <f>+SUM(E92:E94)</f>
        <v>3.3000000000000003</v>
      </c>
      <c r="F95"/>
      <c r="G95"/>
      <c r="H95"/>
      <c r="I95"/>
      <c r="J95"/>
      <c r="K95"/>
      <c r="L95"/>
      <c r="M95" s="125"/>
      <c r="N95"/>
      <c r="O95" s="125"/>
    </row>
    <row r="96" spans="1:15" ht="26.25" customHeight="1" thickBot="1">
      <c r="A96" s="124"/>
      <c r="B96" s="151" t="s">
        <v>1335</v>
      </c>
      <c r="C96"/>
      <c r="D96"/>
      <c r="E96"/>
      <c r="F96"/>
      <c r="G96"/>
      <c r="H96"/>
      <c r="I96"/>
      <c r="J96"/>
      <c r="K96"/>
      <c r="L96"/>
      <c r="M96"/>
      <c r="N96"/>
      <c r="O96"/>
    </row>
    <row r="97" spans="1:18" ht="26.25" customHeight="1" thickBot="1">
      <c r="A97" s="124"/>
      <c r="B97" s="151" t="s">
        <v>468</v>
      </c>
      <c r="C97"/>
      <c r="D97"/>
      <c r="E97"/>
      <c r="F97"/>
      <c r="G97"/>
      <c r="H97"/>
      <c r="I97"/>
      <c r="J97"/>
      <c r="K97"/>
      <c r="L97"/>
      <c r="M97"/>
      <c r="N97"/>
      <c r="O97"/>
    </row>
    <row r="98" spans="1:18" ht="26.25" customHeight="1" thickBot="1">
      <c r="A98" s="124"/>
      <c r="B98" s="151" t="s">
        <v>140</v>
      </c>
      <c r="C98"/>
      <c r="D98"/>
      <c r="E98"/>
      <c r="F98"/>
      <c r="G98"/>
      <c r="H98"/>
      <c r="I98"/>
      <c r="J98"/>
      <c r="K98"/>
      <c r="L98"/>
      <c r="M98"/>
      <c r="N98"/>
      <c r="O98"/>
    </row>
    <row r="99" spans="1:18" ht="26.25" customHeight="1" thickBot="1">
      <c r="A99" s="124"/>
      <c r="B99" s="151" t="s">
        <v>469</v>
      </c>
      <c r="C99"/>
      <c r="D99"/>
      <c r="E99"/>
      <c r="F99"/>
      <c r="G99"/>
      <c r="H99"/>
      <c r="I99"/>
      <c r="J99"/>
      <c r="K99"/>
      <c r="L99"/>
      <c r="M99"/>
      <c r="N99"/>
      <c r="O99"/>
    </row>
    <row r="100" spans="1:18" ht="26.25" customHeight="1" thickBot="1">
      <c r="A100" s="124"/>
      <c r="B100" s="151" t="s">
        <v>468</v>
      </c>
      <c r="C100"/>
      <c r="D100"/>
      <c r="E100"/>
      <c r="F100"/>
      <c r="G100"/>
      <c r="H100"/>
      <c r="I100"/>
      <c r="J100"/>
      <c r="K100"/>
      <c r="L100"/>
      <c r="M100"/>
      <c r="N100"/>
      <c r="O100"/>
    </row>
    <row r="101" spans="1:18" ht="26.25" customHeight="1" thickBot="1">
      <c r="A101" s="124"/>
      <c r="B101" s="151" t="s">
        <v>140</v>
      </c>
      <c r="C101"/>
      <c r="D101"/>
      <c r="E101"/>
      <c r="F101"/>
      <c r="G101"/>
      <c r="H101"/>
      <c r="I101"/>
      <c r="J101"/>
      <c r="K101"/>
      <c r="L101"/>
      <c r="M101"/>
      <c r="N101"/>
      <c r="O101"/>
    </row>
    <row r="102" spans="1:18" ht="26.25" customHeight="1" thickBot="1">
      <c r="A102" s="124"/>
      <c r="B102" s="151" t="s">
        <v>470</v>
      </c>
      <c r="C102"/>
      <c r="D102"/>
      <c r="E102"/>
      <c r="F102"/>
      <c r="G102"/>
      <c r="H102"/>
      <c r="I102"/>
      <c r="J102"/>
      <c r="K102"/>
      <c r="L102"/>
      <c r="M102"/>
      <c r="N102"/>
      <c r="O102"/>
    </row>
    <row r="103" spans="1:18" ht="26.25" customHeight="1" thickBot="1">
      <c r="A103" s="124"/>
      <c r="B103" s="151" t="s">
        <v>468</v>
      </c>
      <c r="C103"/>
      <c r="D103"/>
      <c r="E103"/>
      <c r="F103"/>
      <c r="G103"/>
      <c r="H103"/>
      <c r="I103"/>
      <c r="J103"/>
      <c r="K103"/>
      <c r="L103"/>
      <c r="M103"/>
      <c r="N103"/>
      <c r="O103"/>
    </row>
    <row r="104" spans="1:18" ht="26.25" customHeight="1" thickBot="1">
      <c r="A104" s="124"/>
      <c r="B104" s="151" t="s">
        <v>141</v>
      </c>
      <c r="C104"/>
      <c r="D104"/>
      <c r="E104"/>
      <c r="F104"/>
      <c r="G104"/>
      <c r="H104"/>
      <c r="I104"/>
      <c r="J104"/>
      <c r="K104"/>
      <c r="L104"/>
      <c r="M104"/>
      <c r="N104"/>
      <c r="O104"/>
    </row>
    <row r="105" spans="1:18" ht="26.25" customHeight="1" thickBot="1">
      <c r="A105"/>
      <c r="B105" s="117"/>
      <c r="C105"/>
      <c r="D105" s="114" t="s">
        <v>142</v>
      </c>
      <c r="E105" s="130" t="s">
        <v>471</v>
      </c>
      <c r="F105" s="118" t="s">
        <v>472</v>
      </c>
      <c r="G105"/>
      <c r="H105"/>
      <c r="I105"/>
      <c r="J105"/>
      <c r="K105"/>
      <c r="L105"/>
      <c r="M105"/>
    </row>
    <row r="106" spans="1:18" ht="26.25" customHeight="1">
      <c r="A106"/>
      <c r="B106" s="117"/>
      <c r="C106"/>
      <c r="D106" s="132" t="s">
        <v>79</v>
      </c>
      <c r="E106" s="102">
        <v>1045</v>
      </c>
      <c r="F106" s="102">
        <v>4.18</v>
      </c>
      <c r="G106"/>
      <c r="H106"/>
      <c r="I106"/>
      <c r="J106"/>
      <c r="K106"/>
      <c r="L106"/>
      <c r="M106"/>
    </row>
    <row r="107" spans="1:18" ht="26.25" customHeight="1">
      <c r="A107"/>
      <c r="B107" s="117"/>
      <c r="C107"/>
      <c r="D107" s="132" t="s">
        <v>143</v>
      </c>
      <c r="E107" s="108">
        <v>5.5E-2</v>
      </c>
      <c r="F107" s="102">
        <v>0.22</v>
      </c>
      <c r="G107"/>
      <c r="H107"/>
      <c r="I107"/>
      <c r="J107"/>
      <c r="K107"/>
      <c r="L107"/>
      <c r="M107"/>
    </row>
    <row r="108" spans="1:18" ht="26.25" customHeight="1" thickBot="1">
      <c r="A108"/>
      <c r="B108" s="117"/>
      <c r="C108"/>
      <c r="D108" s="120" t="s">
        <v>104</v>
      </c>
      <c r="E108" s="108">
        <v>1100</v>
      </c>
      <c r="F108" s="102">
        <v>4400</v>
      </c>
      <c r="G108"/>
      <c r="H108"/>
      <c r="I108"/>
      <c r="J108"/>
      <c r="K108"/>
      <c r="L108"/>
      <c r="M108"/>
    </row>
    <row r="109" spans="1:18" ht="26.25" customHeight="1" thickBot="1">
      <c r="A109" s="124"/>
      <c r="B109" s="151" t="s">
        <v>144</v>
      </c>
      <c r="C109"/>
      <c r="D109"/>
      <c r="E109"/>
      <c r="F109"/>
      <c r="G109"/>
      <c r="H109"/>
      <c r="I109"/>
      <c r="J109"/>
      <c r="K109"/>
      <c r="M109" s="103"/>
      <c r="N109"/>
      <c r="O109"/>
    </row>
    <row r="110" spans="1:18" ht="32.1" customHeight="1" thickBot="1">
      <c r="A110" s="124"/>
      <c r="B110" s="362" t="s">
        <v>473</v>
      </c>
      <c r="C110" s="363"/>
      <c r="D110" s="363"/>
      <c r="E110" s="363"/>
      <c r="F110" s="363"/>
      <c r="G110" s="363"/>
      <c r="H110" s="363"/>
      <c r="I110" s="363"/>
      <c r="J110" s="363"/>
      <c r="K110" s="363"/>
      <c r="L110" s="363"/>
      <c r="M110" s="151" t="s">
        <v>293</v>
      </c>
      <c r="N110"/>
      <c r="O110"/>
    </row>
    <row r="111" spans="1:18" ht="34.5" customHeight="1" thickBot="1">
      <c r="A111" s="124"/>
      <c r="B111" s="362" t="s">
        <v>474</v>
      </c>
      <c r="C111" s="363"/>
      <c r="D111" s="363"/>
      <c r="E111" s="363"/>
      <c r="F111" s="363"/>
      <c r="G111" s="363"/>
      <c r="H111" s="363"/>
      <c r="I111" s="363"/>
      <c r="J111" s="363"/>
      <c r="K111" s="363"/>
      <c r="L111" s="363"/>
      <c r="M111" s="309" t="s">
        <v>525</v>
      </c>
      <c r="N111" s="309"/>
      <c r="O111" s="309"/>
      <c r="P111" s="309"/>
      <c r="Q111" s="309"/>
      <c r="R111" s="309"/>
    </row>
    <row r="112" spans="1:18" ht="26.25" customHeight="1" thickBot="1">
      <c r="A112" s="124"/>
      <c r="B112" s="151" t="s">
        <v>149</v>
      </c>
      <c r="C112"/>
      <c r="I112"/>
      <c r="J112"/>
      <c r="K112"/>
      <c r="L112"/>
      <c r="M112"/>
      <c r="N112"/>
      <c r="O112"/>
    </row>
    <row r="113" spans="1:21" ht="30.95" customHeight="1" thickBot="1">
      <c r="A113"/>
      <c r="B113" s="117"/>
      <c r="C113"/>
      <c r="D113" s="136" t="s">
        <v>130</v>
      </c>
      <c r="E113" s="118" t="s">
        <v>145</v>
      </c>
      <c r="F113" s="118" t="s">
        <v>146</v>
      </c>
      <c r="G113" s="333" t="s">
        <v>147</v>
      </c>
      <c r="H113" s="334"/>
      <c r="I113" s="118" t="s">
        <v>148</v>
      </c>
      <c r="J113"/>
      <c r="K113"/>
      <c r="L113" s="103" t="s">
        <v>476</v>
      </c>
      <c r="M113"/>
      <c r="N113"/>
      <c r="O113"/>
    </row>
    <row r="114" spans="1:21" ht="26.25" customHeight="1">
      <c r="A114"/>
      <c r="B114" s="117"/>
      <c r="C114"/>
      <c r="D114" s="113"/>
      <c r="E114" s="113"/>
      <c r="F114" s="113"/>
      <c r="G114" s="335"/>
      <c r="H114" s="336"/>
      <c r="I114" s="113"/>
      <c r="J114"/>
      <c r="N114"/>
      <c r="O114"/>
    </row>
    <row r="115" spans="1:21" ht="26.25" customHeight="1">
      <c r="A115"/>
      <c r="B115" s="117"/>
      <c r="C115"/>
      <c r="D115" s="113"/>
      <c r="E115" s="1"/>
      <c r="F115" s="113"/>
      <c r="G115" s="307"/>
      <c r="H115" s="308"/>
      <c r="I115" s="1"/>
      <c r="K115"/>
      <c r="M115" t="s">
        <v>1331</v>
      </c>
      <c r="N115"/>
      <c r="O115"/>
    </row>
    <row r="116" spans="1:21" ht="26.25" customHeight="1">
      <c r="A116"/>
      <c r="B116" s="117"/>
      <c r="C116"/>
      <c r="D116" s="113"/>
      <c r="E116" s="1"/>
      <c r="F116" s="113"/>
      <c r="G116" s="307"/>
      <c r="H116" s="308"/>
      <c r="I116" s="1"/>
      <c r="M116" t="s">
        <v>1332</v>
      </c>
      <c r="N116"/>
      <c r="O116"/>
    </row>
    <row r="117" spans="1:21" ht="26.25" customHeight="1" thickBot="1">
      <c r="A117"/>
      <c r="B117" s="117"/>
      <c r="C117"/>
      <c r="D117" s="113"/>
      <c r="E117" s="1"/>
      <c r="F117" s="113"/>
      <c r="G117" s="307"/>
      <c r="H117" s="308"/>
      <c r="I117" s="1"/>
      <c r="J117"/>
      <c r="K117"/>
      <c r="L117"/>
      <c r="M117"/>
      <c r="N117"/>
      <c r="O117"/>
    </row>
    <row r="118" spans="1:21" ht="26.25" customHeight="1" thickBot="1">
      <c r="A118" s="149"/>
      <c r="B118" s="293" t="s">
        <v>475</v>
      </c>
      <c r="C118" s="294"/>
      <c r="D118" s="294"/>
      <c r="E118" s="294"/>
      <c r="F118" s="294"/>
      <c r="G118" s="294"/>
      <c r="H118" s="294"/>
      <c r="I118" s="294"/>
      <c r="J118" s="294"/>
      <c r="K118" s="294"/>
      <c r="L118" s="294"/>
      <c r="M118" s="296"/>
      <c r="O118" s="92"/>
    </row>
    <row r="119" spans="1:21" ht="26.25" customHeight="1" thickBot="1">
      <c r="A119" s="150"/>
      <c r="B119" s="151" t="s">
        <v>294</v>
      </c>
      <c r="C119" s="151"/>
      <c r="D119" s="151"/>
      <c r="E119" s="151"/>
      <c r="O119" s="92"/>
    </row>
    <row r="120" spans="1:21" ht="33.75" customHeight="1" thickBot="1">
      <c r="A120"/>
      <c r="B120" s="151"/>
      <c r="C120" s="151"/>
      <c r="E120" s="98" t="s">
        <v>71</v>
      </c>
      <c r="F120" s="98" t="str">
        <f>CONCATENATE(" Volume for ",$J$13," reactions")</f>
        <v xml:space="preserve"> Volume for 1 reactions</v>
      </c>
      <c r="O120" s="92"/>
    </row>
    <row r="121" spans="1:21" ht="26.25" customHeight="1" thickBot="1">
      <c r="A121" s="150"/>
      <c r="B121" s="151" t="s">
        <v>72</v>
      </c>
      <c r="C121" s="197"/>
      <c r="D121" s="133" t="s">
        <v>150</v>
      </c>
      <c r="E121" s="257">
        <v>18.090909090909086</v>
      </c>
      <c r="F121" s="156">
        <f>E121*$J$13*1.1</f>
        <v>19.899999999999995</v>
      </c>
      <c r="G121" s="143" t="s">
        <v>73</v>
      </c>
      <c r="O121" s="92"/>
      <c r="Q121" s="151"/>
    </row>
    <row r="122" spans="1:21" ht="28.5" customHeight="1">
      <c r="A122" s="149"/>
      <c r="B122" s="151"/>
      <c r="C122" s="197"/>
      <c r="D122" s="133" t="s">
        <v>74</v>
      </c>
      <c r="E122" s="256">
        <v>1.4545454545454546</v>
      </c>
      <c r="F122" s="156">
        <f>E122*$J$13*1.1</f>
        <v>1.6</v>
      </c>
      <c r="G122" s="143" t="s">
        <v>73</v>
      </c>
      <c r="O122" s="92"/>
      <c r="Q122" s="151"/>
    </row>
    <row r="123" spans="1:21" ht="27.95" customHeight="1" thickBot="1">
      <c r="A123" s="149"/>
      <c r="B123" s="151"/>
      <c r="C123" s="161"/>
      <c r="D123" s="121" t="s">
        <v>151</v>
      </c>
      <c r="E123" s="255">
        <v>10.727272727272727</v>
      </c>
      <c r="F123" s="163">
        <f>E123*$J$13*1.1</f>
        <v>11.8</v>
      </c>
      <c r="G123" s="164" t="s">
        <v>73</v>
      </c>
      <c r="O123" s="92"/>
    </row>
    <row r="124" spans="1:21" ht="18.95" customHeight="1" thickBot="1">
      <c r="A124" s="149"/>
      <c r="B124" s="151"/>
      <c r="D124" s="165"/>
      <c r="E124" s="245">
        <f>SUM(E121:E123)</f>
        <v>30.272727272727266</v>
      </c>
      <c r="F124" s="166">
        <f>SUM(F121:F123)</f>
        <v>33.299999999999997</v>
      </c>
      <c r="G124" s="167" t="s">
        <v>73</v>
      </c>
      <c r="H124" s="141" t="s">
        <v>75</v>
      </c>
      <c r="O124" s="92"/>
    </row>
    <row r="125" spans="1:21" ht="26.25" customHeight="1" thickBot="1">
      <c r="A125" s="150"/>
      <c r="B125" s="151" t="s">
        <v>483</v>
      </c>
      <c r="D125" s="94"/>
      <c r="E125" s="151"/>
      <c r="F125" s="95"/>
      <c r="O125" s="92"/>
      <c r="U125" s="219"/>
    </row>
    <row r="126" spans="1:21" ht="26.25" customHeight="1" thickBot="1">
      <c r="A126" s="150"/>
      <c r="B126" s="96" t="s">
        <v>288</v>
      </c>
      <c r="C126"/>
      <c r="D126"/>
      <c r="E126"/>
      <c r="F126"/>
      <c r="H126"/>
      <c r="I126"/>
      <c r="J126"/>
      <c r="K126"/>
      <c r="S126" s="281"/>
    </row>
    <row r="127" spans="1:21" ht="26.25" customHeight="1" thickBot="1">
      <c r="A127" s="174"/>
      <c r="B127" s="96" t="s">
        <v>289</v>
      </c>
      <c r="C127"/>
      <c r="D127"/>
      <c r="E127"/>
      <c r="F127"/>
      <c r="S127" s="281"/>
    </row>
    <row r="128" spans="1:21" ht="26.25" customHeight="1" thickBot="1">
      <c r="A128" s="174"/>
      <c r="B128" s="96" t="s">
        <v>290</v>
      </c>
      <c r="C128"/>
      <c r="D128"/>
      <c r="E128"/>
      <c r="F128"/>
    </row>
    <row r="129" spans="1:17" ht="26.25" customHeight="1" thickBot="1">
      <c r="A129" s="150"/>
      <c r="B129" s="96" t="s">
        <v>173</v>
      </c>
      <c r="C129"/>
      <c r="D129"/>
      <c r="E129"/>
      <c r="F129"/>
    </row>
    <row r="130" spans="1:17" ht="26.25" customHeight="1" thickBot="1">
      <c r="A130" s="150"/>
      <c r="B130" s="96" t="s">
        <v>76</v>
      </c>
      <c r="C130"/>
      <c r="D130"/>
      <c r="E130"/>
      <c r="F130"/>
      <c r="I130" s="94"/>
      <c r="J130" s="141" t="s">
        <v>152</v>
      </c>
    </row>
    <row r="131" spans="1:17" ht="26.25" customHeight="1">
      <c r="A131" s="149"/>
      <c r="B131" s="96"/>
      <c r="C131"/>
      <c r="D131"/>
      <c r="E131"/>
      <c r="F131"/>
      <c r="I131" s="94"/>
      <c r="J131" s="151" t="s">
        <v>153</v>
      </c>
      <c r="L131" s="151" t="s">
        <v>484</v>
      </c>
    </row>
    <row r="132" spans="1:17" ht="21.95" customHeight="1" thickBot="1">
      <c r="A132" s="149"/>
      <c r="B132" s="96"/>
      <c r="C132"/>
      <c r="D132"/>
      <c r="E132"/>
      <c r="F132"/>
      <c r="I132" s="94"/>
      <c r="J132" s="151" t="s">
        <v>154</v>
      </c>
    </row>
    <row r="133" spans="1:17" ht="26.25" customHeight="1" thickBot="1">
      <c r="A133" s="150"/>
      <c r="B133" s="96" t="s">
        <v>174</v>
      </c>
      <c r="C133"/>
      <c r="D133"/>
      <c r="E133"/>
      <c r="F133"/>
      <c r="I133" s="94"/>
    </row>
    <row r="134" spans="1:17" ht="26.25" customHeight="1" thickBot="1">
      <c r="A134" s="149"/>
      <c r="B134" s="365" t="s">
        <v>177</v>
      </c>
      <c r="C134" s="366"/>
      <c r="D134" s="366"/>
      <c r="E134" s="366"/>
      <c r="F134" s="366"/>
      <c r="G134" s="366"/>
      <c r="H134" s="366"/>
      <c r="I134" s="366"/>
      <c r="J134" s="366"/>
      <c r="K134" s="366"/>
      <c r="L134" s="366"/>
      <c r="M134" s="367"/>
    </row>
    <row r="135" spans="1:17" s="151" customFormat="1" ht="26.25" customHeight="1" thickBot="1">
      <c r="A135" s="175"/>
      <c r="B135" s="151" t="s">
        <v>175</v>
      </c>
      <c r="J135" s="95" t="s">
        <v>77</v>
      </c>
    </row>
    <row r="136" spans="1:17" ht="26.25" customHeight="1" thickBot="1">
      <c r="A136" s="150"/>
      <c r="B136" s="151" t="s">
        <v>176</v>
      </c>
      <c r="C136"/>
      <c r="D136"/>
      <c r="E136"/>
      <c r="F136"/>
      <c r="G136"/>
      <c r="H136" s="95" t="s">
        <v>78</v>
      </c>
      <c r="I136"/>
      <c r="M136" s="97"/>
    </row>
    <row r="137" spans="1:17" ht="26.25" customHeight="1" thickBot="1">
      <c r="A137" s="150"/>
      <c r="B137" s="151" t="s">
        <v>178</v>
      </c>
      <c r="C137" s="151"/>
      <c r="D137" s="151"/>
      <c r="E137" s="151"/>
      <c r="O137" s="92"/>
    </row>
    <row r="138" spans="1:17" ht="33.75" customHeight="1" thickBot="1">
      <c r="A138"/>
      <c r="B138" s="151"/>
      <c r="C138" s="151"/>
      <c r="E138" s="98" t="s">
        <v>71</v>
      </c>
      <c r="F138" s="98" t="str">
        <f>CONCATENATE(" Volume for ",$J$13," samples")</f>
        <v xml:space="preserve"> Volume for 1 samples</v>
      </c>
      <c r="O138" s="92"/>
    </row>
    <row r="139" spans="1:17" ht="26.25" customHeight="1" thickBot="1">
      <c r="A139" s="150"/>
      <c r="B139" s="151" t="s">
        <v>72</v>
      </c>
      <c r="C139" s="197"/>
      <c r="D139" s="93" t="s">
        <v>316</v>
      </c>
      <c r="E139" s="155">
        <v>25</v>
      </c>
      <c r="F139" s="156">
        <f>E139*$J$13*1.1</f>
        <v>27.500000000000004</v>
      </c>
      <c r="G139" s="143" t="s">
        <v>73</v>
      </c>
      <c r="O139" s="92"/>
      <c r="Q139" s="151"/>
    </row>
    <row r="140" spans="1:17" ht="28.5" customHeight="1" thickBot="1">
      <c r="A140" s="149"/>
      <c r="B140" s="151"/>
      <c r="C140" s="254"/>
      <c r="D140" s="112" t="s">
        <v>155</v>
      </c>
      <c r="E140" s="178">
        <v>10</v>
      </c>
      <c r="F140" s="178">
        <f>E140*$J$13*1.1</f>
        <v>11</v>
      </c>
      <c r="G140" s="164" t="s">
        <v>73</v>
      </c>
      <c r="I140" s="141" t="s">
        <v>291</v>
      </c>
      <c r="O140" s="92"/>
      <c r="Q140" s="151"/>
    </row>
    <row r="141" spans="1:17" ht="20.25" customHeight="1" thickBot="1">
      <c r="A141" s="149"/>
      <c r="B141" s="151"/>
      <c r="D141" s="165"/>
      <c r="E141" s="166">
        <f>SUM(E139:E140)</f>
        <v>35</v>
      </c>
      <c r="F141" s="166">
        <f>SUM(F139:F140)</f>
        <v>38.5</v>
      </c>
      <c r="G141" s="167" t="s">
        <v>73</v>
      </c>
      <c r="H141" s="141" t="s">
        <v>75</v>
      </c>
      <c r="O141" s="92"/>
    </row>
    <row r="142" spans="1:17" ht="26.25" customHeight="1" thickBot="1">
      <c r="A142" s="150"/>
      <c r="B142" s="96" t="s">
        <v>156</v>
      </c>
      <c r="C142"/>
      <c r="D142" s="100" t="s">
        <v>84</v>
      </c>
      <c r="E142"/>
      <c r="I142" s="94"/>
    </row>
    <row r="143" spans="1:17" ht="26.25" customHeight="1">
      <c r="A143" s="149"/>
      <c r="B143" s="96"/>
      <c r="C143"/>
      <c r="D143" s="101" t="s">
        <v>85</v>
      </c>
      <c r="E143" s="348" t="s">
        <v>157</v>
      </c>
      <c r="F143" s="151"/>
      <c r="I143" s="94"/>
    </row>
    <row r="144" spans="1:17" ht="21.95" customHeight="1">
      <c r="A144" s="149"/>
      <c r="B144" s="96"/>
      <c r="C144"/>
      <c r="D144" s="101" t="s">
        <v>86</v>
      </c>
      <c r="E144" s="349"/>
      <c r="I144" s="94"/>
    </row>
    <row r="145" spans="1:19" s="142" customFormat="1" ht="23.25" customHeight="1">
      <c r="B145" s="99"/>
      <c r="C145" s="99"/>
      <c r="D145" s="101" t="s">
        <v>87</v>
      </c>
      <c r="E145" s="350"/>
      <c r="F145" s="99"/>
      <c r="G145"/>
      <c r="H145"/>
      <c r="I145"/>
      <c r="J145"/>
      <c r="K145"/>
      <c r="L145"/>
      <c r="M145"/>
    </row>
    <row r="146" spans="1:19" s="142" customFormat="1" ht="23.25" customHeight="1" thickBot="1">
      <c r="B146" s="99"/>
      <c r="C146" s="99"/>
      <c r="D146" s="100" t="s">
        <v>87</v>
      </c>
      <c r="E146"/>
      <c r="F146" s="99"/>
      <c r="G146"/>
      <c r="H146"/>
      <c r="I146"/>
      <c r="J146"/>
      <c r="K146"/>
      <c r="L146"/>
      <c r="M146"/>
    </row>
    <row r="147" spans="1:19" ht="33" customHeight="1" thickBot="1">
      <c r="A147" s="150"/>
      <c r="B147" s="96" t="s">
        <v>80</v>
      </c>
      <c r="C147"/>
      <c r="D147"/>
      <c r="E147" s="98" t="s">
        <v>71</v>
      </c>
      <c r="F147" s="98" t="str">
        <f>CONCATENATE(" Volume for ",$J$13," samples")</f>
        <v xml:space="preserve"> Volume for 1 samples</v>
      </c>
      <c r="G147"/>
      <c r="H147"/>
      <c r="I147"/>
      <c r="L147" s="146"/>
      <c r="M147" s="179"/>
    </row>
    <row r="148" spans="1:19" ht="26.25" customHeight="1">
      <c r="A148" s="149"/>
      <c r="B148" s="96"/>
      <c r="C148" s="344" t="s">
        <v>81</v>
      </c>
      <c r="D148" s="345"/>
      <c r="E148" s="155">
        <v>980</v>
      </c>
      <c r="F148" s="156">
        <f>IF($J$13&lt;2, E148,E148*0.5*$J$13)</f>
        <v>980</v>
      </c>
      <c r="G148" s="143" t="s">
        <v>73</v>
      </c>
      <c r="I148"/>
      <c r="L148" s="146"/>
      <c r="M148" s="179"/>
    </row>
    <row r="149" spans="1:19" ht="26.25" customHeight="1">
      <c r="A149" s="149"/>
      <c r="B149" s="96"/>
      <c r="C149" s="344" t="s">
        <v>82</v>
      </c>
      <c r="D149" s="345"/>
      <c r="E149" s="155">
        <v>10</v>
      </c>
      <c r="F149" s="156">
        <f>IF($J$13&lt;2, E149,E149*0.5*$J$13)</f>
        <v>10</v>
      </c>
      <c r="G149" s="143" t="s">
        <v>73</v>
      </c>
      <c r="I149"/>
      <c r="L149" s="146"/>
      <c r="M149" s="179"/>
    </row>
    <row r="150" spans="1:19" ht="26.25" customHeight="1" thickBot="1">
      <c r="A150" s="149"/>
      <c r="B150" s="96"/>
      <c r="C150" s="322" t="s">
        <v>74</v>
      </c>
      <c r="D150" s="323"/>
      <c r="E150" s="178">
        <v>10</v>
      </c>
      <c r="F150" s="178">
        <f>IF($J$13&lt;2, E150,E150*0.5*$J$13)</f>
        <v>10</v>
      </c>
      <c r="G150" s="164" t="s">
        <v>73</v>
      </c>
      <c r="I150"/>
      <c r="L150" s="146"/>
      <c r="M150" s="179"/>
    </row>
    <row r="151" spans="1:19" ht="26.25" customHeight="1" thickBot="1">
      <c r="A151" s="149"/>
      <c r="B151"/>
      <c r="C151"/>
      <c r="D151"/>
      <c r="E151" s="172">
        <f>SUM(E148:E150)</f>
        <v>1000</v>
      </c>
      <c r="F151" s="172">
        <f>SUM(F148:F150)</f>
        <v>1000</v>
      </c>
      <c r="G151" s="167" t="s">
        <v>73</v>
      </c>
      <c r="H151" s="179" t="s">
        <v>75</v>
      </c>
      <c r="I151"/>
    </row>
    <row r="152" spans="1:19" ht="23.25" customHeight="1" thickBot="1">
      <c r="A152" s="150"/>
      <c r="B152" s="151" t="s">
        <v>179</v>
      </c>
      <c r="C152"/>
      <c r="D152"/>
      <c r="E152"/>
      <c r="F152"/>
      <c r="G152"/>
      <c r="H152"/>
      <c r="I152"/>
      <c r="L152" s="146"/>
      <c r="M152" s="179"/>
    </row>
    <row r="153" spans="1:19" ht="23.25" customHeight="1" thickBot="1">
      <c r="A153" s="150"/>
      <c r="B153" s="134" t="s">
        <v>180</v>
      </c>
      <c r="C153"/>
      <c r="D153"/>
      <c r="E153"/>
      <c r="F153"/>
      <c r="G153"/>
      <c r="H153"/>
      <c r="I153"/>
      <c r="L153" s="146"/>
      <c r="M153" s="179"/>
    </row>
    <row r="154" spans="1:19" ht="26.25" customHeight="1" thickBot="1">
      <c r="A154"/>
      <c r="B154" s="324" t="s">
        <v>158</v>
      </c>
      <c r="C154" s="325"/>
      <c r="D154" s="325"/>
      <c r="E154" s="325"/>
      <c r="F154" s="325"/>
      <c r="G154" s="325"/>
      <c r="H154" s="325"/>
      <c r="I154" s="325"/>
      <c r="J154" s="325"/>
      <c r="K154" s="325"/>
      <c r="L154" s="325"/>
      <c r="M154" s="326"/>
      <c r="N154" s="337" t="s">
        <v>317</v>
      </c>
      <c r="O154" s="337"/>
      <c r="P154" s="337"/>
      <c r="Q154" s="337"/>
    </row>
    <row r="155" spans="1:19" ht="26.25" customHeight="1" thickBot="1">
      <c r="A155" s="150"/>
      <c r="B155" s="96" t="s">
        <v>165</v>
      </c>
      <c r="C155"/>
      <c r="D155"/>
      <c r="E155" s="98" t="s">
        <v>71</v>
      </c>
      <c r="F155" s="98" t="str">
        <f>CONCATENATE(" Volume for ",$J$13," samples")</f>
        <v xml:space="preserve"> Volume for 1 samples</v>
      </c>
      <c r="G155"/>
      <c r="H155" s="126"/>
      <c r="I155" s="126"/>
      <c r="J155" s="126"/>
      <c r="K155" s="126"/>
      <c r="L155" s="126"/>
      <c r="M155" s="126"/>
      <c r="N155" s="337"/>
      <c r="O155" s="337"/>
      <c r="P155" s="337"/>
      <c r="Q155" s="337"/>
    </row>
    <row r="156" spans="1:19" ht="26.25" customHeight="1">
      <c r="A156" s="149"/>
      <c r="B156" s="96"/>
      <c r="C156" s="344" t="s">
        <v>316</v>
      </c>
      <c r="D156" s="345"/>
      <c r="E156" s="155">
        <v>50</v>
      </c>
      <c r="F156" s="156">
        <f>E156*$J$13*4*1.1</f>
        <v>220.00000000000003</v>
      </c>
      <c r="G156" s="143" t="s">
        <v>73</v>
      </c>
      <c r="H156" s="126"/>
      <c r="I156" s="97"/>
      <c r="J156" s="126"/>
      <c r="K156" s="126"/>
      <c r="L156" s="126"/>
      <c r="M156" s="126"/>
      <c r="N156"/>
      <c r="O156"/>
      <c r="P156"/>
    </row>
    <row r="157" spans="1:19" ht="26.25" customHeight="1" thickBot="1">
      <c r="A157" s="149"/>
      <c r="B157" s="96"/>
      <c r="C157" s="346" t="s">
        <v>79</v>
      </c>
      <c r="D157" s="347"/>
      <c r="E157" s="178">
        <v>25</v>
      </c>
      <c r="F157" s="163">
        <f>E157*$J$13*4*1.1</f>
        <v>110.00000000000001</v>
      </c>
      <c r="G157" s="164" t="s">
        <v>73</v>
      </c>
      <c r="H157" s="126"/>
      <c r="I157" s="253" t="s">
        <v>482</v>
      </c>
      <c r="J157" s="126"/>
      <c r="K157" s="126"/>
      <c r="L157" s="126"/>
      <c r="M157" s="126"/>
      <c r="N157"/>
      <c r="O157"/>
      <c r="P157"/>
    </row>
    <row r="158" spans="1:19" ht="26.25" customHeight="1" thickBot="1">
      <c r="A158" s="149"/>
      <c r="B158" s="96"/>
      <c r="C158" s="127"/>
      <c r="D158" s="127"/>
      <c r="E158" s="172">
        <f>SUM(E156:E157)</f>
        <v>75</v>
      </c>
      <c r="F158" s="172">
        <f>SUM(F156:F157)</f>
        <v>330.00000000000006</v>
      </c>
      <c r="G158" s="167" t="s">
        <v>73</v>
      </c>
      <c r="H158" s="126"/>
      <c r="I158" s="126"/>
      <c r="J158" s="126"/>
      <c r="K158" s="126"/>
      <c r="L158" s="126"/>
      <c r="M158" s="126"/>
      <c r="N158"/>
      <c r="O158"/>
      <c r="P158"/>
    </row>
    <row r="159" spans="1:19" ht="24.95" customHeight="1" thickBot="1">
      <c r="A159" s="150"/>
      <c r="B159" s="96" t="s">
        <v>480</v>
      </c>
      <c r="C159"/>
      <c r="D159"/>
      <c r="E159"/>
      <c r="F159"/>
      <c r="G159"/>
      <c r="H159"/>
      <c r="I159"/>
      <c r="S159" s="125"/>
    </row>
    <row r="160" spans="1:19" ht="24.95" customHeight="1" thickBot="1">
      <c r="A160" s="150"/>
      <c r="B160" s="96" t="str">
        <f>CONCATENATE("Add 20 µL of indexes of the plate ", K2)</f>
        <v>Add 20 µL of indexes of the plate TS Set A</v>
      </c>
      <c r="C160"/>
      <c r="D160"/>
      <c r="E160"/>
      <c r="F160"/>
      <c r="G160"/>
      <c r="H160"/>
      <c r="I160"/>
      <c r="J160"/>
    </row>
    <row r="161" spans="1:14" ht="24.95" customHeight="1" thickBot="1">
      <c r="A161" s="188"/>
      <c r="B161" s="179" t="s">
        <v>89</v>
      </c>
      <c r="G161" s="141" t="s">
        <v>90</v>
      </c>
      <c r="H161" s="185"/>
    </row>
    <row r="162" spans="1:14" ht="24.95" customHeight="1">
      <c r="A162" s="149"/>
      <c r="B162" s="189"/>
      <c r="C162" s="104">
        <v>1</v>
      </c>
      <c r="D162" s="104">
        <v>2</v>
      </c>
      <c r="E162" s="104">
        <v>3</v>
      </c>
      <c r="F162" s="104">
        <v>4</v>
      </c>
      <c r="G162" s="104">
        <v>5</v>
      </c>
      <c r="H162" s="104">
        <v>6</v>
      </c>
      <c r="I162" s="104">
        <v>7</v>
      </c>
      <c r="J162" s="104">
        <v>8</v>
      </c>
      <c r="K162" s="104">
        <v>9</v>
      </c>
      <c r="L162" s="104">
        <v>10</v>
      </c>
      <c r="M162" s="104">
        <v>11</v>
      </c>
      <c r="N162" s="104">
        <v>12</v>
      </c>
    </row>
    <row r="163" spans="1:14" ht="17.45" customHeight="1">
      <c r="A163" s="149"/>
      <c r="B163" s="105" t="s">
        <v>91</v>
      </c>
      <c r="C163" s="106" t="str">
        <f>IF(ISNUMBER(#REF!),#REF!, " ")</f>
        <v xml:space="preserve"> </v>
      </c>
      <c r="D163" s="106" t="str">
        <f>IF(ISNUMBER(#REF!),#REF!, " ")</f>
        <v xml:space="preserve"> </v>
      </c>
      <c r="E163" s="106" t="str">
        <f>IF(ISNUMBER(#REF!),#REF!, " ")</f>
        <v xml:space="preserve"> </v>
      </c>
      <c r="F163" s="106" t="str">
        <f>IF(ISNUMBER(#REF!),#REF!, " ")</f>
        <v xml:space="preserve"> </v>
      </c>
      <c r="G163" s="106" t="str">
        <f>IF(ISNUMBER(#REF!),#REF!, " ")</f>
        <v xml:space="preserve"> </v>
      </c>
      <c r="H163" s="106" t="str">
        <f>IF(ISNUMBER(#REF!),#REF!, " ")</f>
        <v xml:space="preserve"> </v>
      </c>
      <c r="I163" s="106" t="str">
        <f>IF(ISNUMBER(#REF!),#REF!, " ")</f>
        <v xml:space="preserve"> </v>
      </c>
      <c r="J163" s="106" t="str">
        <f>IF(ISNUMBER(#REF!),#REF!, " ")</f>
        <v xml:space="preserve"> </v>
      </c>
      <c r="K163" s="106" t="str">
        <f>IF(ISNUMBER(#REF!),#REF!, " ")</f>
        <v xml:space="preserve"> </v>
      </c>
      <c r="L163" s="106" t="str">
        <f>IF(ISNUMBER(#REF!),#REF!, " ")</f>
        <v xml:space="preserve"> </v>
      </c>
      <c r="M163" s="106" t="str">
        <f>IF(ISNUMBER(#REF!),#REF!, " ")</f>
        <v xml:space="preserve"> </v>
      </c>
      <c r="N163" s="106" t="str">
        <f>IF(ISNUMBER(#REF!),#REF!, " ")</f>
        <v xml:space="preserve"> </v>
      </c>
    </row>
    <row r="164" spans="1:14" ht="17.45" customHeight="1">
      <c r="B164" s="105" t="s">
        <v>92</v>
      </c>
      <c r="C164" s="106" t="str">
        <f>IF(ISNUMBER(#REF!),#REF!, " ")</f>
        <v xml:space="preserve"> </v>
      </c>
      <c r="D164" s="106" t="str">
        <f>IF(ISNUMBER(#REF!),#REF!, " ")</f>
        <v xml:space="preserve"> </v>
      </c>
      <c r="E164" s="106" t="str">
        <f>IF(ISNUMBER(#REF!),#REF!, " ")</f>
        <v xml:space="preserve"> </v>
      </c>
      <c r="F164" s="106" t="str">
        <f>IF(ISNUMBER(#REF!),#REF!, " ")</f>
        <v xml:space="preserve"> </v>
      </c>
      <c r="G164" s="106" t="str">
        <f>IF(ISNUMBER(#REF!),#REF!, " ")</f>
        <v xml:space="preserve"> </v>
      </c>
      <c r="H164" s="106" t="str">
        <f>IF(ISNUMBER(#REF!),#REF!, " ")</f>
        <v xml:space="preserve"> </v>
      </c>
      <c r="I164" s="106" t="str">
        <f>IF(ISNUMBER(#REF!),#REF!, " ")</f>
        <v xml:space="preserve"> </v>
      </c>
      <c r="J164" s="106" t="str">
        <f>IF(ISNUMBER(#REF!),#REF!, " ")</f>
        <v xml:space="preserve"> </v>
      </c>
      <c r="K164" s="106" t="str">
        <f>IF(ISNUMBER(#REF!),#REF!, " ")</f>
        <v xml:space="preserve"> </v>
      </c>
      <c r="L164" s="106" t="str">
        <f>IF(ISNUMBER(#REF!),#REF!, " ")</f>
        <v xml:space="preserve"> </v>
      </c>
      <c r="M164" s="106" t="str">
        <f>IF(ISNUMBER(#REF!),#REF!, " ")</f>
        <v xml:space="preserve"> </v>
      </c>
      <c r="N164" s="106" t="str">
        <f>IF(ISNUMBER(#REF!),#REF!, " ")</f>
        <v xml:space="preserve"> </v>
      </c>
    </row>
    <row r="165" spans="1:14" ht="17.45" customHeight="1">
      <c r="B165" s="105" t="s">
        <v>93</v>
      </c>
      <c r="C165" s="106" t="str">
        <f>IF(ISNUMBER(#REF!),#REF!, " ")</f>
        <v xml:space="preserve"> </v>
      </c>
      <c r="D165" s="106" t="str">
        <f>IF(ISNUMBER(#REF!),#REF!, " ")</f>
        <v xml:space="preserve"> </v>
      </c>
      <c r="E165" s="106" t="str">
        <f>IF(ISNUMBER(#REF!),#REF!, " ")</f>
        <v xml:space="preserve"> </v>
      </c>
      <c r="F165" s="106" t="str">
        <f>IF(ISNUMBER(#REF!),#REF!, " ")</f>
        <v xml:space="preserve"> </v>
      </c>
      <c r="G165" s="106" t="str">
        <f>IF(ISNUMBER(#REF!),#REF!, " ")</f>
        <v xml:space="preserve"> </v>
      </c>
      <c r="H165" s="106" t="str">
        <f>IF(ISNUMBER(#REF!),#REF!, " ")</f>
        <v xml:space="preserve"> </v>
      </c>
      <c r="I165" s="106" t="str">
        <f>IF(ISNUMBER(#REF!),#REF!, " ")</f>
        <v xml:space="preserve"> </v>
      </c>
      <c r="J165" s="106" t="str">
        <f>IF(ISNUMBER(#REF!),#REF!, " ")</f>
        <v xml:space="preserve"> </v>
      </c>
      <c r="K165" s="106" t="str">
        <f>IF(ISNUMBER(#REF!),#REF!, " ")</f>
        <v xml:space="preserve"> </v>
      </c>
      <c r="L165" s="106" t="str">
        <f>IF(ISNUMBER(#REF!),#REF!, " ")</f>
        <v xml:space="preserve"> </v>
      </c>
      <c r="M165" s="106" t="str">
        <f>IF(ISNUMBER(#REF!),#REF!, " ")</f>
        <v xml:space="preserve"> </v>
      </c>
      <c r="N165" s="106" t="str">
        <f>IF(ISNUMBER(#REF!),#REF!, " ")</f>
        <v xml:space="preserve"> </v>
      </c>
    </row>
    <row r="166" spans="1:14" ht="17.45" customHeight="1">
      <c r="B166" s="105" t="s">
        <v>94</v>
      </c>
      <c r="C166" s="106" t="str">
        <f>IF(ISNUMBER(#REF!),#REF!, " ")</f>
        <v xml:space="preserve"> </v>
      </c>
      <c r="D166" s="106" t="str">
        <f>IF(ISNUMBER(#REF!),#REF!, " ")</f>
        <v xml:space="preserve"> </v>
      </c>
      <c r="E166" s="106" t="str">
        <f>IF(ISNUMBER(#REF!),#REF!, " ")</f>
        <v xml:space="preserve"> </v>
      </c>
      <c r="F166" s="106" t="str">
        <f>IF(ISNUMBER(#REF!),#REF!, " ")</f>
        <v xml:space="preserve"> </v>
      </c>
      <c r="G166" s="106" t="str">
        <f>IF(ISNUMBER(#REF!),#REF!, " ")</f>
        <v xml:space="preserve"> </v>
      </c>
      <c r="H166" s="106" t="str">
        <f>IF(ISNUMBER(#REF!),#REF!, " ")</f>
        <v xml:space="preserve"> </v>
      </c>
      <c r="I166" s="106" t="str">
        <f>IF(ISNUMBER(#REF!),#REF!, " ")</f>
        <v xml:space="preserve"> </v>
      </c>
      <c r="J166" s="106" t="str">
        <f>IF(ISNUMBER(#REF!),#REF!, " ")</f>
        <v xml:space="preserve"> </v>
      </c>
      <c r="K166" s="106" t="str">
        <f>IF(ISNUMBER(#REF!),#REF!, " ")</f>
        <v xml:space="preserve"> </v>
      </c>
      <c r="L166" s="106" t="str">
        <f>IF(ISNUMBER(#REF!),#REF!, " ")</f>
        <v xml:space="preserve"> </v>
      </c>
      <c r="M166" s="106" t="str">
        <f>IF(ISNUMBER(#REF!),#REF!, " ")</f>
        <v xml:space="preserve"> </v>
      </c>
      <c r="N166" s="106" t="str">
        <f>IF(ISNUMBER(#REF!),#REF!, " ")</f>
        <v xml:space="preserve"> </v>
      </c>
    </row>
    <row r="167" spans="1:14" ht="17.45" customHeight="1">
      <c r="B167" s="105" t="s">
        <v>95</v>
      </c>
      <c r="C167" s="106" t="str">
        <f>IF(ISNUMBER(#REF!),#REF!, " ")</f>
        <v xml:space="preserve"> </v>
      </c>
      <c r="D167" s="106" t="str">
        <f>IF(ISNUMBER(#REF!),#REF!, " ")</f>
        <v xml:space="preserve"> </v>
      </c>
      <c r="E167" s="106" t="str">
        <f>IF(ISNUMBER(#REF!),#REF!, " ")</f>
        <v xml:space="preserve"> </v>
      </c>
      <c r="F167" s="106" t="str">
        <f>IF(ISNUMBER(#REF!),#REF!, " ")</f>
        <v xml:space="preserve"> </v>
      </c>
      <c r="G167" s="106" t="str">
        <f>IF(ISNUMBER(#REF!),#REF!, " ")</f>
        <v xml:space="preserve"> </v>
      </c>
      <c r="H167" s="106" t="str">
        <f>IF(ISNUMBER(#REF!),#REF!, " ")</f>
        <v xml:space="preserve"> </v>
      </c>
      <c r="I167" s="106" t="str">
        <f>IF(ISNUMBER(#REF!),#REF!, " ")</f>
        <v xml:space="preserve"> </v>
      </c>
      <c r="J167" s="106" t="str">
        <f>IF(ISNUMBER(#REF!),#REF!, " ")</f>
        <v xml:space="preserve"> </v>
      </c>
      <c r="K167" s="106" t="str">
        <f>IF(ISNUMBER(#REF!),#REF!, " ")</f>
        <v xml:space="preserve"> </v>
      </c>
      <c r="L167" s="106" t="str">
        <f>IF(ISNUMBER(#REF!),#REF!, " ")</f>
        <v xml:space="preserve"> </v>
      </c>
      <c r="M167" s="106" t="str">
        <f>IF(ISNUMBER(#REF!),#REF!, " ")</f>
        <v xml:space="preserve"> </v>
      </c>
      <c r="N167" s="106" t="str">
        <f>IF(ISNUMBER(#REF!),#REF!, " ")</f>
        <v xml:space="preserve"> </v>
      </c>
    </row>
    <row r="168" spans="1:14" ht="17.45" customHeight="1">
      <c r="B168" s="105" t="s">
        <v>96</v>
      </c>
      <c r="C168" s="106" t="str">
        <f>IF(ISNUMBER(#REF!),#REF!, " ")</f>
        <v xml:space="preserve"> </v>
      </c>
      <c r="D168" s="106" t="str">
        <f>IF(ISNUMBER(#REF!),#REF!, " ")</f>
        <v xml:space="preserve"> </v>
      </c>
      <c r="E168" s="106" t="str">
        <f>IF(ISNUMBER(#REF!),#REF!, " ")</f>
        <v xml:space="preserve"> </v>
      </c>
      <c r="F168" s="106" t="str">
        <f>IF(ISNUMBER(#REF!),#REF!, " ")</f>
        <v xml:space="preserve"> </v>
      </c>
      <c r="G168" s="106" t="str">
        <f>IF(ISNUMBER(#REF!),#REF!, " ")</f>
        <v xml:space="preserve"> </v>
      </c>
      <c r="H168" s="106" t="str">
        <f>IF(ISNUMBER(#REF!),#REF!, " ")</f>
        <v xml:space="preserve"> </v>
      </c>
      <c r="I168" s="106" t="str">
        <f>IF(ISNUMBER(#REF!),#REF!, " ")</f>
        <v xml:space="preserve"> </v>
      </c>
      <c r="J168" s="106" t="str">
        <f>IF(ISNUMBER(#REF!),#REF!, " ")</f>
        <v xml:space="preserve"> </v>
      </c>
      <c r="K168" s="106" t="str">
        <f>IF(ISNUMBER(#REF!),#REF!, " ")</f>
        <v xml:space="preserve"> </v>
      </c>
      <c r="L168" s="106" t="str">
        <f>IF(ISNUMBER(#REF!),#REF!, " ")</f>
        <v xml:space="preserve"> </v>
      </c>
      <c r="M168" s="106" t="str">
        <f>IF(ISNUMBER(#REF!),#REF!, " ")</f>
        <v xml:space="preserve"> </v>
      </c>
      <c r="N168" s="106" t="str">
        <f>IF(ISNUMBER(#REF!),#REF!, " ")</f>
        <v xml:space="preserve"> </v>
      </c>
    </row>
    <row r="169" spans="1:14" ht="17.45" customHeight="1">
      <c r="B169" s="105" t="s">
        <v>97</v>
      </c>
      <c r="C169" s="106" t="str">
        <f>IF(ISNUMBER(#REF!),#REF!, " ")</f>
        <v xml:space="preserve"> </v>
      </c>
      <c r="D169" s="106" t="str">
        <f>IF(ISNUMBER(#REF!),#REF!, " ")</f>
        <v xml:space="preserve"> </v>
      </c>
      <c r="E169" s="106" t="str">
        <f>IF(ISNUMBER(#REF!),#REF!, " ")</f>
        <v xml:space="preserve"> </v>
      </c>
      <c r="F169" s="106" t="str">
        <f>IF(ISNUMBER(#REF!),#REF!, " ")</f>
        <v xml:space="preserve"> </v>
      </c>
      <c r="G169" s="106" t="str">
        <f>IF(ISNUMBER(#REF!),#REF!, " ")</f>
        <v xml:space="preserve"> </v>
      </c>
      <c r="H169" s="106" t="str">
        <f>IF(ISNUMBER(#REF!),#REF!, " ")</f>
        <v xml:space="preserve"> </v>
      </c>
      <c r="I169" s="106" t="str">
        <f>IF(ISNUMBER(#REF!),#REF!, " ")</f>
        <v xml:space="preserve"> </v>
      </c>
      <c r="J169" s="106" t="str">
        <f>IF(ISNUMBER(#REF!),#REF!, " ")</f>
        <v xml:space="preserve"> </v>
      </c>
      <c r="K169" s="106" t="str">
        <f>IF(ISNUMBER(#REF!),#REF!, " ")</f>
        <v xml:space="preserve"> </v>
      </c>
      <c r="L169" s="106" t="str">
        <f>IF(ISNUMBER(#REF!),#REF!, " ")</f>
        <v xml:space="preserve"> </v>
      </c>
      <c r="M169" s="106" t="str">
        <f>IF(ISNUMBER(#REF!),#REF!, " ")</f>
        <v xml:space="preserve"> </v>
      </c>
      <c r="N169" s="106" t="str">
        <f>IF(ISNUMBER(#REF!),#REF!, " ")</f>
        <v xml:space="preserve"> </v>
      </c>
    </row>
    <row r="170" spans="1:14" ht="17.45" customHeight="1" thickBot="1">
      <c r="B170" s="105" t="s">
        <v>98</v>
      </c>
      <c r="C170" s="106" t="str">
        <f>IF(ISNUMBER(#REF!),#REF!, " ")</f>
        <v xml:space="preserve"> </v>
      </c>
      <c r="D170" s="106" t="str">
        <f>IF(ISNUMBER(#REF!),#REF!, " ")</f>
        <v xml:space="preserve"> </v>
      </c>
      <c r="E170" s="106" t="str">
        <f>IF(ISNUMBER(#REF!),#REF!, " ")</f>
        <v xml:space="preserve"> </v>
      </c>
      <c r="F170" s="106" t="str">
        <f>IF(ISNUMBER(#REF!),#REF!, " ")</f>
        <v xml:space="preserve"> </v>
      </c>
      <c r="G170" s="106" t="str">
        <f>IF(ISNUMBER(#REF!),#REF!, " ")</f>
        <v xml:space="preserve"> </v>
      </c>
      <c r="H170" s="106" t="str">
        <f>IF(ISNUMBER(#REF!),#REF!, " ")</f>
        <v xml:space="preserve"> </v>
      </c>
      <c r="I170" s="106" t="str">
        <f>IF(ISNUMBER(#REF!),#REF!, " ")</f>
        <v xml:space="preserve"> </v>
      </c>
      <c r="J170" s="106" t="str">
        <f>IF(ISNUMBER(#REF!),#REF!, " ")</f>
        <v xml:space="preserve"> </v>
      </c>
      <c r="K170" s="106" t="str">
        <f>IF(ISNUMBER(#REF!),#REF!, " ")</f>
        <v xml:space="preserve"> </v>
      </c>
      <c r="L170" s="106" t="str">
        <f>IF(ISNUMBER(#REF!),#REF!, " ")</f>
        <v xml:space="preserve"> </v>
      </c>
      <c r="M170" s="106" t="str">
        <f>IF(ISNUMBER(#REF!),#REF!, " ")</f>
        <v xml:space="preserve"> </v>
      </c>
      <c r="N170" s="106" t="str">
        <f>IF(ISNUMBER(#REF!),#REF!, " ")</f>
        <v xml:space="preserve"> </v>
      </c>
    </row>
    <row r="171" spans="1:14" ht="24.95" customHeight="1" thickBot="1">
      <c r="A171" s="150"/>
      <c r="B171" s="96" t="s">
        <v>83</v>
      </c>
      <c r="C171"/>
      <c r="D171" s="94" t="s">
        <v>99</v>
      </c>
      <c r="E171"/>
      <c r="F171"/>
      <c r="G171" s="142" t="s">
        <v>88</v>
      </c>
      <c r="H171" s="185"/>
      <c r="I171"/>
      <c r="J171"/>
    </row>
    <row r="172" spans="1:14" ht="24.95" customHeight="1">
      <c r="A172"/>
      <c r="B172"/>
      <c r="C172"/>
      <c r="D172" s="107" t="s">
        <v>100</v>
      </c>
      <c r="E172" s="348" t="str">
        <f>IF($H$171&gt;0,CONCATENATE($H$171," cycles"),"___cycles")</f>
        <v>___cycles</v>
      </c>
      <c r="F172"/>
      <c r="G172"/>
      <c r="H172"/>
      <c r="I172"/>
      <c r="J172" s="125" t="s">
        <v>181</v>
      </c>
    </row>
    <row r="173" spans="1:14" ht="24.95" customHeight="1">
      <c r="A173"/>
      <c r="B173"/>
      <c r="C173"/>
      <c r="D173" s="107" t="s">
        <v>101</v>
      </c>
      <c r="E173" s="349"/>
      <c r="F173"/>
      <c r="G173"/>
      <c r="H173"/>
      <c r="I173"/>
      <c r="J173"/>
    </row>
    <row r="174" spans="1:14" ht="24.95" customHeight="1">
      <c r="A174"/>
      <c r="B174"/>
      <c r="C174"/>
      <c r="D174" s="107" t="s">
        <v>102</v>
      </c>
      <c r="E174" s="350"/>
      <c r="F174"/>
      <c r="G174"/>
      <c r="H174"/>
      <c r="I174"/>
      <c r="J174"/>
    </row>
    <row r="175" spans="1:14" ht="24.95" customHeight="1" thickBot="1">
      <c r="A175"/>
      <c r="B175"/>
      <c r="C175"/>
      <c r="D175" s="94" t="s">
        <v>103</v>
      </c>
      <c r="E175"/>
      <c r="F175"/>
      <c r="G175"/>
      <c r="H175"/>
      <c r="I175"/>
      <c r="J175"/>
    </row>
    <row r="176" spans="1:14" ht="24.95" customHeight="1" thickBot="1">
      <c r="A176" s="150"/>
      <c r="B176" s="123" t="s">
        <v>182</v>
      </c>
      <c r="C176" s="122"/>
      <c r="D176" s="122"/>
      <c r="E176" s="122"/>
      <c r="F176" s="122"/>
      <c r="G176" s="122"/>
      <c r="H176" s="122"/>
      <c r="I176" s="122"/>
      <c r="J176"/>
      <c r="K176" s="103"/>
    </row>
    <row r="177" spans="1:13" ht="26.25" customHeight="1" thickBot="1">
      <c r="A177" s="188"/>
      <c r="B177" s="354" t="s">
        <v>105</v>
      </c>
      <c r="C177" s="355"/>
      <c r="D177" s="355"/>
      <c r="E177" s="355"/>
      <c r="F177" s="355"/>
      <c r="G177" s="355"/>
      <c r="H177" s="355"/>
      <c r="I177" s="355"/>
      <c r="J177" s="355"/>
      <c r="K177" s="355"/>
      <c r="L177" s="355"/>
      <c r="M177" s="356"/>
    </row>
    <row r="178" spans="1:13" ht="26.25" customHeight="1" thickBot="1">
      <c r="A178" s="175"/>
      <c r="B178" s="96" t="s">
        <v>106</v>
      </c>
      <c r="C178" s="151"/>
      <c r="E178" s="135" t="s">
        <v>107</v>
      </c>
      <c r="F178" s="135" t="s">
        <v>108</v>
      </c>
      <c r="H178" s="135" t="s">
        <v>107</v>
      </c>
      <c r="I178" s="135" t="s">
        <v>108</v>
      </c>
    </row>
    <row r="179" spans="1:13" ht="26.25" customHeight="1">
      <c r="A179" s="179"/>
      <c r="B179" s="96"/>
      <c r="C179" s="151"/>
      <c r="E179" s="109"/>
      <c r="F179" s="98"/>
      <c r="H179" s="109"/>
      <c r="I179" s="98"/>
    </row>
    <row r="180" spans="1:13" ht="26.25" customHeight="1" thickBot="1">
      <c r="A180" s="179"/>
      <c r="B180" s="96"/>
      <c r="C180" s="151"/>
      <c r="E180" s="156"/>
      <c r="F180" s="156"/>
      <c r="H180" s="156"/>
      <c r="I180" s="156"/>
    </row>
    <row r="181" spans="1:13" ht="26.25" customHeight="1" thickBot="1">
      <c r="A181" s="175"/>
      <c r="B181" s="151" t="s">
        <v>109</v>
      </c>
      <c r="C181"/>
      <c r="D181"/>
      <c r="E181"/>
    </row>
    <row r="182" spans="1:13" ht="26.25" customHeight="1">
      <c r="A182" s="179"/>
      <c r="B182" s="151"/>
      <c r="C182" t="s">
        <v>1298</v>
      </c>
      <c r="D182"/>
      <c r="E182"/>
    </row>
    <row r="183" spans="1:13" s="179" customFormat="1" ht="52.5" customHeight="1">
      <c r="D183" s="279" t="s">
        <v>1299</v>
      </c>
      <c r="E183" s="280" t="s">
        <v>1323</v>
      </c>
      <c r="F183" s="279" t="s">
        <v>1303</v>
      </c>
      <c r="G183" s="280" t="s">
        <v>1327</v>
      </c>
      <c r="H183" s="279" t="s">
        <v>1307</v>
      </c>
      <c r="I183" s="280" t="s">
        <v>1315</v>
      </c>
      <c r="J183" s="357" t="s">
        <v>1308</v>
      </c>
      <c r="K183" s="357"/>
      <c r="L183" s="280" t="s">
        <v>1319</v>
      </c>
    </row>
    <row r="184" spans="1:13" s="179" customFormat="1" ht="52.5" customHeight="1">
      <c r="D184" s="279" t="s">
        <v>1300</v>
      </c>
      <c r="E184" s="280" t="s">
        <v>1324</v>
      </c>
      <c r="F184" s="279" t="s">
        <v>1304</v>
      </c>
      <c r="G184" s="280" t="s">
        <v>1328</v>
      </c>
      <c r="H184" s="279" t="s">
        <v>1309</v>
      </c>
      <c r="I184" s="280" t="s">
        <v>1316</v>
      </c>
      <c r="J184" s="357" t="s">
        <v>1310</v>
      </c>
      <c r="K184" s="357"/>
      <c r="L184" s="280" t="s">
        <v>1320</v>
      </c>
    </row>
    <row r="185" spans="1:13" s="179" customFormat="1" ht="52.5" customHeight="1">
      <c r="D185" s="279" t="s">
        <v>1301</v>
      </c>
      <c r="E185" s="280" t="s">
        <v>1325</v>
      </c>
      <c r="F185" s="279" t="s">
        <v>1305</v>
      </c>
      <c r="G185" s="280" t="s">
        <v>1329</v>
      </c>
      <c r="H185" s="279" t="s">
        <v>1311</v>
      </c>
      <c r="I185" s="280" t="s">
        <v>1317</v>
      </c>
      <c r="J185" s="357" t="s">
        <v>1312</v>
      </c>
      <c r="K185" s="357"/>
      <c r="L185" s="280" t="s">
        <v>1321</v>
      </c>
    </row>
    <row r="186" spans="1:13" s="179" customFormat="1" ht="52.5" customHeight="1">
      <c r="D186" s="279" t="s">
        <v>1302</v>
      </c>
      <c r="E186" s="280" t="s">
        <v>1326</v>
      </c>
      <c r="F186" s="279" t="s">
        <v>1306</v>
      </c>
      <c r="G186" s="280" t="s">
        <v>1330</v>
      </c>
      <c r="H186" s="279" t="s">
        <v>1313</v>
      </c>
      <c r="I186" s="280" t="s">
        <v>1318</v>
      </c>
      <c r="J186" s="358" t="s">
        <v>1314</v>
      </c>
      <c r="K186" s="358"/>
      <c r="L186" s="280" t="s">
        <v>1322</v>
      </c>
    </row>
    <row r="187" spans="1:13" ht="25.5" customHeight="1">
      <c r="A187" s="179"/>
      <c r="C187" s="283" t="s">
        <v>111</v>
      </c>
      <c r="D187" s="283"/>
      <c r="E187" s="283"/>
      <c r="F187" s="283"/>
      <c r="G187" s="283"/>
      <c r="H187" s="283"/>
      <c r="I187" s="283"/>
      <c r="J187" s="283"/>
      <c r="K187" s="282" t="s">
        <v>112</v>
      </c>
      <c r="L187" s="282"/>
    </row>
    <row r="188" spans="1:13" ht="26.25" customHeight="1">
      <c r="A188" s="179"/>
      <c r="C188" s="283" t="s">
        <v>161</v>
      </c>
      <c r="D188" s="283"/>
      <c r="E188" s="283"/>
      <c r="F188" s="283"/>
      <c r="G188" s="283"/>
      <c r="H188" s="283"/>
      <c r="I188" s="283"/>
      <c r="J188" s="283"/>
      <c r="K188" s="282" t="s">
        <v>160</v>
      </c>
      <c r="L188" s="282"/>
    </row>
    <row r="189" spans="1:13" ht="26.25" customHeight="1">
      <c r="A189" s="179"/>
      <c r="C189" s="283" t="s">
        <v>485</v>
      </c>
      <c r="D189" s="283"/>
      <c r="E189" s="283"/>
      <c r="F189" s="283"/>
      <c r="G189" s="283"/>
      <c r="H189" s="283"/>
      <c r="I189" s="283"/>
      <c r="J189" s="283"/>
      <c r="K189" s="282" t="s">
        <v>486</v>
      </c>
      <c r="L189" s="282"/>
    </row>
    <row r="190" spans="1:13" ht="26.25" customHeight="1">
      <c r="A190" s="179"/>
      <c r="C190" s="283" t="s">
        <v>487</v>
      </c>
      <c r="D190" s="283"/>
      <c r="E190" s="283"/>
      <c r="F190" s="283"/>
      <c r="G190" s="283"/>
      <c r="H190" s="283"/>
      <c r="I190" s="283"/>
      <c r="J190" s="283"/>
      <c r="K190" s="282" t="s">
        <v>488</v>
      </c>
      <c r="L190" s="282"/>
    </row>
    <row r="191" spans="1:13" ht="26.25" customHeight="1">
      <c r="A191" s="179"/>
      <c r="C191" s="283" t="s">
        <v>489</v>
      </c>
      <c r="D191" s="283"/>
      <c r="E191" s="283"/>
      <c r="F191" s="283"/>
      <c r="G191" s="283"/>
      <c r="H191" s="283"/>
      <c r="I191" s="283"/>
      <c r="J191" s="283"/>
      <c r="K191" s="282" t="s">
        <v>490</v>
      </c>
      <c r="L191" s="282"/>
    </row>
    <row r="192" spans="1:13" ht="31.5" customHeight="1">
      <c r="A192" s="179"/>
      <c r="C192" s="283" t="s">
        <v>491</v>
      </c>
      <c r="D192" s="283"/>
      <c r="E192" s="283"/>
      <c r="F192" s="283"/>
      <c r="G192" s="283"/>
      <c r="H192" s="283"/>
      <c r="I192" s="283"/>
      <c r="J192" s="283"/>
      <c r="K192" s="284" t="s">
        <v>492</v>
      </c>
      <c r="L192" s="284"/>
    </row>
    <row r="193" spans="1:12" ht="31.5" customHeight="1">
      <c r="A193" s="179"/>
      <c r="C193" s="283" t="s">
        <v>493</v>
      </c>
      <c r="D193" s="283"/>
      <c r="E193" s="283"/>
      <c r="F193" s="283"/>
      <c r="G193" s="283"/>
      <c r="H193" s="283"/>
      <c r="I193" s="283"/>
      <c r="J193" s="283"/>
      <c r="K193" s="284" t="s">
        <v>494</v>
      </c>
      <c r="L193" s="284"/>
    </row>
    <row r="194" spans="1:12" ht="31.5" customHeight="1">
      <c r="A194" s="179"/>
      <c r="C194" s="283" t="s">
        <v>495</v>
      </c>
      <c r="D194" s="283"/>
      <c r="E194" s="283"/>
      <c r="F194" s="283"/>
      <c r="G194" s="283"/>
      <c r="H194" s="283"/>
      <c r="I194" s="283"/>
      <c r="J194" s="283"/>
      <c r="K194" s="284" t="s">
        <v>496</v>
      </c>
      <c r="L194" s="284"/>
    </row>
    <row r="195" spans="1:12" ht="31.5" customHeight="1">
      <c r="A195" s="179"/>
      <c r="C195" s="283" t="s">
        <v>497</v>
      </c>
      <c r="D195" s="283"/>
      <c r="E195" s="283"/>
      <c r="F195" s="283"/>
      <c r="G195" s="283"/>
      <c r="H195" s="283"/>
      <c r="I195" s="283"/>
      <c r="J195" s="283"/>
      <c r="K195" s="282" t="s">
        <v>498</v>
      </c>
      <c r="L195" s="282"/>
    </row>
    <row r="196" spans="1:12" ht="31.5" customHeight="1">
      <c r="A196" s="179"/>
      <c r="C196" s="283" t="s">
        <v>499</v>
      </c>
      <c r="D196" s="283"/>
      <c r="E196" s="283"/>
      <c r="F196" s="283"/>
      <c r="G196" s="283"/>
      <c r="H196" s="283"/>
      <c r="I196" s="283"/>
      <c r="J196" s="283"/>
      <c r="K196" s="282" t="s">
        <v>498</v>
      </c>
      <c r="L196" s="282"/>
    </row>
    <row r="199" spans="1:12" ht="26.25" customHeight="1">
      <c r="C199" s="282" t="s">
        <v>113</v>
      </c>
      <c r="D199" s="282"/>
      <c r="E199" s="282"/>
      <c r="F199" s="351" t="s">
        <v>500</v>
      </c>
      <c r="G199" s="352"/>
      <c r="H199" s="352"/>
      <c r="I199" s="353"/>
    </row>
    <row r="200" spans="1:12" ht="26.25" customHeight="1">
      <c r="C200" s="364" t="s">
        <v>114</v>
      </c>
      <c r="D200" s="364"/>
      <c r="E200" s="364"/>
      <c r="F200" s="351" t="s">
        <v>115</v>
      </c>
      <c r="G200" s="352"/>
      <c r="H200" s="352"/>
      <c r="I200" s="353"/>
    </row>
    <row r="201" spans="1:12" ht="26.25" customHeight="1">
      <c r="C201" s="364" t="s">
        <v>116</v>
      </c>
      <c r="D201" s="364"/>
      <c r="E201" s="364"/>
      <c r="F201" s="351" t="s">
        <v>117</v>
      </c>
      <c r="G201" s="352"/>
      <c r="H201" s="352"/>
      <c r="I201" s="353"/>
    </row>
    <row r="202" spans="1:12" ht="30.75" customHeight="1">
      <c r="C202" s="351" t="s">
        <v>118</v>
      </c>
      <c r="D202" s="352"/>
      <c r="E202" s="353"/>
      <c r="F202" s="351" t="s">
        <v>501</v>
      </c>
      <c r="G202" s="352"/>
      <c r="H202" s="352"/>
      <c r="I202" s="353"/>
    </row>
    <row r="203" spans="1:12" ht="26.25" customHeight="1">
      <c r="C203" s="351" t="s">
        <v>119</v>
      </c>
      <c r="D203" s="352"/>
      <c r="E203" s="353"/>
      <c r="F203" s="351" t="s">
        <v>120</v>
      </c>
      <c r="G203" s="352"/>
      <c r="H203" s="352"/>
      <c r="I203" s="353"/>
    </row>
    <row r="204" spans="1:12" ht="26.25" customHeight="1">
      <c r="C204" s="351" t="s">
        <v>121</v>
      </c>
      <c r="D204" s="352"/>
      <c r="E204" s="353"/>
      <c r="F204" s="351" t="s">
        <v>481</v>
      </c>
      <c r="G204" s="352"/>
      <c r="H204" s="352"/>
      <c r="I204" s="353"/>
    </row>
    <row r="205" spans="1:12" ht="26.25" customHeight="1">
      <c r="C205" s="351" t="s">
        <v>122</v>
      </c>
      <c r="D205" s="352"/>
      <c r="E205" s="353"/>
      <c r="F205" s="359">
        <v>20260615</v>
      </c>
      <c r="G205" s="360"/>
      <c r="H205" s="360"/>
      <c r="I205" s="361"/>
    </row>
    <row r="206" spans="1:12" ht="26.25" customHeight="1">
      <c r="C206" s="351" t="s">
        <v>123</v>
      </c>
      <c r="D206" s="352"/>
      <c r="E206" s="353"/>
      <c r="F206" s="359">
        <v>20260515</v>
      </c>
      <c r="G206" s="360"/>
      <c r="H206" s="360"/>
      <c r="I206" s="361"/>
    </row>
  </sheetData>
  <mergeCells count="107">
    <mergeCell ref="C206:E206"/>
    <mergeCell ref="F206:I206"/>
    <mergeCell ref="I4:J4"/>
    <mergeCell ref="B78:M78"/>
    <mergeCell ref="B75:M75"/>
    <mergeCell ref="B110:L110"/>
    <mergeCell ref="B111:L111"/>
    <mergeCell ref="C202:E202"/>
    <mergeCell ref="F202:I202"/>
    <mergeCell ref="C203:E203"/>
    <mergeCell ref="F203:I203"/>
    <mergeCell ref="C204:E204"/>
    <mergeCell ref="F204:I204"/>
    <mergeCell ref="C205:E205"/>
    <mergeCell ref="F205:I205"/>
    <mergeCell ref="C191:J191"/>
    <mergeCell ref="C201:E201"/>
    <mergeCell ref="F201:I201"/>
    <mergeCell ref="C200:E200"/>
    <mergeCell ref="F200:I200"/>
    <mergeCell ref="G117:H117"/>
    <mergeCell ref="B134:M134"/>
    <mergeCell ref="E143:E145"/>
    <mergeCell ref="C148:D148"/>
    <mergeCell ref="C156:D156"/>
    <mergeCell ref="C157:D157"/>
    <mergeCell ref="E172:E174"/>
    <mergeCell ref="C187:J187"/>
    <mergeCell ref="K187:L187"/>
    <mergeCell ref="K191:L191"/>
    <mergeCell ref="C192:J192"/>
    <mergeCell ref="C199:E199"/>
    <mergeCell ref="F199:I199"/>
    <mergeCell ref="C188:J188"/>
    <mergeCell ref="K188:L188"/>
    <mergeCell ref="C189:J189"/>
    <mergeCell ref="K189:L189"/>
    <mergeCell ref="C190:J190"/>
    <mergeCell ref="K190:L190"/>
    <mergeCell ref="K192:L192"/>
    <mergeCell ref="B177:M177"/>
    <mergeCell ref="C196:J196"/>
    <mergeCell ref="K196:L196"/>
    <mergeCell ref="J183:K183"/>
    <mergeCell ref="J184:K184"/>
    <mergeCell ref="J185:K185"/>
    <mergeCell ref="J186:K186"/>
    <mergeCell ref="C150:D150"/>
    <mergeCell ref="B118:M118"/>
    <mergeCell ref="B154:M154"/>
    <mergeCell ref="L38:M38"/>
    <mergeCell ref="K55:N55"/>
    <mergeCell ref="B56:M56"/>
    <mergeCell ref="G113:H113"/>
    <mergeCell ref="G114:H114"/>
    <mergeCell ref="N154:Q155"/>
    <mergeCell ref="N38:O38"/>
    <mergeCell ref="J39:K39"/>
    <mergeCell ref="L39:M39"/>
    <mergeCell ref="N39:O39"/>
    <mergeCell ref="J45:K45"/>
    <mergeCell ref="L45:M45"/>
    <mergeCell ref="G115:H115"/>
    <mergeCell ref="J38:K38"/>
    <mergeCell ref="C149:D149"/>
    <mergeCell ref="C1:J1"/>
    <mergeCell ref="A2:D2"/>
    <mergeCell ref="E2:G2"/>
    <mergeCell ref="A3:D3"/>
    <mergeCell ref="E3:G3"/>
    <mergeCell ref="A5:D5"/>
    <mergeCell ref="E5:G5"/>
    <mergeCell ref="I3:J3"/>
    <mergeCell ref="A10:D10"/>
    <mergeCell ref="A4:D4"/>
    <mergeCell ref="E4:G4"/>
    <mergeCell ref="A6:D6"/>
    <mergeCell ref="E6:G6"/>
    <mergeCell ref="A7:D7"/>
    <mergeCell ref="E7:G7"/>
    <mergeCell ref="A8:D8"/>
    <mergeCell ref="E8:G8"/>
    <mergeCell ref="I6:J6"/>
    <mergeCell ref="L3:M3"/>
    <mergeCell ref="C193:J193"/>
    <mergeCell ref="K193:L193"/>
    <mergeCell ref="C194:J194"/>
    <mergeCell ref="K194:L194"/>
    <mergeCell ref="C195:J195"/>
    <mergeCell ref="K195:L195"/>
    <mergeCell ref="I10:K12"/>
    <mergeCell ref="A9:D9"/>
    <mergeCell ref="E9:G9"/>
    <mergeCell ref="E12:G12"/>
    <mergeCell ref="A13:D13"/>
    <mergeCell ref="G13:I13"/>
    <mergeCell ref="B14:M14"/>
    <mergeCell ref="F17:G17"/>
    <mergeCell ref="F18:G18"/>
    <mergeCell ref="E10:G10"/>
    <mergeCell ref="A11:D11"/>
    <mergeCell ref="E11:G11"/>
    <mergeCell ref="A12:D12"/>
    <mergeCell ref="F19:G19"/>
    <mergeCell ref="B32:M32"/>
    <mergeCell ref="G116:H116"/>
    <mergeCell ref="M111:R111"/>
  </mergeCells>
  <conditionalFormatting sqref="D39:D42">
    <cfRule type="iconSet" priority="1">
      <iconSet>
        <cfvo type="percent" val="0"/>
        <cfvo type="percent" val="33"/>
        <cfvo type="percent" val="67"/>
      </iconSet>
    </cfRule>
  </conditionalFormatting>
  <conditionalFormatting sqref="D121:D123">
    <cfRule type="iconSet" priority="2">
      <iconSet>
        <cfvo type="percent" val="0"/>
        <cfvo type="percent" val="33"/>
        <cfvo type="percent" val="67"/>
      </iconSet>
    </cfRule>
  </conditionalFormatting>
  <conditionalFormatting sqref="D139:D140">
    <cfRule type="iconSet" priority="3">
      <iconSet>
        <cfvo type="percent" val="0"/>
        <cfvo type="percent" val="33"/>
        <cfvo type="percent" val="67"/>
      </iconSet>
    </cfRule>
  </conditionalFormatting>
  <pageMargins left="0.25" right="0" top="0.25" bottom="0.25" header="0" footer="0"/>
  <pageSetup paperSize="9" scale="60" fitToWidth="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0</xdr:col>
                    <xdr:colOff>38100</xdr:colOff>
                    <xdr:row>135</xdr:row>
                    <xdr:rowOff>47625</xdr:rowOff>
                  </from>
                  <to>
                    <xdr:col>1</xdr:col>
                    <xdr:colOff>76200</xdr:colOff>
                    <xdr:row>135</xdr:row>
                    <xdr:rowOff>276225</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0</xdr:col>
                    <xdr:colOff>38100</xdr:colOff>
                    <xdr:row>134</xdr:row>
                    <xdr:rowOff>47625</xdr:rowOff>
                  </from>
                  <to>
                    <xdr:col>1</xdr:col>
                    <xdr:colOff>76200</xdr:colOff>
                    <xdr:row>134</xdr:row>
                    <xdr:rowOff>276225</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0</xdr:col>
                    <xdr:colOff>38100</xdr:colOff>
                    <xdr:row>128</xdr:row>
                    <xdr:rowOff>47625</xdr:rowOff>
                  </from>
                  <to>
                    <xdr:col>1</xdr:col>
                    <xdr:colOff>76200</xdr:colOff>
                    <xdr:row>128</xdr:row>
                    <xdr:rowOff>276225</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0</xdr:col>
                    <xdr:colOff>38100</xdr:colOff>
                    <xdr:row>126</xdr:row>
                    <xdr:rowOff>47625</xdr:rowOff>
                  </from>
                  <to>
                    <xdr:col>1</xdr:col>
                    <xdr:colOff>76200</xdr:colOff>
                    <xdr:row>126</xdr:row>
                    <xdr:rowOff>276225</xdr:rowOff>
                  </to>
                </anchor>
              </controlPr>
            </control>
          </mc:Choice>
        </mc:AlternateContent>
        <mc:AlternateContent xmlns:mc="http://schemas.openxmlformats.org/markup-compatibility/2006">
          <mc:Choice Requires="x14">
            <control shapeId="40965" r:id="rId8" name="Check Box 5">
              <controlPr defaultSize="0" autoFill="0" autoLine="0" autoPict="0">
                <anchor moveWithCells="1">
                  <from>
                    <xdr:col>0</xdr:col>
                    <xdr:colOff>38100</xdr:colOff>
                    <xdr:row>125</xdr:row>
                    <xdr:rowOff>47625</xdr:rowOff>
                  </from>
                  <to>
                    <xdr:col>1</xdr:col>
                    <xdr:colOff>76200</xdr:colOff>
                    <xdr:row>125</xdr:row>
                    <xdr:rowOff>276225</xdr:rowOff>
                  </to>
                </anchor>
              </controlPr>
            </control>
          </mc:Choice>
        </mc:AlternateContent>
        <mc:AlternateContent xmlns:mc="http://schemas.openxmlformats.org/markup-compatibility/2006">
          <mc:Choice Requires="x14">
            <control shapeId="40966" r:id="rId9" name="Check Box 6">
              <controlPr defaultSize="0" autoFill="0" autoLine="0" autoPict="0">
                <anchor moveWithCells="1">
                  <from>
                    <xdr:col>0</xdr:col>
                    <xdr:colOff>38100</xdr:colOff>
                    <xdr:row>124</xdr:row>
                    <xdr:rowOff>47625</xdr:rowOff>
                  </from>
                  <to>
                    <xdr:col>1</xdr:col>
                    <xdr:colOff>76200</xdr:colOff>
                    <xdr:row>124</xdr:row>
                    <xdr:rowOff>276225</xdr:rowOff>
                  </to>
                </anchor>
              </controlPr>
            </control>
          </mc:Choice>
        </mc:AlternateContent>
        <mc:AlternateContent xmlns:mc="http://schemas.openxmlformats.org/markup-compatibility/2006">
          <mc:Choice Requires="x14">
            <control shapeId="40967" r:id="rId10" name="Check Box 7">
              <controlPr defaultSize="0" autoFill="0" autoLine="0" autoPict="0">
                <anchor moveWithCells="1">
                  <from>
                    <xdr:col>0</xdr:col>
                    <xdr:colOff>38100</xdr:colOff>
                    <xdr:row>120</xdr:row>
                    <xdr:rowOff>47625</xdr:rowOff>
                  </from>
                  <to>
                    <xdr:col>1</xdr:col>
                    <xdr:colOff>76200</xdr:colOff>
                    <xdr:row>120</xdr:row>
                    <xdr:rowOff>276225</xdr:rowOff>
                  </to>
                </anchor>
              </controlPr>
            </control>
          </mc:Choice>
        </mc:AlternateContent>
        <mc:AlternateContent xmlns:mc="http://schemas.openxmlformats.org/markup-compatibility/2006">
          <mc:Choice Requires="x14">
            <control shapeId="40968" r:id="rId11" name="Check Box 8">
              <controlPr defaultSize="0" autoFill="0" autoLine="0" autoPict="0">
                <anchor moveWithCells="1">
                  <from>
                    <xdr:col>0</xdr:col>
                    <xdr:colOff>38100</xdr:colOff>
                    <xdr:row>118</xdr:row>
                    <xdr:rowOff>47625</xdr:rowOff>
                  </from>
                  <to>
                    <xdr:col>1</xdr:col>
                    <xdr:colOff>76200</xdr:colOff>
                    <xdr:row>118</xdr:row>
                    <xdr:rowOff>276225</xdr:rowOff>
                  </to>
                </anchor>
              </controlPr>
            </control>
          </mc:Choice>
        </mc:AlternateContent>
        <mc:AlternateContent xmlns:mc="http://schemas.openxmlformats.org/markup-compatibility/2006">
          <mc:Choice Requires="x14">
            <control shapeId="40969" r:id="rId12" name="Check Box 9">
              <controlPr defaultSize="0" autoFill="0" autoLine="0" autoPict="0">
                <anchor moveWithCells="1">
                  <from>
                    <xdr:col>0</xdr:col>
                    <xdr:colOff>38100</xdr:colOff>
                    <xdr:row>129</xdr:row>
                    <xdr:rowOff>47625</xdr:rowOff>
                  </from>
                  <to>
                    <xdr:col>1</xdr:col>
                    <xdr:colOff>76200</xdr:colOff>
                    <xdr:row>129</xdr:row>
                    <xdr:rowOff>276225</xdr:rowOff>
                  </to>
                </anchor>
              </controlPr>
            </control>
          </mc:Choice>
        </mc:AlternateContent>
        <mc:AlternateContent xmlns:mc="http://schemas.openxmlformats.org/markup-compatibility/2006">
          <mc:Choice Requires="x14">
            <control shapeId="40970" r:id="rId13" name="Check Box 10">
              <controlPr defaultSize="0" autoFill="0" autoLine="0" autoPict="0">
                <anchor moveWithCells="1">
                  <from>
                    <xdr:col>0</xdr:col>
                    <xdr:colOff>38100</xdr:colOff>
                    <xdr:row>136</xdr:row>
                    <xdr:rowOff>0</xdr:rowOff>
                  </from>
                  <to>
                    <xdr:col>1</xdr:col>
                    <xdr:colOff>76200</xdr:colOff>
                    <xdr:row>136</xdr:row>
                    <xdr:rowOff>228600</xdr:rowOff>
                  </to>
                </anchor>
              </controlPr>
            </control>
          </mc:Choice>
        </mc:AlternateContent>
        <mc:AlternateContent xmlns:mc="http://schemas.openxmlformats.org/markup-compatibility/2006">
          <mc:Choice Requires="x14">
            <control shapeId="40971" r:id="rId14" name="Check Box 11">
              <controlPr defaultSize="0" autoFill="0" autoLine="0" autoPict="0">
                <anchor moveWithCells="1">
                  <from>
                    <xdr:col>0</xdr:col>
                    <xdr:colOff>38100</xdr:colOff>
                    <xdr:row>146</xdr:row>
                    <xdr:rowOff>47625</xdr:rowOff>
                  </from>
                  <to>
                    <xdr:col>1</xdr:col>
                    <xdr:colOff>76200</xdr:colOff>
                    <xdr:row>146</xdr:row>
                    <xdr:rowOff>276225</xdr:rowOff>
                  </to>
                </anchor>
              </controlPr>
            </control>
          </mc:Choice>
        </mc:AlternateContent>
        <mc:AlternateContent xmlns:mc="http://schemas.openxmlformats.org/markup-compatibility/2006">
          <mc:Choice Requires="x14">
            <control shapeId="40972" r:id="rId15" name="Check Box 12">
              <controlPr defaultSize="0" autoFill="0" autoLine="0" autoPict="0">
                <anchor moveWithCells="1">
                  <from>
                    <xdr:col>0</xdr:col>
                    <xdr:colOff>38100</xdr:colOff>
                    <xdr:row>158</xdr:row>
                    <xdr:rowOff>38100</xdr:rowOff>
                  </from>
                  <to>
                    <xdr:col>1</xdr:col>
                    <xdr:colOff>85725</xdr:colOff>
                    <xdr:row>158</xdr:row>
                    <xdr:rowOff>266700</xdr:rowOff>
                  </to>
                </anchor>
              </controlPr>
            </control>
          </mc:Choice>
        </mc:AlternateContent>
        <mc:AlternateContent xmlns:mc="http://schemas.openxmlformats.org/markup-compatibility/2006">
          <mc:Choice Requires="x14">
            <control shapeId="40973" r:id="rId16" name="Check Box 13">
              <controlPr defaultSize="0" autoFill="0" autoLine="0" autoPict="0">
                <anchor moveWithCells="1">
                  <from>
                    <xdr:col>0</xdr:col>
                    <xdr:colOff>38100</xdr:colOff>
                    <xdr:row>159</xdr:row>
                    <xdr:rowOff>47625</xdr:rowOff>
                  </from>
                  <to>
                    <xdr:col>1</xdr:col>
                    <xdr:colOff>76200</xdr:colOff>
                    <xdr:row>159</xdr:row>
                    <xdr:rowOff>276225</xdr:rowOff>
                  </to>
                </anchor>
              </controlPr>
            </control>
          </mc:Choice>
        </mc:AlternateContent>
        <mc:AlternateContent xmlns:mc="http://schemas.openxmlformats.org/markup-compatibility/2006">
          <mc:Choice Requires="x14">
            <control shapeId="40974" r:id="rId17" name="Check Box 14">
              <controlPr defaultSize="0" autoFill="0" autoLine="0" autoPict="0">
                <anchor moveWithCells="1">
                  <from>
                    <xdr:col>0</xdr:col>
                    <xdr:colOff>38100</xdr:colOff>
                    <xdr:row>170</xdr:row>
                    <xdr:rowOff>47625</xdr:rowOff>
                  </from>
                  <to>
                    <xdr:col>1</xdr:col>
                    <xdr:colOff>76200</xdr:colOff>
                    <xdr:row>170</xdr:row>
                    <xdr:rowOff>276225</xdr:rowOff>
                  </to>
                </anchor>
              </controlPr>
            </control>
          </mc:Choice>
        </mc:AlternateContent>
        <mc:AlternateContent xmlns:mc="http://schemas.openxmlformats.org/markup-compatibility/2006">
          <mc:Choice Requires="x14">
            <control shapeId="40975" r:id="rId18" name="Check Box 15">
              <controlPr defaultSize="0" autoFill="0" autoLine="0" autoPict="0">
                <anchor moveWithCells="1">
                  <from>
                    <xdr:col>0</xdr:col>
                    <xdr:colOff>38100</xdr:colOff>
                    <xdr:row>175</xdr:row>
                    <xdr:rowOff>47625</xdr:rowOff>
                  </from>
                  <to>
                    <xdr:col>1</xdr:col>
                    <xdr:colOff>76200</xdr:colOff>
                    <xdr:row>175</xdr:row>
                    <xdr:rowOff>276225</xdr:rowOff>
                  </to>
                </anchor>
              </controlPr>
            </control>
          </mc:Choice>
        </mc:AlternateContent>
        <mc:AlternateContent xmlns:mc="http://schemas.openxmlformats.org/markup-compatibility/2006">
          <mc:Choice Requires="x14">
            <control shapeId="40976" r:id="rId19" name="Check Box 16">
              <controlPr defaultSize="0" autoFill="0" autoLine="0" autoPict="0">
                <anchor moveWithCells="1">
                  <from>
                    <xdr:col>0</xdr:col>
                    <xdr:colOff>38100</xdr:colOff>
                    <xdr:row>175</xdr:row>
                    <xdr:rowOff>47625</xdr:rowOff>
                  </from>
                  <to>
                    <xdr:col>1</xdr:col>
                    <xdr:colOff>76200</xdr:colOff>
                    <xdr:row>175</xdr:row>
                    <xdr:rowOff>276225</xdr:rowOff>
                  </to>
                </anchor>
              </controlPr>
            </control>
          </mc:Choice>
        </mc:AlternateContent>
        <mc:AlternateContent xmlns:mc="http://schemas.openxmlformats.org/markup-compatibility/2006">
          <mc:Choice Requires="x14">
            <control shapeId="40977" r:id="rId20" name="Check Box 17">
              <controlPr defaultSize="0" autoFill="0" autoLine="0" autoPict="0">
                <anchor moveWithCells="1">
                  <from>
                    <xdr:col>0</xdr:col>
                    <xdr:colOff>38100</xdr:colOff>
                    <xdr:row>160</xdr:row>
                    <xdr:rowOff>47625</xdr:rowOff>
                  </from>
                  <to>
                    <xdr:col>1</xdr:col>
                    <xdr:colOff>76200</xdr:colOff>
                    <xdr:row>160</xdr:row>
                    <xdr:rowOff>304800</xdr:rowOff>
                  </to>
                </anchor>
              </controlPr>
            </control>
          </mc:Choice>
        </mc:AlternateContent>
        <mc:AlternateContent xmlns:mc="http://schemas.openxmlformats.org/markup-compatibility/2006">
          <mc:Choice Requires="x14">
            <control shapeId="40978" r:id="rId21" name="Check Box 18">
              <controlPr defaultSize="0" autoFill="0" autoLine="0" autoPict="0">
                <anchor moveWithCells="1">
                  <from>
                    <xdr:col>0</xdr:col>
                    <xdr:colOff>38100</xdr:colOff>
                    <xdr:row>127</xdr:row>
                    <xdr:rowOff>47625</xdr:rowOff>
                  </from>
                  <to>
                    <xdr:col>1</xdr:col>
                    <xdr:colOff>76200</xdr:colOff>
                    <xdr:row>127</xdr:row>
                    <xdr:rowOff>276225</xdr:rowOff>
                  </to>
                </anchor>
              </controlPr>
            </control>
          </mc:Choice>
        </mc:AlternateContent>
        <mc:AlternateContent xmlns:mc="http://schemas.openxmlformats.org/markup-compatibility/2006">
          <mc:Choice Requires="x14">
            <control shapeId="40979" r:id="rId22" name="Check Box 19">
              <controlPr defaultSize="0" autoFill="0" autoLine="0" autoPict="0">
                <anchor moveWithCells="1">
                  <from>
                    <xdr:col>0</xdr:col>
                    <xdr:colOff>38100</xdr:colOff>
                    <xdr:row>177</xdr:row>
                    <xdr:rowOff>0</xdr:rowOff>
                  </from>
                  <to>
                    <xdr:col>1</xdr:col>
                    <xdr:colOff>76200</xdr:colOff>
                    <xdr:row>178</xdr:row>
                    <xdr:rowOff>66675</xdr:rowOff>
                  </to>
                </anchor>
              </controlPr>
            </control>
          </mc:Choice>
        </mc:AlternateContent>
        <mc:AlternateContent xmlns:mc="http://schemas.openxmlformats.org/markup-compatibility/2006">
          <mc:Choice Requires="x14">
            <control shapeId="40980" r:id="rId23" name="Check Box 20">
              <controlPr defaultSize="0" autoFill="0" autoLine="0" autoPict="0">
                <anchor moveWithCells="1">
                  <from>
                    <xdr:col>0</xdr:col>
                    <xdr:colOff>38100</xdr:colOff>
                    <xdr:row>179</xdr:row>
                    <xdr:rowOff>304800</xdr:rowOff>
                  </from>
                  <to>
                    <xdr:col>1</xdr:col>
                    <xdr:colOff>76200</xdr:colOff>
                    <xdr:row>181</xdr:row>
                    <xdr:rowOff>38100</xdr:rowOff>
                  </to>
                </anchor>
              </controlPr>
            </control>
          </mc:Choice>
        </mc:AlternateContent>
        <mc:AlternateContent xmlns:mc="http://schemas.openxmlformats.org/markup-compatibility/2006">
          <mc:Choice Requires="x14">
            <control shapeId="40981" r:id="rId24" name="Check Box 21">
              <controlPr defaultSize="0" autoFill="0" autoLine="0" autoPict="0">
                <anchor moveWithCells="1">
                  <from>
                    <xdr:col>0</xdr:col>
                    <xdr:colOff>38100</xdr:colOff>
                    <xdr:row>132</xdr:row>
                    <xdr:rowOff>47625</xdr:rowOff>
                  </from>
                  <to>
                    <xdr:col>1</xdr:col>
                    <xdr:colOff>76200</xdr:colOff>
                    <xdr:row>132</xdr:row>
                    <xdr:rowOff>276225</xdr:rowOff>
                  </to>
                </anchor>
              </controlPr>
            </control>
          </mc:Choice>
        </mc:AlternateContent>
        <mc:AlternateContent xmlns:mc="http://schemas.openxmlformats.org/markup-compatibility/2006">
          <mc:Choice Requires="x14">
            <control shapeId="40982" r:id="rId25" name="Check Box 22">
              <controlPr defaultSize="0" autoFill="0" autoLine="0" autoPict="0">
                <anchor moveWithCells="1">
                  <from>
                    <xdr:col>0</xdr:col>
                    <xdr:colOff>38100</xdr:colOff>
                    <xdr:row>138</xdr:row>
                    <xdr:rowOff>47625</xdr:rowOff>
                  </from>
                  <to>
                    <xdr:col>1</xdr:col>
                    <xdr:colOff>76200</xdr:colOff>
                    <xdr:row>138</xdr:row>
                    <xdr:rowOff>276225</xdr:rowOff>
                  </to>
                </anchor>
              </controlPr>
            </control>
          </mc:Choice>
        </mc:AlternateContent>
        <mc:AlternateContent xmlns:mc="http://schemas.openxmlformats.org/markup-compatibility/2006">
          <mc:Choice Requires="x14">
            <control shapeId="40983" r:id="rId26" name="Check Box 23">
              <controlPr defaultSize="0" autoFill="0" autoLine="0" autoPict="0">
                <anchor moveWithCells="1">
                  <from>
                    <xdr:col>0</xdr:col>
                    <xdr:colOff>38100</xdr:colOff>
                    <xdr:row>141</xdr:row>
                    <xdr:rowOff>47625</xdr:rowOff>
                  </from>
                  <to>
                    <xdr:col>1</xdr:col>
                    <xdr:colOff>76200</xdr:colOff>
                    <xdr:row>141</xdr:row>
                    <xdr:rowOff>276225</xdr:rowOff>
                  </to>
                </anchor>
              </controlPr>
            </control>
          </mc:Choice>
        </mc:AlternateContent>
        <mc:AlternateContent xmlns:mc="http://schemas.openxmlformats.org/markup-compatibility/2006">
          <mc:Choice Requires="x14">
            <control shapeId="40984" r:id="rId27" name="Check Box 24">
              <controlPr defaultSize="0" autoFill="0" autoLine="0" autoPict="0">
                <anchor moveWithCells="1">
                  <from>
                    <xdr:col>0</xdr:col>
                    <xdr:colOff>38100</xdr:colOff>
                    <xdr:row>151</xdr:row>
                    <xdr:rowOff>47625</xdr:rowOff>
                  </from>
                  <to>
                    <xdr:col>1</xdr:col>
                    <xdr:colOff>76200</xdr:colOff>
                    <xdr:row>151</xdr:row>
                    <xdr:rowOff>276225</xdr:rowOff>
                  </to>
                </anchor>
              </controlPr>
            </control>
          </mc:Choice>
        </mc:AlternateContent>
        <mc:AlternateContent xmlns:mc="http://schemas.openxmlformats.org/markup-compatibility/2006">
          <mc:Choice Requires="x14">
            <control shapeId="40985" r:id="rId28" name="Check Box 25">
              <controlPr defaultSize="0" autoFill="0" autoLine="0" autoPict="0">
                <anchor moveWithCells="1">
                  <from>
                    <xdr:col>0</xdr:col>
                    <xdr:colOff>38100</xdr:colOff>
                    <xdr:row>111</xdr:row>
                    <xdr:rowOff>47625</xdr:rowOff>
                  </from>
                  <to>
                    <xdr:col>1</xdr:col>
                    <xdr:colOff>76200</xdr:colOff>
                    <xdr:row>111</xdr:row>
                    <xdr:rowOff>276225</xdr:rowOff>
                  </to>
                </anchor>
              </controlPr>
            </control>
          </mc:Choice>
        </mc:AlternateContent>
        <mc:AlternateContent xmlns:mc="http://schemas.openxmlformats.org/markup-compatibility/2006">
          <mc:Choice Requires="x14">
            <control shapeId="40986" r:id="rId29" name="Check Box 26">
              <controlPr defaultSize="0" autoFill="0" autoLine="0" autoPict="0">
                <anchor moveWithCells="1">
                  <from>
                    <xdr:col>0</xdr:col>
                    <xdr:colOff>38100</xdr:colOff>
                    <xdr:row>110</xdr:row>
                    <xdr:rowOff>47625</xdr:rowOff>
                  </from>
                  <to>
                    <xdr:col>1</xdr:col>
                    <xdr:colOff>76200</xdr:colOff>
                    <xdr:row>110</xdr:row>
                    <xdr:rowOff>276225</xdr:rowOff>
                  </to>
                </anchor>
              </controlPr>
            </control>
          </mc:Choice>
        </mc:AlternateContent>
        <mc:AlternateContent xmlns:mc="http://schemas.openxmlformats.org/markup-compatibility/2006">
          <mc:Choice Requires="x14">
            <control shapeId="40987" r:id="rId30" name="Check Box 27">
              <controlPr defaultSize="0" autoFill="0" autoLine="0" autoPict="0">
                <anchor moveWithCells="1">
                  <from>
                    <xdr:col>0</xdr:col>
                    <xdr:colOff>38100</xdr:colOff>
                    <xdr:row>109</xdr:row>
                    <xdr:rowOff>47625</xdr:rowOff>
                  </from>
                  <to>
                    <xdr:col>1</xdr:col>
                    <xdr:colOff>76200</xdr:colOff>
                    <xdr:row>109</xdr:row>
                    <xdr:rowOff>276225</xdr:rowOff>
                  </to>
                </anchor>
              </controlPr>
            </control>
          </mc:Choice>
        </mc:AlternateContent>
        <mc:AlternateContent xmlns:mc="http://schemas.openxmlformats.org/markup-compatibility/2006">
          <mc:Choice Requires="x14">
            <control shapeId="40988" r:id="rId31" name="Check Box 28">
              <controlPr defaultSize="0" autoFill="0" autoLine="0" autoPict="0">
                <anchor moveWithCells="1">
                  <from>
                    <xdr:col>0</xdr:col>
                    <xdr:colOff>38100</xdr:colOff>
                    <xdr:row>108</xdr:row>
                    <xdr:rowOff>47625</xdr:rowOff>
                  </from>
                  <to>
                    <xdr:col>1</xdr:col>
                    <xdr:colOff>76200</xdr:colOff>
                    <xdr:row>108</xdr:row>
                    <xdr:rowOff>276225</xdr:rowOff>
                  </to>
                </anchor>
              </controlPr>
            </control>
          </mc:Choice>
        </mc:AlternateContent>
        <mc:AlternateContent xmlns:mc="http://schemas.openxmlformats.org/markup-compatibility/2006">
          <mc:Choice Requires="x14">
            <control shapeId="40989" r:id="rId32" name="Check Box 29">
              <controlPr defaultSize="0" autoFill="0" autoLine="0" autoPict="0">
                <anchor moveWithCells="1">
                  <from>
                    <xdr:col>0</xdr:col>
                    <xdr:colOff>38100</xdr:colOff>
                    <xdr:row>103</xdr:row>
                    <xdr:rowOff>47625</xdr:rowOff>
                  </from>
                  <to>
                    <xdr:col>1</xdr:col>
                    <xdr:colOff>76200</xdr:colOff>
                    <xdr:row>103</xdr:row>
                    <xdr:rowOff>276225</xdr:rowOff>
                  </to>
                </anchor>
              </controlPr>
            </control>
          </mc:Choice>
        </mc:AlternateContent>
        <mc:AlternateContent xmlns:mc="http://schemas.openxmlformats.org/markup-compatibility/2006">
          <mc:Choice Requires="x14">
            <control shapeId="40990" r:id="rId33" name="Check Box 30">
              <controlPr defaultSize="0" autoFill="0" autoLine="0" autoPict="0">
                <anchor moveWithCells="1">
                  <from>
                    <xdr:col>0</xdr:col>
                    <xdr:colOff>38100</xdr:colOff>
                    <xdr:row>102</xdr:row>
                    <xdr:rowOff>47625</xdr:rowOff>
                  </from>
                  <to>
                    <xdr:col>1</xdr:col>
                    <xdr:colOff>76200</xdr:colOff>
                    <xdr:row>102</xdr:row>
                    <xdr:rowOff>276225</xdr:rowOff>
                  </to>
                </anchor>
              </controlPr>
            </control>
          </mc:Choice>
        </mc:AlternateContent>
        <mc:AlternateContent xmlns:mc="http://schemas.openxmlformats.org/markup-compatibility/2006">
          <mc:Choice Requires="x14">
            <control shapeId="40991" r:id="rId34" name="Check Box 31">
              <controlPr defaultSize="0" autoFill="0" autoLine="0" autoPict="0">
                <anchor moveWithCells="1">
                  <from>
                    <xdr:col>0</xdr:col>
                    <xdr:colOff>38100</xdr:colOff>
                    <xdr:row>101</xdr:row>
                    <xdr:rowOff>47625</xdr:rowOff>
                  </from>
                  <to>
                    <xdr:col>1</xdr:col>
                    <xdr:colOff>76200</xdr:colOff>
                    <xdr:row>101</xdr:row>
                    <xdr:rowOff>276225</xdr:rowOff>
                  </to>
                </anchor>
              </controlPr>
            </control>
          </mc:Choice>
        </mc:AlternateContent>
        <mc:AlternateContent xmlns:mc="http://schemas.openxmlformats.org/markup-compatibility/2006">
          <mc:Choice Requires="x14">
            <control shapeId="40992" r:id="rId35" name="Check Box 32">
              <controlPr defaultSize="0" autoFill="0" autoLine="0" autoPict="0">
                <anchor moveWithCells="1">
                  <from>
                    <xdr:col>0</xdr:col>
                    <xdr:colOff>38100</xdr:colOff>
                    <xdr:row>100</xdr:row>
                    <xdr:rowOff>47625</xdr:rowOff>
                  </from>
                  <to>
                    <xdr:col>1</xdr:col>
                    <xdr:colOff>76200</xdr:colOff>
                    <xdr:row>100</xdr:row>
                    <xdr:rowOff>276225</xdr:rowOff>
                  </to>
                </anchor>
              </controlPr>
            </control>
          </mc:Choice>
        </mc:AlternateContent>
        <mc:AlternateContent xmlns:mc="http://schemas.openxmlformats.org/markup-compatibility/2006">
          <mc:Choice Requires="x14">
            <control shapeId="40997" r:id="rId36" name="Check Box 37">
              <controlPr defaultSize="0" autoFill="0" autoLine="0" autoPict="0">
                <anchor moveWithCells="1">
                  <from>
                    <xdr:col>0</xdr:col>
                    <xdr:colOff>38100</xdr:colOff>
                    <xdr:row>43</xdr:row>
                    <xdr:rowOff>47625</xdr:rowOff>
                  </from>
                  <to>
                    <xdr:col>1</xdr:col>
                    <xdr:colOff>76200</xdr:colOff>
                    <xdr:row>43</xdr:row>
                    <xdr:rowOff>276225</xdr:rowOff>
                  </to>
                </anchor>
              </controlPr>
            </control>
          </mc:Choice>
        </mc:AlternateContent>
        <mc:AlternateContent xmlns:mc="http://schemas.openxmlformats.org/markup-compatibility/2006">
          <mc:Choice Requires="x14">
            <control shapeId="40998" r:id="rId37" name="Check Box 38">
              <controlPr defaultSize="0" autoFill="0" autoLine="0" autoPict="0">
                <anchor moveWithCells="1">
                  <from>
                    <xdr:col>0</xdr:col>
                    <xdr:colOff>38100</xdr:colOff>
                    <xdr:row>21</xdr:row>
                    <xdr:rowOff>47625</xdr:rowOff>
                  </from>
                  <to>
                    <xdr:col>1</xdr:col>
                    <xdr:colOff>76200</xdr:colOff>
                    <xdr:row>21</xdr:row>
                    <xdr:rowOff>276225</xdr:rowOff>
                  </to>
                </anchor>
              </controlPr>
            </control>
          </mc:Choice>
        </mc:AlternateContent>
        <mc:AlternateContent xmlns:mc="http://schemas.openxmlformats.org/markup-compatibility/2006">
          <mc:Choice Requires="x14">
            <control shapeId="40999" r:id="rId38" name="Check Box 39">
              <controlPr defaultSize="0" autoFill="0" autoLine="0" autoPict="0">
                <anchor moveWithCells="1">
                  <from>
                    <xdr:col>0</xdr:col>
                    <xdr:colOff>38100</xdr:colOff>
                    <xdr:row>20</xdr:row>
                    <xdr:rowOff>47625</xdr:rowOff>
                  </from>
                  <to>
                    <xdr:col>1</xdr:col>
                    <xdr:colOff>76200</xdr:colOff>
                    <xdr:row>21</xdr:row>
                    <xdr:rowOff>9525</xdr:rowOff>
                  </to>
                </anchor>
              </controlPr>
            </control>
          </mc:Choice>
        </mc:AlternateContent>
        <mc:AlternateContent xmlns:mc="http://schemas.openxmlformats.org/markup-compatibility/2006">
          <mc:Choice Requires="x14">
            <control shapeId="41000" r:id="rId39" name="Check Box 40">
              <controlPr defaultSize="0" autoFill="0" autoLine="0" autoPict="0">
                <anchor moveWithCells="1">
                  <from>
                    <xdr:col>0</xdr:col>
                    <xdr:colOff>38100</xdr:colOff>
                    <xdr:row>19</xdr:row>
                    <xdr:rowOff>47625</xdr:rowOff>
                  </from>
                  <to>
                    <xdr:col>1</xdr:col>
                    <xdr:colOff>76200</xdr:colOff>
                    <xdr:row>20</xdr:row>
                    <xdr:rowOff>0</xdr:rowOff>
                  </to>
                </anchor>
              </controlPr>
            </control>
          </mc:Choice>
        </mc:AlternateContent>
        <mc:AlternateContent xmlns:mc="http://schemas.openxmlformats.org/markup-compatibility/2006">
          <mc:Choice Requires="x14">
            <control shapeId="41001" r:id="rId40" name="Check Box 41">
              <controlPr defaultSize="0" autoFill="0" autoLine="0" autoPict="0">
                <anchor moveWithCells="1">
                  <from>
                    <xdr:col>0</xdr:col>
                    <xdr:colOff>38100</xdr:colOff>
                    <xdr:row>15</xdr:row>
                    <xdr:rowOff>47625</xdr:rowOff>
                  </from>
                  <to>
                    <xdr:col>1</xdr:col>
                    <xdr:colOff>76200</xdr:colOff>
                    <xdr:row>16</xdr:row>
                    <xdr:rowOff>9525</xdr:rowOff>
                  </to>
                </anchor>
              </controlPr>
            </control>
          </mc:Choice>
        </mc:AlternateContent>
        <mc:AlternateContent xmlns:mc="http://schemas.openxmlformats.org/markup-compatibility/2006">
          <mc:Choice Requires="x14">
            <control shapeId="41002" r:id="rId41" name="Check Box 42">
              <controlPr defaultSize="0" autoFill="0" autoLine="0" autoPict="0">
                <anchor moveWithCells="1">
                  <from>
                    <xdr:col>0</xdr:col>
                    <xdr:colOff>38100</xdr:colOff>
                    <xdr:row>14</xdr:row>
                    <xdr:rowOff>47625</xdr:rowOff>
                  </from>
                  <to>
                    <xdr:col>1</xdr:col>
                    <xdr:colOff>76200</xdr:colOff>
                    <xdr:row>14</xdr:row>
                    <xdr:rowOff>276225</xdr:rowOff>
                  </to>
                </anchor>
              </controlPr>
            </control>
          </mc:Choice>
        </mc:AlternateContent>
        <mc:AlternateContent xmlns:mc="http://schemas.openxmlformats.org/markup-compatibility/2006">
          <mc:Choice Requires="x14">
            <control shapeId="41003" r:id="rId42" name="Check Box 43">
              <controlPr defaultSize="0" autoFill="0" autoLine="0" autoPict="0">
                <anchor moveWithCells="1">
                  <from>
                    <xdr:col>0</xdr:col>
                    <xdr:colOff>38100</xdr:colOff>
                    <xdr:row>154</xdr:row>
                    <xdr:rowOff>47625</xdr:rowOff>
                  </from>
                  <to>
                    <xdr:col>1</xdr:col>
                    <xdr:colOff>76200</xdr:colOff>
                    <xdr:row>154</xdr:row>
                    <xdr:rowOff>276225</xdr:rowOff>
                  </to>
                </anchor>
              </controlPr>
            </control>
          </mc:Choice>
        </mc:AlternateContent>
        <mc:AlternateContent xmlns:mc="http://schemas.openxmlformats.org/markup-compatibility/2006">
          <mc:Choice Requires="x14">
            <control shapeId="41004" r:id="rId43" name="Check Box 44">
              <controlPr defaultSize="0" autoFill="0" autoLine="0" autoPict="0">
                <anchor moveWithCells="1">
                  <from>
                    <xdr:col>0</xdr:col>
                    <xdr:colOff>38100</xdr:colOff>
                    <xdr:row>152</xdr:row>
                    <xdr:rowOff>28575</xdr:rowOff>
                  </from>
                  <to>
                    <xdr:col>1</xdr:col>
                    <xdr:colOff>76200</xdr:colOff>
                    <xdr:row>152</xdr:row>
                    <xdr:rowOff>257175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53E8-C6A1-4686-99AA-0AB0AAF7E9AB}">
  <sheetPr codeName="Sheet7">
    <pageSetUpPr fitToPage="1"/>
  </sheetPr>
  <dimension ref="A1:AK223"/>
  <sheetViews>
    <sheetView zoomScale="80" zoomScaleNormal="80" workbookViewId="0">
      <selection activeCell="Q17" sqref="Q17"/>
    </sheetView>
  </sheetViews>
  <sheetFormatPr defaultColWidth="8.85546875" defaultRowHeight="26.1" customHeight="1"/>
  <cols>
    <col min="1" max="1" width="4.5703125" style="141" customWidth="1"/>
    <col min="2" max="2" width="7" style="141" customWidth="1"/>
    <col min="3" max="3" width="5.28515625" style="141" customWidth="1"/>
    <col min="4" max="4" width="12.42578125" style="141" customWidth="1"/>
    <col min="5" max="5" width="11.85546875" style="141" customWidth="1"/>
    <col min="6" max="6" width="12.85546875" style="141" customWidth="1"/>
    <col min="7" max="7" width="5.7109375" style="141" customWidth="1"/>
    <col min="8" max="8" width="9.7109375" style="141" customWidth="1"/>
    <col min="9" max="9" width="12.5703125" style="141" customWidth="1"/>
    <col min="10" max="10" width="6.85546875" style="141" customWidth="1"/>
    <col min="11" max="11" width="11.140625" style="141" customWidth="1"/>
    <col min="12" max="12" width="7.5703125" style="141" customWidth="1"/>
    <col min="13" max="13" width="5.85546875" style="141" customWidth="1"/>
    <col min="14" max="14" width="8.7109375" style="141" customWidth="1"/>
    <col min="15" max="15" width="8.85546875" style="141"/>
    <col min="16" max="16" width="8.140625" style="141" customWidth="1"/>
    <col min="17" max="17" width="5.7109375" style="141" customWidth="1"/>
    <col min="18" max="18" width="5.85546875" style="141" customWidth="1"/>
    <col min="19" max="19" width="5.42578125" style="141" customWidth="1"/>
    <col min="20" max="20" width="6.42578125" style="141" customWidth="1"/>
    <col min="21" max="21" width="5.85546875" style="141" customWidth="1"/>
    <col min="22" max="22" width="5.5703125" style="141" customWidth="1"/>
    <col min="23" max="23" width="6.140625" style="141" customWidth="1"/>
    <col min="24" max="25" width="5.85546875" style="141" customWidth="1"/>
    <col min="26" max="26" width="6.42578125" style="141" customWidth="1"/>
    <col min="27" max="27" width="6.5703125" style="141" customWidth="1"/>
    <col min="28" max="28" width="6.140625" style="141" customWidth="1"/>
    <col min="29" max="29" width="5.85546875" style="141" customWidth="1"/>
    <col min="30" max="31" width="8.85546875" style="141"/>
    <col min="32" max="32" width="9.42578125" style="141" customWidth="1"/>
    <col min="33" max="16384" width="8.85546875" style="141"/>
  </cols>
  <sheetData>
    <row r="1" spans="1:37" ht="26.1" customHeight="1">
      <c r="B1" s="90"/>
      <c r="C1" s="310" t="s">
        <v>346</v>
      </c>
      <c r="D1" s="310"/>
      <c r="E1" s="310"/>
      <c r="F1" s="310"/>
      <c r="G1" s="310"/>
      <c r="H1" s="310"/>
      <c r="I1" s="310"/>
      <c r="J1" s="310"/>
      <c r="Q1" s="90"/>
    </row>
    <row r="2" spans="1:37" ht="26.1" customHeight="1">
      <c r="A2" s="286" t="s">
        <v>60</v>
      </c>
      <c r="B2" s="286"/>
      <c r="C2" s="286"/>
      <c r="D2" s="286"/>
      <c r="E2" s="287"/>
      <c r="F2" s="287"/>
      <c r="G2" s="287"/>
      <c r="K2" s="146" t="s">
        <v>61</v>
      </c>
      <c r="L2" s="91" t="s">
        <v>206</v>
      </c>
    </row>
    <row r="3" spans="1:37" ht="26.1" customHeight="1" thickBot="1">
      <c r="A3" s="311" t="s">
        <v>62</v>
      </c>
      <c r="B3" s="312"/>
      <c r="C3" s="312"/>
      <c r="D3" s="313"/>
      <c r="E3" s="314"/>
      <c r="F3" s="315"/>
      <c r="G3" s="316"/>
      <c r="J3" s="318" t="s">
        <v>63</v>
      </c>
      <c r="K3" s="319"/>
      <c r="L3" s="193"/>
      <c r="M3" s="282" t="s">
        <v>64</v>
      </c>
      <c r="N3" s="282"/>
      <c r="O3" s="425" t="s">
        <v>257</v>
      </c>
      <c r="P3" s="426"/>
    </row>
    <row r="4" spans="1:37" ht="26.1" customHeight="1" thickBot="1">
      <c r="A4" s="286" t="s">
        <v>258</v>
      </c>
      <c r="B4" s="286"/>
      <c r="C4" s="286"/>
      <c r="D4" s="286"/>
      <c r="E4" s="314"/>
      <c r="F4" s="315"/>
      <c r="G4" s="316"/>
      <c r="J4" s="194"/>
      <c r="K4" s="195" t="s">
        <v>347</v>
      </c>
      <c r="L4" s="195" t="s">
        <v>260</v>
      </c>
      <c r="M4" s="303" t="s">
        <v>349</v>
      </c>
      <c r="N4" s="282"/>
      <c r="O4" s="425"/>
      <c r="P4" s="426"/>
    </row>
    <row r="5" spans="1:37" ht="24.75" customHeight="1" thickBot="1">
      <c r="A5" s="286" t="s">
        <v>259</v>
      </c>
      <c r="B5" s="286"/>
      <c r="C5" s="286"/>
      <c r="D5" s="286"/>
      <c r="E5" s="287"/>
      <c r="F5" s="287"/>
      <c r="G5" s="287"/>
      <c r="J5" s="194"/>
      <c r="K5" s="195" t="s">
        <v>348</v>
      </c>
      <c r="L5" s="195" t="s">
        <v>260</v>
      </c>
      <c r="M5" s="303" t="s">
        <v>349</v>
      </c>
      <c r="N5" s="282"/>
    </row>
    <row r="6" spans="1:37" ht="23.45" customHeight="1" thickBot="1">
      <c r="A6" s="286" t="s">
        <v>208</v>
      </c>
      <c r="B6" s="286"/>
      <c r="C6" s="286"/>
      <c r="D6" s="286"/>
      <c r="E6" s="287"/>
      <c r="F6" s="287"/>
      <c r="G6" s="287"/>
      <c r="J6" s="194"/>
      <c r="K6" s="195" t="s">
        <v>350</v>
      </c>
      <c r="L6" s="195" t="s">
        <v>260</v>
      </c>
      <c r="M6" s="303" t="s">
        <v>206</v>
      </c>
      <c r="N6" s="282"/>
      <c r="AK6" s="147"/>
    </row>
    <row r="7" spans="1:37" ht="33.75" customHeight="1">
      <c r="A7" s="286" t="s">
        <v>261</v>
      </c>
      <c r="B7" s="286"/>
      <c r="C7" s="286"/>
      <c r="D7" s="286"/>
      <c r="E7" s="287"/>
      <c r="F7" s="287"/>
      <c r="G7" s="287"/>
      <c r="AK7" s="147"/>
    </row>
    <row r="8" spans="1:37" ht="28.5" customHeight="1">
      <c r="A8" s="286" t="s">
        <v>262</v>
      </c>
      <c r="B8" s="286"/>
      <c r="C8" s="286"/>
      <c r="D8" s="286"/>
      <c r="E8" s="287"/>
      <c r="F8" s="287"/>
      <c r="G8" s="287"/>
      <c r="J8" s="387"/>
      <c r="K8" s="387"/>
      <c r="L8" s="387"/>
      <c r="M8" s="387"/>
      <c r="N8" s="387"/>
      <c r="O8"/>
      <c r="AK8" s="147"/>
    </row>
    <row r="9" spans="1:37" ht="33.75" customHeight="1">
      <c r="A9" s="286" t="s">
        <v>65</v>
      </c>
      <c r="B9" s="286"/>
      <c r="C9" s="286"/>
      <c r="D9" s="286"/>
      <c r="E9" s="301"/>
      <c r="F9" s="301"/>
      <c r="G9" s="301"/>
      <c r="I9"/>
      <c r="J9" s="387"/>
      <c r="K9" s="387"/>
      <c r="L9" s="387"/>
      <c r="M9" s="387"/>
      <c r="N9" s="387"/>
      <c r="O9"/>
    </row>
    <row r="10" spans="1:37" ht="26.1" customHeight="1">
      <c r="A10" s="286" t="s">
        <v>66</v>
      </c>
      <c r="B10" s="286"/>
      <c r="C10" s="286"/>
      <c r="D10" s="286"/>
      <c r="E10" s="287"/>
      <c r="F10" s="287"/>
      <c r="G10" s="287"/>
      <c r="I10"/>
      <c r="J10" s="387"/>
      <c r="K10" s="387"/>
      <c r="L10" s="387"/>
      <c r="M10" s="387"/>
      <c r="N10" s="387"/>
      <c r="O10"/>
      <c r="P10"/>
      <c r="Q10"/>
      <c r="R10"/>
    </row>
    <row r="11" spans="1:37" ht="34.5" customHeight="1">
      <c r="A11" s="286" t="s">
        <v>67</v>
      </c>
      <c r="B11" s="286"/>
      <c r="C11" s="286"/>
      <c r="D11" s="286"/>
      <c r="E11" s="288"/>
      <c r="F11" s="289"/>
      <c r="G11" s="431"/>
      <c r="J11" s="387"/>
      <c r="K11" s="387"/>
      <c r="L11" s="387"/>
      <c r="M11" s="387"/>
      <c r="N11" s="387"/>
    </row>
    <row r="12" spans="1:37" ht="20.45" customHeight="1" thickBot="1">
      <c r="A12" s="286" t="s">
        <v>167</v>
      </c>
      <c r="B12" s="286"/>
      <c r="C12" s="286"/>
      <c r="D12" s="286"/>
      <c r="E12" s="148"/>
      <c r="F12"/>
      <c r="G12"/>
      <c r="H12"/>
      <c r="I12"/>
    </row>
    <row r="13" spans="1:37" ht="26.1" customHeight="1" thickBot="1">
      <c r="A13" s="149"/>
      <c r="B13" s="293" t="s">
        <v>68</v>
      </c>
      <c r="C13" s="294"/>
      <c r="D13" s="294"/>
      <c r="E13" s="294"/>
      <c r="F13" s="294"/>
      <c r="G13" s="294"/>
      <c r="H13" s="294"/>
      <c r="I13" s="294"/>
      <c r="J13" s="294"/>
      <c r="K13" s="294"/>
      <c r="L13" s="294"/>
      <c r="M13" s="296"/>
      <c r="O13" s="92"/>
    </row>
    <row r="14" spans="1:37" ht="26.1" customHeight="1" thickBot="1">
      <c r="A14" s="150"/>
      <c r="B14" s="151" t="s">
        <v>69</v>
      </c>
      <c r="C14" s="151"/>
      <c r="D14" s="151"/>
      <c r="E14" s="151"/>
      <c r="O14" s="92"/>
    </row>
    <row r="15" spans="1:37" ht="26.1" customHeight="1" thickBot="1">
      <c r="A15" s="150"/>
      <c r="B15" s="151" t="s">
        <v>70</v>
      </c>
      <c r="C15" s="151"/>
      <c r="D15" s="151"/>
      <c r="E15" s="151"/>
      <c r="O15" s="92"/>
    </row>
    <row r="16" spans="1:37" ht="33.6" customHeight="1" thickBot="1">
      <c r="A16"/>
      <c r="B16" s="151"/>
      <c r="C16" s="151"/>
      <c r="E16" s="203" t="s">
        <v>71</v>
      </c>
      <c r="F16" s="196" t="str">
        <f>CONCATENATE(" Volume for ",$E$12," samples")</f>
        <v xml:space="preserve"> Volume for  samples</v>
      </c>
      <c r="O16" s="92"/>
    </row>
    <row r="17" spans="1:18" ht="26.1" customHeight="1" thickBot="1">
      <c r="A17" s="150"/>
      <c r="B17" s="151" t="s">
        <v>72</v>
      </c>
      <c r="C17" s="197"/>
      <c r="D17" s="93" t="s">
        <v>324</v>
      </c>
      <c r="E17" s="155">
        <v>16.3</v>
      </c>
      <c r="F17" s="156">
        <f>E17*$E$12*1.1</f>
        <v>0</v>
      </c>
      <c r="G17" s="143" t="s">
        <v>73</v>
      </c>
      <c r="O17" s="92"/>
      <c r="Q17" s="151"/>
    </row>
    <row r="18" spans="1:18" ht="26.1" customHeight="1">
      <c r="A18" s="149"/>
      <c r="B18" s="151"/>
      <c r="C18" s="197"/>
      <c r="D18" s="93" t="s">
        <v>351</v>
      </c>
      <c r="E18" s="159">
        <v>2.2000000000000002</v>
      </c>
      <c r="F18" s="156">
        <f>E18*$E$12*1.1</f>
        <v>0</v>
      </c>
      <c r="G18" s="143" t="s">
        <v>73</v>
      </c>
      <c r="O18" s="92"/>
      <c r="Q18" s="151"/>
    </row>
    <row r="19" spans="1:18" ht="28.5" customHeight="1">
      <c r="A19" s="149"/>
      <c r="B19" s="151"/>
      <c r="C19" s="197"/>
      <c r="D19" s="93" t="s">
        <v>74</v>
      </c>
      <c r="E19" s="159">
        <v>2</v>
      </c>
      <c r="F19" s="156">
        <f>E19*$E$12*1.1</f>
        <v>0</v>
      </c>
      <c r="G19" s="143" t="s">
        <v>73</v>
      </c>
      <c r="O19" s="92"/>
      <c r="Q19" s="151"/>
    </row>
    <row r="20" spans="1:18" ht="23.1" customHeight="1" thickBot="1">
      <c r="A20" s="149"/>
      <c r="B20" s="151"/>
      <c r="C20" s="161"/>
      <c r="D20" s="198" t="s">
        <v>326</v>
      </c>
      <c r="E20" s="163">
        <v>7</v>
      </c>
      <c r="F20" s="163">
        <f>E20*$E$12*1.1</f>
        <v>0</v>
      </c>
      <c r="G20" s="164" t="s">
        <v>73</v>
      </c>
      <c r="O20" s="92"/>
    </row>
    <row r="21" spans="1:18" ht="15.95" customHeight="1" thickBot="1">
      <c r="A21" s="149"/>
      <c r="B21" s="151"/>
      <c r="D21" s="165"/>
      <c r="E21" s="166">
        <f>SUM(E17:E20)</f>
        <v>27.5</v>
      </c>
      <c r="F21" s="166">
        <f>SUM(F17:F20)</f>
        <v>0</v>
      </c>
      <c r="G21" s="167" t="s">
        <v>73</v>
      </c>
      <c r="H21" s="141" t="s">
        <v>75</v>
      </c>
      <c r="O21" s="92"/>
    </row>
    <row r="22" spans="1:18" ht="26.1" customHeight="1" thickBot="1">
      <c r="A22" s="150"/>
      <c r="B22" s="151" t="s">
        <v>352</v>
      </c>
      <c r="D22" s="94"/>
      <c r="E22" s="151"/>
      <c r="F22" s="95"/>
      <c r="O22" s="92"/>
    </row>
    <row r="23" spans="1:18" ht="26.1" customHeight="1" thickBot="1">
      <c r="A23" s="150"/>
      <c r="B23" s="96" t="s">
        <v>263</v>
      </c>
      <c r="C23"/>
      <c r="D23"/>
      <c r="E23"/>
      <c r="F23"/>
      <c r="G23"/>
      <c r="H23"/>
      <c r="I23"/>
      <c r="J23"/>
      <c r="K23"/>
      <c r="L23"/>
      <c r="M23"/>
      <c r="N23"/>
    </row>
    <row r="24" spans="1:18" ht="26.1" customHeight="1" thickBot="1">
      <c r="A24" s="149"/>
      <c r="C24" s="427" t="s">
        <v>210</v>
      </c>
      <c r="D24" s="428"/>
      <c r="E24" s="163" t="s">
        <v>353</v>
      </c>
      <c r="F24" s="427" t="s">
        <v>264</v>
      </c>
      <c r="G24" s="428"/>
      <c r="H24"/>
      <c r="I24" s="446" t="s">
        <v>354</v>
      </c>
      <c r="J24" s="446"/>
      <c r="K24" s="446"/>
      <c r="L24" s="446"/>
      <c r="M24" s="446"/>
      <c r="N24" s="446"/>
      <c r="Q24"/>
      <c r="R24"/>
    </row>
    <row r="25" spans="1:18" ht="15.6" customHeight="1">
      <c r="A25" s="149"/>
      <c r="C25" s="302"/>
      <c r="D25" s="303"/>
      <c r="E25" s="199"/>
      <c r="F25" s="429"/>
      <c r="G25" s="430"/>
      <c r="H25"/>
      <c r="I25"/>
      <c r="J25"/>
      <c r="K25"/>
      <c r="L25"/>
      <c r="O25"/>
      <c r="Q25"/>
      <c r="R25"/>
    </row>
    <row r="26" spans="1:18" ht="15.6" customHeight="1">
      <c r="A26" s="149"/>
      <c r="C26" s="302"/>
      <c r="D26" s="303"/>
      <c r="E26" s="200"/>
      <c r="F26" s="432"/>
      <c r="G26" s="433"/>
      <c r="H26"/>
      <c r="I26"/>
      <c r="J26"/>
      <c r="K26"/>
      <c r="L26"/>
      <c r="O26"/>
      <c r="P26"/>
      <c r="Q26"/>
      <c r="R26"/>
    </row>
    <row r="27" spans="1:18" ht="15.6" customHeight="1">
      <c r="A27" s="149"/>
      <c r="C27" s="302"/>
      <c r="D27" s="303"/>
      <c r="E27" s="200"/>
      <c r="F27" s="432"/>
      <c r="G27" s="433"/>
      <c r="H27"/>
      <c r="I27"/>
      <c r="J27"/>
      <c r="K27"/>
      <c r="L27"/>
      <c r="O27"/>
      <c r="P27"/>
      <c r="Q27"/>
      <c r="R27"/>
    </row>
    <row r="28" spans="1:18" ht="15.6" customHeight="1">
      <c r="A28" s="149"/>
      <c r="C28" s="302"/>
      <c r="D28" s="303"/>
      <c r="E28" s="200"/>
      <c r="F28" s="432"/>
      <c r="G28" s="433"/>
      <c r="H28"/>
      <c r="I28"/>
      <c r="J28"/>
      <c r="K28"/>
      <c r="L28"/>
      <c r="O28"/>
      <c r="P28"/>
      <c r="Q28"/>
      <c r="R28"/>
    </row>
    <row r="29" spans="1:18" ht="15.6" customHeight="1">
      <c r="A29" s="149"/>
      <c r="C29" s="302"/>
      <c r="D29" s="303"/>
      <c r="E29" s="200"/>
      <c r="F29" s="432"/>
      <c r="G29" s="433"/>
      <c r="H29"/>
      <c r="I29"/>
      <c r="J29"/>
      <c r="K29"/>
      <c r="L29"/>
      <c r="O29"/>
      <c r="P29"/>
      <c r="Q29"/>
      <c r="R29"/>
    </row>
    <row r="30" spans="1:18" ht="15.6" customHeight="1">
      <c r="A30" s="149"/>
      <c r="C30" s="302"/>
      <c r="D30" s="303"/>
      <c r="E30" s="200"/>
      <c r="F30" s="432"/>
      <c r="G30" s="433"/>
      <c r="H30"/>
      <c r="I30"/>
      <c r="J30"/>
      <c r="K30"/>
      <c r="L30"/>
      <c r="O30"/>
      <c r="P30"/>
      <c r="Q30"/>
      <c r="R30"/>
    </row>
    <row r="31" spans="1:18" ht="15.6" customHeight="1">
      <c r="A31" s="149"/>
      <c r="C31" s="302"/>
      <c r="D31" s="303"/>
      <c r="E31" s="200"/>
      <c r="F31" s="432"/>
      <c r="G31" s="433"/>
      <c r="H31"/>
      <c r="I31"/>
      <c r="J31"/>
      <c r="K31"/>
      <c r="L31"/>
      <c r="O31"/>
      <c r="P31"/>
      <c r="Q31"/>
      <c r="R31"/>
    </row>
    <row r="32" spans="1:18" ht="15.6" customHeight="1" thickBot="1">
      <c r="A32" s="149"/>
      <c r="C32" s="302"/>
      <c r="D32" s="303"/>
      <c r="E32" s="200"/>
      <c r="F32" s="432"/>
      <c r="G32" s="433"/>
      <c r="H32"/>
      <c r="I32"/>
      <c r="J32"/>
      <c r="K32"/>
      <c r="L32"/>
      <c r="O32"/>
      <c r="P32"/>
      <c r="Q32"/>
      <c r="R32"/>
    </row>
    <row r="33" spans="1:16" ht="26.1" customHeight="1" thickBot="1">
      <c r="A33" s="150"/>
      <c r="B33" s="96" t="s">
        <v>355</v>
      </c>
      <c r="C33"/>
      <c r="D33"/>
      <c r="E33"/>
      <c r="F33"/>
      <c r="H33"/>
      <c r="I33"/>
      <c r="J33"/>
      <c r="K33"/>
    </row>
    <row r="34" spans="1:16" ht="26.1" customHeight="1" thickBot="1">
      <c r="A34" s="174"/>
      <c r="B34" s="96" t="s">
        <v>356</v>
      </c>
      <c r="C34"/>
      <c r="D34"/>
      <c r="E34"/>
      <c r="F34"/>
    </row>
    <row r="35" spans="1:16" ht="26.1" customHeight="1" thickBot="1">
      <c r="A35" s="174"/>
      <c r="B35" s="96" t="s">
        <v>357</v>
      </c>
      <c r="C35"/>
      <c r="D35"/>
      <c r="E35"/>
      <c r="F35"/>
      <c r="P35" s="97"/>
    </row>
    <row r="36" spans="1:16" ht="26.1" customHeight="1" thickBot="1">
      <c r="A36" s="150"/>
      <c r="B36" s="96" t="s">
        <v>215</v>
      </c>
      <c r="C36"/>
      <c r="D36"/>
      <c r="E36"/>
      <c r="F36"/>
      <c r="L36" s="97"/>
      <c r="P36" s="97"/>
    </row>
    <row r="37" spans="1:16" ht="26.1" customHeight="1" thickBot="1">
      <c r="A37" s="150"/>
      <c r="B37" s="96" t="s">
        <v>76</v>
      </c>
      <c r="C37"/>
      <c r="D37"/>
      <c r="E37"/>
      <c r="F37"/>
      <c r="I37" s="94"/>
      <c r="J37" s="94" t="s">
        <v>333</v>
      </c>
      <c r="L37" s="151" t="s">
        <v>334</v>
      </c>
      <c r="P37" s="95"/>
    </row>
    <row r="38" spans="1:16" ht="21.95" customHeight="1" thickBot="1">
      <c r="A38" s="149"/>
      <c r="B38" s="96"/>
      <c r="C38"/>
      <c r="D38"/>
      <c r="E38"/>
      <c r="F38"/>
      <c r="I38" s="94"/>
      <c r="J38" s="94" t="s">
        <v>216</v>
      </c>
      <c r="P38" s="97"/>
    </row>
    <row r="39" spans="1:16" ht="26.1" customHeight="1" thickBot="1">
      <c r="A39" s="149"/>
      <c r="B39" s="365" t="s">
        <v>217</v>
      </c>
      <c r="C39" s="366"/>
      <c r="D39" s="366"/>
      <c r="E39" s="366"/>
      <c r="F39" s="366"/>
      <c r="G39" s="366"/>
      <c r="H39" s="366"/>
      <c r="I39" s="366"/>
      <c r="J39" s="366"/>
      <c r="K39" s="366"/>
      <c r="L39" s="366"/>
      <c r="M39" s="367"/>
      <c r="N39" s="97"/>
    </row>
    <row r="40" spans="1:16" s="151" customFormat="1" ht="26.1" customHeight="1" thickBot="1">
      <c r="A40" s="175"/>
      <c r="B40" s="151" t="s">
        <v>218</v>
      </c>
      <c r="J40" s="95" t="s">
        <v>77</v>
      </c>
      <c r="N40" s="95"/>
    </row>
    <row r="41" spans="1:16" ht="26.1" customHeight="1" thickBot="1">
      <c r="A41" s="150"/>
      <c r="B41" s="96" t="s">
        <v>265</v>
      </c>
      <c r="C41"/>
      <c r="D41"/>
      <c r="E41"/>
      <c r="F41"/>
      <c r="G41"/>
      <c r="H41" s="95" t="s">
        <v>78</v>
      </c>
      <c r="I41"/>
      <c r="M41" s="97"/>
      <c r="N41" s="97"/>
    </row>
    <row r="42" spans="1:16" ht="34.5" customHeight="1" thickBot="1">
      <c r="A42" s="150"/>
      <c r="B42" s="386" t="s">
        <v>220</v>
      </c>
      <c r="C42" s="387"/>
      <c r="D42" s="387"/>
      <c r="E42" s="387"/>
      <c r="F42" s="387"/>
      <c r="G42" s="96" t="s">
        <v>221</v>
      </c>
      <c r="H42"/>
      <c r="I42"/>
      <c r="J42" s="98" t="s">
        <v>71</v>
      </c>
      <c r="K42" s="98" t="str">
        <f>CONCATENATE(" Volume for ",$E$12," samples")</f>
        <v xml:space="preserve"> Volume for  samples</v>
      </c>
    </row>
    <row r="43" spans="1:16" s="142" customFormat="1" ht="23.1" customHeight="1">
      <c r="A43" s="99"/>
      <c r="B43" s="99"/>
      <c r="C43" s="177"/>
      <c r="D43" s="177"/>
      <c r="E43" s="177"/>
      <c r="F43" s="177"/>
      <c r="G43" s="388" t="s">
        <v>222</v>
      </c>
      <c r="H43" s="388"/>
      <c r="I43" s="388"/>
      <c r="J43" s="155">
        <v>182</v>
      </c>
      <c r="K43" s="156">
        <f>J43*$E$12*1.1</f>
        <v>0</v>
      </c>
      <c r="L43" s="156" t="s">
        <v>73</v>
      </c>
    </row>
    <row r="44" spans="1:16" s="142" customFormat="1" ht="23.1" customHeight="1">
      <c r="B44" s="201"/>
      <c r="C44" s="389" t="s">
        <v>223</v>
      </c>
      <c r="D44" s="389"/>
      <c r="E44" s="389"/>
      <c r="F44" s="202"/>
      <c r="G44" s="388" t="s">
        <v>224</v>
      </c>
      <c r="H44" s="388"/>
      <c r="I44" s="388"/>
      <c r="J44" s="155">
        <v>8</v>
      </c>
      <c r="K44" s="156">
        <f>J44*$E$12*1.1</f>
        <v>0</v>
      </c>
      <c r="L44" s="156" t="s">
        <v>73</v>
      </c>
    </row>
    <row r="45" spans="1:16" s="142" customFormat="1" ht="23.1" customHeight="1">
      <c r="B45" s="201"/>
      <c r="C45" s="389"/>
      <c r="D45" s="389"/>
      <c r="E45" s="389"/>
      <c r="F45" s="99"/>
      <c r="G45" s="390" t="s">
        <v>225</v>
      </c>
      <c r="H45" s="390"/>
      <c r="I45" s="390"/>
      <c r="J45" s="155">
        <v>5</v>
      </c>
      <c r="K45" s="156">
        <f>J45*$E$12*1.1</f>
        <v>0</v>
      </c>
      <c r="L45" s="156" t="s">
        <v>73</v>
      </c>
    </row>
    <row r="46" spans="1:16" s="142" customFormat="1" ht="23.1" customHeight="1" thickBot="1">
      <c r="B46" s="99"/>
      <c r="C46" s="99"/>
      <c r="D46" s="99"/>
      <c r="E46" s="99"/>
      <c r="F46" s="99"/>
      <c r="G46" s="385" t="s">
        <v>79</v>
      </c>
      <c r="H46" s="385"/>
      <c r="I46" s="385"/>
      <c r="J46" s="178">
        <v>5</v>
      </c>
      <c r="K46" s="163">
        <f>J46*$E$12*1.1</f>
        <v>0</v>
      </c>
      <c r="L46" s="163" t="s">
        <v>73</v>
      </c>
    </row>
    <row r="47" spans="1:16" s="142" customFormat="1" ht="23.1" customHeight="1" thickBot="1">
      <c r="B47" s="99"/>
      <c r="C47" s="99"/>
      <c r="D47" s="99"/>
      <c r="E47" s="99"/>
      <c r="F47" s="99"/>
      <c r="G47" s="99"/>
      <c r="H47" s="99"/>
      <c r="I47" s="99"/>
      <c r="J47" s="172">
        <f>SUM(J43:J46)</f>
        <v>200</v>
      </c>
      <c r="K47" s="172">
        <f>SUM(K43:K46)</f>
        <v>0</v>
      </c>
      <c r="L47" s="172" t="s">
        <v>73</v>
      </c>
      <c r="M47" s="179" t="s">
        <v>75</v>
      </c>
    </row>
    <row r="48" spans="1:16" ht="33" customHeight="1" thickBot="1">
      <c r="A48" s="150"/>
      <c r="B48" s="96" t="s">
        <v>80</v>
      </c>
      <c r="C48"/>
      <c r="D48"/>
      <c r="E48" s="176" t="s">
        <v>71</v>
      </c>
      <c r="F48" s="203" t="str">
        <f>CONCATENATE(" Volume for ",$E$12," samples")</f>
        <v xml:space="preserve"> Volume for  samples</v>
      </c>
      <c r="G48"/>
      <c r="H48"/>
      <c r="I48"/>
      <c r="L48" s="146"/>
      <c r="M48" s="179"/>
    </row>
    <row r="49" spans="1:14" ht="26.1" customHeight="1">
      <c r="A49" s="149"/>
      <c r="B49" s="96"/>
      <c r="C49" s="391" t="s">
        <v>81</v>
      </c>
      <c r="D49" s="392"/>
      <c r="E49" s="155">
        <v>98</v>
      </c>
      <c r="F49" s="156">
        <f>IF($E$12&lt;2, E49,E49*0.5*$E$12)</f>
        <v>98</v>
      </c>
      <c r="G49" s="143" t="s">
        <v>73</v>
      </c>
      <c r="I49"/>
      <c r="L49" s="146"/>
      <c r="M49" s="179"/>
    </row>
    <row r="50" spans="1:14" ht="26.1" customHeight="1">
      <c r="A50" s="149"/>
      <c r="B50" s="96"/>
      <c r="C50" s="391" t="s">
        <v>82</v>
      </c>
      <c r="D50" s="392"/>
      <c r="E50" s="155">
        <v>1</v>
      </c>
      <c r="F50" s="156">
        <f t="shared" ref="F50:F51" si="0">IF($E$12&lt;2, E50,E50*0.5*$E$12)</f>
        <v>1</v>
      </c>
      <c r="G50" s="143" t="s">
        <v>73</v>
      </c>
      <c r="I50"/>
      <c r="L50" s="146"/>
      <c r="M50" s="179"/>
    </row>
    <row r="51" spans="1:14" ht="26.1" customHeight="1" thickBot="1">
      <c r="A51" s="149"/>
      <c r="B51" s="96"/>
      <c r="C51" s="393" t="s">
        <v>74</v>
      </c>
      <c r="D51" s="394"/>
      <c r="E51" s="178">
        <v>1</v>
      </c>
      <c r="F51" s="163">
        <f t="shared" si="0"/>
        <v>1</v>
      </c>
      <c r="G51" s="164" t="s">
        <v>73</v>
      </c>
      <c r="I51"/>
      <c r="L51" s="146"/>
      <c r="M51" s="179"/>
    </row>
    <row r="52" spans="1:14" ht="26.1" customHeight="1" thickBot="1">
      <c r="A52" s="149"/>
      <c r="B52"/>
      <c r="C52"/>
      <c r="D52"/>
      <c r="E52" s="172">
        <f>SUM(E49:E51)</f>
        <v>100</v>
      </c>
      <c r="F52" s="172">
        <f>SUM(F49:F51)</f>
        <v>100</v>
      </c>
      <c r="G52" s="167" t="s">
        <v>73</v>
      </c>
      <c r="H52" s="179" t="s">
        <v>75</v>
      </c>
      <c r="I52"/>
    </row>
    <row r="53" spans="1:14" ht="23.1" customHeight="1" thickBot="1">
      <c r="A53" s="150"/>
      <c r="B53" s="96" t="s">
        <v>226</v>
      </c>
      <c r="C53"/>
      <c r="D53"/>
      <c r="E53"/>
      <c r="F53"/>
      <c r="G53"/>
      <c r="H53"/>
      <c r="I53"/>
      <c r="L53" s="146"/>
      <c r="M53" s="179"/>
    </row>
    <row r="54" spans="1:14" ht="30.95" customHeight="1" thickBot="1">
      <c r="A54" s="150"/>
      <c r="B54" s="204" t="s">
        <v>227</v>
      </c>
      <c r="C54"/>
      <c r="D54"/>
      <c r="E54"/>
      <c r="I54" s="179" t="s">
        <v>228</v>
      </c>
      <c r="J54"/>
      <c r="K54" s="176" t="s">
        <v>71</v>
      </c>
      <c r="L54" s="196" t="str">
        <f>CONCATENATE(" Volume for ",$E$12," samples")</f>
        <v xml:space="preserve"> Volume for  samples</v>
      </c>
    </row>
    <row r="55" spans="1:14" ht="21.6" customHeight="1">
      <c r="A55" s="149"/>
      <c r="B55" s="96"/>
      <c r="C55"/>
      <c r="D55"/>
      <c r="E55"/>
      <c r="F55"/>
      <c r="I55" s="390" t="s">
        <v>229</v>
      </c>
      <c r="J55" s="390"/>
      <c r="K55" s="159">
        <v>50</v>
      </c>
      <c r="L55" s="205">
        <f>K55*$E$12*1.1</f>
        <v>0</v>
      </c>
      <c r="M55" s="206" t="s">
        <v>73</v>
      </c>
    </row>
    <row r="56" spans="1:14" ht="21.6" customHeight="1" thickBot="1">
      <c r="A56" s="149"/>
      <c r="B56" s="96"/>
      <c r="C56"/>
      <c r="D56"/>
      <c r="E56"/>
      <c r="F56"/>
      <c r="I56" s="434" t="s">
        <v>358</v>
      </c>
      <c r="J56" s="435"/>
      <c r="K56" s="159">
        <v>15</v>
      </c>
      <c r="L56" s="205">
        <f>K56*$E$12*1.1</f>
        <v>0</v>
      </c>
      <c r="M56" s="206" t="s">
        <v>73</v>
      </c>
    </row>
    <row r="57" spans="1:14" ht="21.6" customHeight="1" thickBot="1">
      <c r="A57"/>
      <c r="B57"/>
      <c r="C57"/>
      <c r="D57"/>
      <c r="E57"/>
      <c r="F57"/>
      <c r="I57"/>
      <c r="J57"/>
      <c r="K57" s="172">
        <f>SUM(K55:K56)</f>
        <v>65</v>
      </c>
      <c r="L57" s="172">
        <f>SUM(L55:L56)</f>
        <v>0</v>
      </c>
      <c r="M57" s="167" t="s">
        <v>73</v>
      </c>
      <c r="N57" s="179" t="s">
        <v>75</v>
      </c>
    </row>
    <row r="58" spans="1:14" ht="26.1" customHeight="1" thickBot="1">
      <c r="A58" s="150"/>
      <c r="B58" s="96" t="s">
        <v>83</v>
      </c>
      <c r="C58"/>
      <c r="D58" s="100" t="s">
        <v>99</v>
      </c>
      <c r="E58"/>
      <c r="F58"/>
      <c r="G58"/>
      <c r="H58"/>
      <c r="I58"/>
      <c r="L58" s="146"/>
      <c r="M58" s="179"/>
    </row>
    <row r="59" spans="1:14" ht="20.100000000000001" customHeight="1">
      <c r="A59"/>
      <c r="B59"/>
      <c r="C59"/>
      <c r="D59" s="101" t="s">
        <v>100</v>
      </c>
      <c r="E59" s="348" t="s">
        <v>231</v>
      </c>
      <c r="F59"/>
      <c r="G59"/>
      <c r="H59"/>
      <c r="I59"/>
      <c r="L59" s="146"/>
      <c r="M59" s="179"/>
    </row>
    <row r="60" spans="1:14" ht="20.100000000000001" customHeight="1">
      <c r="A60"/>
      <c r="B60"/>
      <c r="C60"/>
      <c r="D60" s="101" t="s">
        <v>335</v>
      </c>
      <c r="E60" s="349"/>
      <c r="F60"/>
      <c r="G60"/>
      <c r="H60"/>
      <c r="I60"/>
      <c r="L60" s="146"/>
      <c r="M60" s="179"/>
    </row>
    <row r="61" spans="1:14" ht="20.100000000000001" customHeight="1">
      <c r="A61"/>
      <c r="B61"/>
      <c r="C61"/>
      <c r="D61" s="101" t="s">
        <v>87</v>
      </c>
      <c r="E61" s="350"/>
      <c r="F61"/>
      <c r="G61" s="142" t="s">
        <v>88</v>
      </c>
      <c r="H61" s="185"/>
      <c r="I61"/>
      <c r="J61"/>
      <c r="L61" s="146"/>
      <c r="M61" s="179"/>
    </row>
    <row r="62" spans="1:14" ht="20.100000000000001" customHeight="1" thickBot="1">
      <c r="A62"/>
      <c r="B62"/>
      <c r="C62"/>
      <c r="D62" s="100" t="s">
        <v>87</v>
      </c>
      <c r="E62"/>
      <c r="F62"/>
      <c r="G62"/>
      <c r="H62"/>
      <c r="I62"/>
      <c r="J62"/>
    </row>
    <row r="63" spans="1:14" ht="24.95" customHeight="1" thickBot="1">
      <c r="A63"/>
      <c r="B63" s="324" t="s">
        <v>266</v>
      </c>
      <c r="C63" s="325"/>
      <c r="D63" s="325"/>
      <c r="E63" s="325"/>
      <c r="F63" s="325"/>
      <c r="G63" s="325"/>
      <c r="H63" s="325"/>
      <c r="I63" s="325"/>
      <c r="J63" s="325"/>
      <c r="K63" s="325"/>
      <c r="L63" s="325"/>
      <c r="M63" s="326"/>
    </row>
    <row r="64" spans="1:14" ht="20.100000000000001" customHeight="1" thickBot="1">
      <c r="A64" s="150"/>
      <c r="B64" s="437" t="s">
        <v>359</v>
      </c>
      <c r="C64" s="438"/>
      <c r="D64" s="438"/>
      <c r="E64" s="438"/>
      <c r="F64" s="438"/>
      <c r="G64" s="438"/>
      <c r="H64" s="438"/>
      <c r="I64" s="438"/>
      <c r="J64" s="438"/>
      <c r="K64" s="438"/>
      <c r="L64" s="438"/>
      <c r="M64" s="439"/>
    </row>
    <row r="65" spans="1:14" ht="20.100000000000001" customHeight="1">
      <c r="A65"/>
      <c r="B65" s="440" t="s">
        <v>267</v>
      </c>
      <c r="C65" s="440"/>
      <c r="D65" s="440"/>
      <c r="E65" s="440"/>
      <c r="F65" s="440"/>
      <c r="G65"/>
      <c r="H65" s="440" t="s">
        <v>268</v>
      </c>
      <c r="I65" s="440"/>
      <c r="J65" s="440"/>
      <c r="K65" s="440"/>
      <c r="L65" s="440"/>
      <c r="M65" s="440"/>
    </row>
    <row r="66" spans="1:14" ht="20.100000000000001" customHeight="1">
      <c r="A66"/>
      <c r="B66" s="436" t="s">
        <v>269</v>
      </c>
      <c r="C66" s="436"/>
      <c r="D66" s="436"/>
      <c r="E66" s="436"/>
      <c r="F66" s="436"/>
      <c r="G66"/>
      <c r="H66" s="441" t="s">
        <v>360</v>
      </c>
      <c r="I66" s="441"/>
      <c r="J66" s="441"/>
      <c r="K66" s="441"/>
      <c r="L66" s="441"/>
      <c r="M66" s="441"/>
    </row>
    <row r="67" spans="1:14" ht="20.100000000000001" customHeight="1">
      <c r="A67"/>
      <c r="B67" s="436" t="s">
        <v>270</v>
      </c>
      <c r="C67" s="436"/>
      <c r="D67" s="436"/>
      <c r="E67" s="436"/>
      <c r="F67" s="436"/>
      <c r="G67"/>
      <c r="H67" s="436" t="s">
        <v>271</v>
      </c>
      <c r="I67" s="436"/>
      <c r="J67" s="436"/>
      <c r="K67" s="436"/>
      <c r="L67" s="436"/>
      <c r="M67" s="436"/>
    </row>
    <row r="68" spans="1:14" ht="20.100000000000001" customHeight="1">
      <c r="A68"/>
      <c r="B68" s="436" t="s">
        <v>272</v>
      </c>
      <c r="C68" s="436"/>
      <c r="D68" s="436"/>
      <c r="E68" s="436"/>
      <c r="F68" s="436"/>
      <c r="G68"/>
      <c r="H68" s="436" t="s">
        <v>273</v>
      </c>
      <c r="I68" s="436"/>
      <c r="J68" s="436"/>
      <c r="K68" s="436"/>
      <c r="L68" s="436"/>
      <c r="M68" s="436"/>
    </row>
    <row r="69" spans="1:14" ht="20.100000000000001" customHeight="1">
      <c r="A69"/>
      <c r="B69" s="436" t="s">
        <v>361</v>
      </c>
      <c r="C69" s="436"/>
      <c r="D69" s="436"/>
      <c r="E69" s="436"/>
      <c r="F69" s="436"/>
      <c r="G69"/>
      <c r="H69" s="436" t="s">
        <v>270</v>
      </c>
      <c r="I69" s="436"/>
      <c r="J69" s="436"/>
      <c r="K69" s="436"/>
      <c r="L69" s="436"/>
      <c r="M69" s="436"/>
    </row>
    <row r="70" spans="1:14" ht="20.100000000000001" customHeight="1">
      <c r="A70"/>
      <c r="B70" s="442" t="s">
        <v>362</v>
      </c>
      <c r="C70" s="442"/>
      <c r="D70" s="442"/>
      <c r="E70" s="442"/>
      <c r="F70" s="442"/>
      <c r="G70"/>
      <c r="H70" s="436" t="s">
        <v>272</v>
      </c>
      <c r="I70" s="436"/>
      <c r="J70" s="436"/>
      <c r="K70" s="436"/>
      <c r="L70" s="436"/>
      <c r="M70" s="436"/>
    </row>
    <row r="71" spans="1:14" ht="26.1" customHeight="1" thickBot="1">
      <c r="H71" s="436" t="s">
        <v>274</v>
      </c>
      <c r="I71" s="436"/>
      <c r="J71" s="436"/>
      <c r="K71" s="436"/>
      <c r="L71" s="436"/>
      <c r="M71" s="436"/>
    </row>
    <row r="72" spans="1:14" ht="24.95" customHeight="1" thickBot="1">
      <c r="A72"/>
      <c r="B72" s="443" t="s">
        <v>363</v>
      </c>
      <c r="C72" s="444"/>
      <c r="D72" s="444"/>
      <c r="E72" s="444"/>
      <c r="F72" s="444"/>
      <c r="G72" s="444"/>
      <c r="H72" s="444"/>
      <c r="I72" s="444"/>
      <c r="J72" s="444"/>
      <c r="K72" s="444"/>
      <c r="L72" s="444"/>
      <c r="M72" s="444"/>
      <c r="N72" s="445"/>
    </row>
    <row r="73" spans="1:14" ht="24.95" customHeight="1" thickBot="1">
      <c r="A73" s="150"/>
      <c r="B73" s="96" t="s">
        <v>275</v>
      </c>
      <c r="C73"/>
      <c r="D73"/>
      <c r="E73"/>
      <c r="F73"/>
      <c r="G73"/>
      <c r="H73"/>
      <c r="I73"/>
      <c r="J73"/>
    </row>
    <row r="74" spans="1:14" ht="29.45" customHeight="1">
      <c r="A74" s="149"/>
      <c r="B74" s="96"/>
      <c r="C74"/>
      <c r="D74"/>
      <c r="E74" s="207" t="s">
        <v>71</v>
      </c>
      <c r="F74" s="98" t="str">
        <f>CONCATENATE(" Volume for ",$E$12," samples")</f>
        <v xml:space="preserve"> Volume for  samples</v>
      </c>
      <c r="G74"/>
      <c r="H74"/>
      <c r="I74"/>
      <c r="J74"/>
    </row>
    <row r="75" spans="1:14" ht="24.95" customHeight="1">
      <c r="A75"/>
      <c r="B75"/>
      <c r="C75"/>
      <c r="D75" s="108" t="s">
        <v>364</v>
      </c>
      <c r="E75" s="108">
        <v>50</v>
      </c>
      <c r="F75" s="108">
        <f>E75*1.1*$E$12</f>
        <v>0</v>
      </c>
      <c r="G75" s="108" t="s">
        <v>73</v>
      </c>
      <c r="H75"/>
      <c r="I75"/>
      <c r="K75" s="208"/>
      <c r="L75" s="209"/>
    </row>
    <row r="76" spans="1:14" ht="24.95" customHeight="1">
      <c r="A76"/>
      <c r="B76"/>
      <c r="C76"/>
      <c r="D76" s="203" t="s">
        <v>365</v>
      </c>
      <c r="E76" s="108">
        <v>48</v>
      </c>
      <c r="F76" s="108">
        <f>E76*1.1*$E$12</f>
        <v>0</v>
      </c>
      <c r="G76" s="203" t="s">
        <v>73</v>
      </c>
      <c r="H76"/>
      <c r="I76"/>
      <c r="K76" s="208"/>
      <c r="L76" s="209"/>
      <c r="M76" s="97"/>
      <c r="N76" s="210"/>
    </row>
    <row r="77" spans="1:14" ht="24.6" customHeight="1" thickBot="1">
      <c r="A77"/>
      <c r="B77"/>
      <c r="C77"/>
      <c r="D77" s="102" t="s">
        <v>104</v>
      </c>
      <c r="E77" s="102">
        <f>+SUM(E75:E76)</f>
        <v>98</v>
      </c>
      <c r="F77" s="102">
        <f>SUM(F75:F76)</f>
        <v>0</v>
      </c>
      <c r="G77" s="102" t="s">
        <v>73</v>
      </c>
      <c r="H77"/>
      <c r="I77"/>
      <c r="J77"/>
    </row>
    <row r="78" spans="1:14" ht="24.6" customHeight="1" thickBot="1">
      <c r="A78" s="150"/>
      <c r="B78" s="96" t="s">
        <v>366</v>
      </c>
      <c r="C78"/>
      <c r="D78"/>
      <c r="E78"/>
      <c r="F78" s="99"/>
      <c r="G78" s="99"/>
      <c r="H78"/>
      <c r="I78"/>
      <c r="J78"/>
    </row>
    <row r="79" spans="1:14" ht="24.95" customHeight="1" thickBot="1">
      <c r="A79" s="150"/>
      <c r="B79" s="96" t="s">
        <v>83</v>
      </c>
      <c r="C79"/>
      <c r="D79" s="100" t="s">
        <v>99</v>
      </c>
      <c r="E79"/>
      <c r="F79"/>
      <c r="G79"/>
      <c r="H79"/>
      <c r="I79" s="1"/>
      <c r="J79" s="139" t="s">
        <v>367</v>
      </c>
    </row>
    <row r="80" spans="1:14" ht="24.95" customHeight="1">
      <c r="A80"/>
      <c r="B80"/>
      <c r="C80"/>
      <c r="D80" s="101" t="s">
        <v>100</v>
      </c>
      <c r="E80" s="348" t="s">
        <v>368</v>
      </c>
      <c r="F80"/>
      <c r="G80"/>
      <c r="H80"/>
      <c r="I80" s="1" t="s">
        <v>369</v>
      </c>
      <c r="J80" s="1">
        <v>12</v>
      </c>
    </row>
    <row r="81" spans="1:14" ht="24.95" customHeight="1">
      <c r="A81"/>
      <c r="B81"/>
      <c r="C81"/>
      <c r="D81" s="101" t="s">
        <v>370</v>
      </c>
      <c r="E81" s="349"/>
      <c r="F81"/>
      <c r="G81"/>
      <c r="H81"/>
      <c r="I81" s="1" t="s">
        <v>371</v>
      </c>
      <c r="J81" s="1">
        <v>8</v>
      </c>
    </row>
    <row r="82" spans="1:14" ht="24.95" customHeight="1">
      <c r="A82"/>
      <c r="B82"/>
      <c r="C82"/>
      <c r="D82" s="211" t="s">
        <v>87</v>
      </c>
      <c r="E82" s="350"/>
      <c r="F82"/>
      <c r="G82" s="125"/>
      <c r="H82"/>
      <c r="I82"/>
      <c r="J82"/>
    </row>
    <row r="83" spans="1:14" ht="24.95" customHeight="1" thickBot="1">
      <c r="A83"/>
      <c r="B83"/>
      <c r="C83"/>
      <c r="D83" s="100" t="s">
        <v>87</v>
      </c>
      <c r="E83"/>
      <c r="F83"/>
      <c r="G83"/>
      <c r="H83"/>
      <c r="I83"/>
      <c r="J83"/>
    </row>
    <row r="84" spans="1:14" ht="24.95" customHeight="1" thickBot="1">
      <c r="A84" s="150"/>
      <c r="B84" s="96" t="s">
        <v>372</v>
      </c>
      <c r="C84"/>
      <c r="D84"/>
      <c r="E84"/>
      <c r="F84"/>
      <c r="G84"/>
      <c r="H84"/>
      <c r="I84"/>
      <c r="J84"/>
    </row>
    <row r="85" spans="1:14" ht="24.95" customHeight="1" thickBot="1">
      <c r="A85"/>
      <c r="B85" s="443" t="s">
        <v>373</v>
      </c>
      <c r="C85" s="444"/>
      <c r="D85" s="444"/>
      <c r="E85" s="444"/>
      <c r="F85" s="444"/>
      <c r="G85" s="444"/>
      <c r="H85" s="444"/>
      <c r="I85" s="444"/>
      <c r="J85" s="444"/>
      <c r="K85" s="444"/>
      <c r="L85" s="444"/>
      <c r="M85" s="444"/>
      <c r="N85" s="445"/>
    </row>
    <row r="86" spans="1:14" ht="24.95" customHeight="1" thickBot="1">
      <c r="A86" s="150"/>
      <c r="B86" s="96" t="s">
        <v>275</v>
      </c>
      <c r="C86"/>
      <c r="D86"/>
      <c r="E86"/>
      <c r="F86"/>
      <c r="G86"/>
      <c r="H86"/>
      <c r="I86"/>
      <c r="J86"/>
    </row>
    <row r="87" spans="1:14" ht="29.45" customHeight="1">
      <c r="A87" s="149"/>
      <c r="B87" s="96"/>
      <c r="C87"/>
      <c r="D87"/>
      <c r="E87" s="207" t="s">
        <v>71</v>
      </c>
      <c r="F87" s="98" t="str">
        <f>CONCATENATE(" Volume for ",$E$12," samples")</f>
        <v xml:space="preserve"> Volume for  samples</v>
      </c>
      <c r="G87"/>
      <c r="H87"/>
      <c r="I87"/>
      <c r="J87"/>
    </row>
    <row r="88" spans="1:14" ht="24.95" customHeight="1">
      <c r="A88"/>
      <c r="B88"/>
      <c r="C88"/>
      <c r="D88" s="108" t="s">
        <v>364</v>
      </c>
      <c r="E88" s="108">
        <v>50</v>
      </c>
      <c r="F88" s="108">
        <f>E88*1.1*$E$12</f>
        <v>0</v>
      </c>
      <c r="G88" s="108" t="s">
        <v>73</v>
      </c>
      <c r="H88"/>
      <c r="I88"/>
      <c r="K88" s="208"/>
      <c r="L88" s="209"/>
    </row>
    <row r="89" spans="1:14" ht="24.95" customHeight="1">
      <c r="A89"/>
      <c r="B89"/>
      <c r="C89"/>
      <c r="D89" s="203" t="s">
        <v>374</v>
      </c>
      <c r="E89" s="108">
        <v>15</v>
      </c>
      <c r="F89" s="108">
        <f>E89*1.1*$E$12</f>
        <v>0</v>
      </c>
      <c r="G89" s="203" t="s">
        <v>73</v>
      </c>
      <c r="H89"/>
      <c r="I89"/>
      <c r="K89" s="208"/>
      <c r="L89" s="209"/>
      <c r="M89" s="97"/>
      <c r="N89" s="210"/>
    </row>
    <row r="90" spans="1:14" ht="24.6" customHeight="1" thickBot="1">
      <c r="A90"/>
      <c r="B90"/>
      <c r="C90"/>
      <c r="D90" s="102" t="s">
        <v>104</v>
      </c>
      <c r="E90" s="102">
        <f>+SUM(E88:E89)</f>
        <v>65</v>
      </c>
      <c r="F90" s="102">
        <f>SUM(F88:F89)</f>
        <v>0</v>
      </c>
      <c r="G90" s="102" t="s">
        <v>73</v>
      </c>
      <c r="H90"/>
      <c r="I90"/>
      <c r="J90"/>
    </row>
    <row r="91" spans="1:14" ht="24.6" customHeight="1" thickBot="1">
      <c r="A91" s="150"/>
      <c r="B91" s="96" t="s">
        <v>375</v>
      </c>
      <c r="C91"/>
      <c r="D91"/>
      <c r="E91"/>
      <c r="F91" s="99"/>
      <c r="G91" s="99"/>
      <c r="H91"/>
      <c r="I91"/>
      <c r="J91"/>
    </row>
    <row r="92" spans="1:14" ht="24.95" customHeight="1" thickBot="1">
      <c r="A92" s="150"/>
      <c r="B92" s="96" t="s">
        <v>83</v>
      </c>
      <c r="C92"/>
      <c r="D92" s="100" t="s">
        <v>99</v>
      </c>
      <c r="E92"/>
      <c r="F92"/>
      <c r="G92"/>
      <c r="H92"/>
      <c r="I92" s="1"/>
      <c r="J92" s="139" t="s">
        <v>367</v>
      </c>
    </row>
    <row r="93" spans="1:14" ht="24.95" customHeight="1">
      <c r="A93"/>
      <c r="B93"/>
      <c r="C93"/>
      <c r="D93" s="101" t="s">
        <v>100</v>
      </c>
      <c r="E93" s="348" t="s">
        <v>276</v>
      </c>
      <c r="F93"/>
      <c r="G93"/>
      <c r="H93"/>
      <c r="I93" s="1" t="s">
        <v>369</v>
      </c>
      <c r="J93" s="1">
        <v>10</v>
      </c>
    </row>
    <row r="94" spans="1:14" ht="24.95" customHeight="1">
      <c r="A94"/>
      <c r="B94"/>
      <c r="C94"/>
      <c r="D94" s="101" t="s">
        <v>370</v>
      </c>
      <c r="E94" s="349"/>
      <c r="F94"/>
      <c r="G94"/>
      <c r="H94"/>
      <c r="I94" s="1" t="s">
        <v>371</v>
      </c>
      <c r="J94" s="1">
        <v>8</v>
      </c>
    </row>
    <row r="95" spans="1:14" ht="24.95" customHeight="1">
      <c r="A95"/>
      <c r="B95"/>
      <c r="C95"/>
      <c r="D95" s="211" t="s">
        <v>87</v>
      </c>
      <c r="E95" s="350"/>
      <c r="F95"/>
      <c r="G95" s="125"/>
      <c r="H95"/>
      <c r="I95"/>
      <c r="J95"/>
    </row>
    <row r="96" spans="1:14" ht="24.95" customHeight="1" thickBot="1">
      <c r="A96"/>
      <c r="B96"/>
      <c r="C96"/>
      <c r="D96" s="100" t="s">
        <v>87</v>
      </c>
      <c r="E96"/>
      <c r="F96"/>
      <c r="G96"/>
      <c r="H96"/>
      <c r="I96"/>
      <c r="J96"/>
    </row>
    <row r="97" spans="1:16" ht="24.95" customHeight="1" thickBot="1">
      <c r="A97" s="150"/>
      <c r="B97" s="96" t="s">
        <v>376</v>
      </c>
      <c r="C97"/>
      <c r="D97"/>
      <c r="E97"/>
      <c r="F97"/>
      <c r="G97"/>
      <c r="H97"/>
      <c r="I97"/>
      <c r="J97"/>
    </row>
    <row r="98" spans="1:16" ht="26.1" customHeight="1" thickBot="1">
      <c r="A98"/>
      <c r="B98" s="324" t="s">
        <v>377</v>
      </c>
      <c r="C98" s="325"/>
      <c r="D98" s="325"/>
      <c r="E98" s="325"/>
      <c r="F98" s="325"/>
      <c r="G98" s="325"/>
      <c r="H98" s="325"/>
      <c r="I98" s="325"/>
      <c r="J98" s="325"/>
      <c r="K98" s="325"/>
      <c r="L98" s="325"/>
      <c r="M98" s="326"/>
      <c r="N98"/>
      <c r="O98"/>
      <c r="P98"/>
    </row>
    <row r="99" spans="1:16" ht="24.95" customHeight="1" thickBot="1">
      <c r="A99" s="150"/>
      <c r="B99" s="96" t="s">
        <v>378</v>
      </c>
      <c r="C99"/>
      <c r="D99"/>
      <c r="E99"/>
      <c r="F99"/>
      <c r="G99"/>
      <c r="H99"/>
      <c r="I99"/>
      <c r="J99"/>
    </row>
    <row r="100" spans="1:16" ht="24.95" customHeight="1" thickBot="1">
      <c r="A100" s="150"/>
      <c r="B100" s="96" t="s">
        <v>235</v>
      </c>
      <c r="C100"/>
      <c r="D100"/>
      <c r="E100"/>
      <c r="F100"/>
      <c r="G100"/>
      <c r="H100"/>
      <c r="I100"/>
      <c r="J100"/>
    </row>
    <row r="101" spans="1:16" ht="36" customHeight="1" thickBot="1">
      <c r="A101"/>
      <c r="B101"/>
      <c r="C101"/>
      <c r="D101"/>
      <c r="E101" s="176" t="s">
        <v>71</v>
      </c>
      <c r="F101" s="98" t="str">
        <f>CONCATENATE(" Volume for ",$E$12," samples")</f>
        <v xml:space="preserve"> Volume for  samples</v>
      </c>
      <c r="J101"/>
      <c r="K101"/>
      <c r="L101"/>
      <c r="M101"/>
      <c r="N101"/>
      <c r="O101"/>
      <c r="P101"/>
    </row>
    <row r="102" spans="1:16" ht="26.1" customHeight="1" thickBot="1">
      <c r="A102" s="150"/>
      <c r="B102" s="151" t="s">
        <v>72</v>
      </c>
      <c r="C102" s="186"/>
      <c r="D102" s="133" t="s">
        <v>236</v>
      </c>
      <c r="E102" s="155">
        <v>5</v>
      </c>
      <c r="F102" s="156">
        <f>E102*$E$12*1.1</f>
        <v>0</v>
      </c>
      <c r="G102" s="143" t="s">
        <v>73</v>
      </c>
      <c r="J102"/>
      <c r="K102"/>
      <c r="L102"/>
      <c r="M102"/>
      <c r="N102"/>
      <c r="O102"/>
      <c r="P102"/>
    </row>
    <row r="103" spans="1:16" ht="26.1" customHeight="1" thickBot="1">
      <c r="A103"/>
      <c r="B103"/>
      <c r="C103" s="187"/>
      <c r="D103" s="181" t="s">
        <v>237</v>
      </c>
      <c r="E103" s="178">
        <v>10</v>
      </c>
      <c r="F103" s="163">
        <f>E103*$E$12*1.1</f>
        <v>0</v>
      </c>
      <c r="G103" s="164" t="s">
        <v>73</v>
      </c>
      <c r="J103"/>
      <c r="K103"/>
      <c r="L103"/>
      <c r="M103"/>
      <c r="N103"/>
      <c r="O103"/>
      <c r="P103"/>
    </row>
    <row r="104" spans="1:16" ht="21.6" customHeight="1" thickBot="1">
      <c r="A104"/>
      <c r="B104"/>
      <c r="C104"/>
      <c r="D104"/>
      <c r="E104" s="172">
        <f>SUM(E102:E103)</f>
        <v>15</v>
      </c>
      <c r="F104" s="172">
        <f>SUM(F102:F103)</f>
        <v>0</v>
      </c>
      <c r="G104" s="167" t="s">
        <v>73</v>
      </c>
      <c r="H104" s="179" t="s">
        <v>75</v>
      </c>
      <c r="I104" s="179"/>
      <c r="J104"/>
      <c r="K104"/>
      <c r="L104"/>
      <c r="M104"/>
      <c r="N104"/>
      <c r="O104"/>
      <c r="P104"/>
    </row>
    <row r="105" spans="1:16" ht="21.6" customHeight="1" thickBot="1">
      <c r="A105" s="150"/>
      <c r="B105" s="96" t="s">
        <v>83</v>
      </c>
      <c r="C105"/>
      <c r="D105" s="94" t="s">
        <v>238</v>
      </c>
      <c r="E105"/>
      <c r="F105"/>
      <c r="G105"/>
      <c r="H105"/>
      <c r="I105"/>
      <c r="J105"/>
      <c r="K105"/>
      <c r="L105"/>
      <c r="M105"/>
      <c r="N105"/>
      <c r="O105"/>
      <c r="P105"/>
    </row>
    <row r="106" spans="1:16" ht="21.6" customHeight="1">
      <c r="A106"/>
      <c r="B106"/>
      <c r="C106"/>
      <c r="D106" s="94" t="s">
        <v>379</v>
      </c>
      <c r="E106"/>
      <c r="F106"/>
      <c r="G106"/>
      <c r="H106"/>
      <c r="I106"/>
      <c r="J106"/>
      <c r="K106"/>
      <c r="L106"/>
      <c r="M106"/>
      <c r="N106"/>
      <c r="O106"/>
      <c r="P106"/>
    </row>
    <row r="107" spans="1:16" ht="21.6" customHeight="1">
      <c r="A107"/>
      <c r="B107"/>
      <c r="C107"/>
      <c r="D107" s="94" t="s">
        <v>240</v>
      </c>
      <c r="E107"/>
      <c r="F107"/>
      <c r="G107"/>
      <c r="H107"/>
      <c r="I107"/>
      <c r="J107"/>
      <c r="K107"/>
      <c r="L107"/>
      <c r="M107"/>
      <c r="N107"/>
      <c r="O107"/>
      <c r="P107"/>
    </row>
    <row r="108" spans="1:16" ht="21.6" customHeight="1" thickBot="1">
      <c r="A108"/>
      <c r="B108"/>
      <c r="C108"/>
      <c r="D108" s="94" t="s">
        <v>241</v>
      </c>
      <c r="E108"/>
      <c r="F108"/>
      <c r="G108"/>
      <c r="H108"/>
      <c r="I108"/>
      <c r="J108"/>
      <c r="K108"/>
      <c r="L108"/>
      <c r="M108"/>
      <c r="N108"/>
      <c r="O108"/>
      <c r="P108"/>
    </row>
    <row r="109" spans="1:16" ht="24.95" customHeight="1" thickBot="1">
      <c r="A109" s="150"/>
      <c r="B109" s="96" t="s">
        <v>244</v>
      </c>
      <c r="C109"/>
      <c r="D109"/>
      <c r="E109"/>
      <c r="F109"/>
      <c r="G109"/>
      <c r="H109"/>
      <c r="I109"/>
      <c r="J109"/>
    </row>
    <row r="110" spans="1:16" ht="33" customHeight="1" thickBot="1">
      <c r="A110"/>
      <c r="B110"/>
      <c r="C110"/>
      <c r="D110"/>
      <c r="E110" s="176" t="s">
        <v>71</v>
      </c>
      <c r="F110" s="98" t="str">
        <f>CONCATENATE(" Volume for ",$E$12," samples")</f>
        <v xml:space="preserve"> Volume for  samples</v>
      </c>
      <c r="I110"/>
      <c r="J110"/>
      <c r="K110"/>
      <c r="L110"/>
      <c r="M110"/>
      <c r="N110"/>
      <c r="O110"/>
      <c r="P110"/>
    </row>
    <row r="111" spans="1:16" ht="26.1" customHeight="1" thickBot="1">
      <c r="A111" s="150"/>
      <c r="B111" s="96" t="s">
        <v>245</v>
      </c>
      <c r="C111" s="186"/>
      <c r="D111" s="133" t="s">
        <v>340</v>
      </c>
      <c r="E111" s="155">
        <v>40</v>
      </c>
      <c r="F111" s="156">
        <f>E111*$E$12*1.1</f>
        <v>0</v>
      </c>
      <c r="G111" s="143" t="s">
        <v>73</v>
      </c>
      <c r="I111"/>
      <c r="J111"/>
      <c r="K111"/>
      <c r="L111"/>
      <c r="M111"/>
      <c r="N111"/>
      <c r="O111"/>
      <c r="P111"/>
    </row>
    <row r="112" spans="1:16" ht="26.1" customHeight="1">
      <c r="A112" s="149"/>
      <c r="B112" s="151"/>
      <c r="C112" s="186"/>
      <c r="D112" s="133" t="s">
        <v>246</v>
      </c>
      <c r="E112" s="159">
        <v>10</v>
      </c>
      <c r="F112" s="156">
        <f>E112*$E$12*1.1</f>
        <v>0</v>
      </c>
      <c r="G112" s="143" t="s">
        <v>73</v>
      </c>
      <c r="I112"/>
      <c r="J112"/>
      <c r="K112"/>
      <c r="L112"/>
      <c r="M112"/>
      <c r="N112"/>
      <c r="O112"/>
      <c r="P112"/>
    </row>
    <row r="113" spans="1:14" ht="26.25" customHeight="1" thickBot="1">
      <c r="A113"/>
      <c r="B113"/>
      <c r="C113"/>
      <c r="D113"/>
      <c r="E113" s="172">
        <f>SUM(E111:E112)</f>
        <v>50</v>
      </c>
      <c r="F113" s="172">
        <f>SUM(F111:F112)</f>
        <v>0</v>
      </c>
      <c r="G113" s="167" t="s">
        <v>73</v>
      </c>
      <c r="H113" s="179" t="s">
        <v>75</v>
      </c>
    </row>
    <row r="114" spans="1:14" ht="20.45" customHeight="1" thickBot="1">
      <c r="A114" s="150"/>
      <c r="B114" s="96" t="s">
        <v>83</v>
      </c>
      <c r="C114"/>
      <c r="D114" s="94" t="s">
        <v>247</v>
      </c>
      <c r="G114" s="146"/>
      <c r="H114" s="179"/>
    </row>
    <row r="115" spans="1:14" ht="20.45" customHeight="1" thickBot="1">
      <c r="A115"/>
      <c r="B115"/>
      <c r="C115"/>
      <c r="D115" s="94" t="s">
        <v>238</v>
      </c>
      <c r="G115" s="146"/>
      <c r="H115" s="179"/>
    </row>
    <row r="116" spans="1:14" ht="24.95" customHeight="1" thickBot="1">
      <c r="A116" s="150"/>
      <c r="B116" s="96" t="s">
        <v>248</v>
      </c>
      <c r="C116"/>
      <c r="D116"/>
      <c r="E116"/>
      <c r="F116"/>
      <c r="G116"/>
      <c r="H116"/>
      <c r="I116"/>
      <c r="J116"/>
    </row>
    <row r="117" spans="1:14" ht="24.95" customHeight="1" thickBot="1">
      <c r="A117" s="150"/>
      <c r="B117" s="96" t="s">
        <v>249</v>
      </c>
      <c r="C117"/>
      <c r="D117"/>
      <c r="E117"/>
      <c r="F117"/>
      <c r="G117"/>
      <c r="H117"/>
      <c r="I117"/>
      <c r="J117"/>
    </row>
    <row r="118" spans="1:14" ht="24.95" customHeight="1" thickBot="1">
      <c r="A118" s="150"/>
      <c r="B118" s="96" t="str">
        <f xml:space="preserve"> CONCATENATE("Add 20 µL of indexes of the plate ",L2)</f>
        <v>Add 20 µL of indexes of the plate TT Set A</v>
      </c>
      <c r="C118"/>
      <c r="D118"/>
      <c r="E118"/>
      <c r="F118"/>
      <c r="G118"/>
      <c r="H118"/>
      <c r="I118"/>
      <c r="J118"/>
    </row>
    <row r="119" spans="1:14" ht="24.95" customHeight="1" thickBot="1">
      <c r="A119" s="188"/>
      <c r="B119" s="179" t="s">
        <v>89</v>
      </c>
      <c r="G119" s="141" t="s">
        <v>90</v>
      </c>
      <c r="H119" s="185"/>
    </row>
    <row r="120" spans="1:14" ht="24.95" customHeight="1">
      <c r="A120" s="149"/>
      <c r="B120" s="189"/>
      <c r="C120" s="104">
        <v>1</v>
      </c>
      <c r="D120" s="104">
        <v>2</v>
      </c>
      <c r="E120" s="104">
        <v>3</v>
      </c>
      <c r="F120" s="104">
        <v>4</v>
      </c>
      <c r="G120" s="104">
        <v>5</v>
      </c>
      <c r="H120" s="104">
        <v>6</v>
      </c>
      <c r="I120" s="104">
        <v>7</v>
      </c>
      <c r="J120" s="104">
        <v>8</v>
      </c>
      <c r="K120" s="104">
        <v>9</v>
      </c>
      <c r="L120" s="104">
        <v>10</v>
      </c>
      <c r="M120" s="104">
        <v>11</v>
      </c>
      <c r="N120" s="104">
        <v>12</v>
      </c>
    </row>
    <row r="121" spans="1:14" ht="17.45" customHeight="1">
      <c r="A121" s="149"/>
      <c r="B121" s="105" t="s">
        <v>91</v>
      </c>
      <c r="C121" s="106" t="str">
        <f>IF(ISNUMBER(#REF!),#REF!, " ")</f>
        <v xml:space="preserve"> </v>
      </c>
      <c r="D121" s="106" t="str">
        <f>IF(ISNUMBER(#REF!),#REF!, " ")</f>
        <v xml:space="preserve"> </v>
      </c>
      <c r="E121" s="106" t="str">
        <f>IF(ISNUMBER(#REF!),#REF!, " ")</f>
        <v xml:space="preserve"> </v>
      </c>
      <c r="F121" s="106" t="str">
        <f>IF(ISNUMBER(#REF!),#REF!, " ")</f>
        <v xml:space="preserve"> </v>
      </c>
      <c r="G121" s="106" t="str">
        <f>IF(ISNUMBER(#REF!),#REF!, " ")</f>
        <v xml:space="preserve"> </v>
      </c>
      <c r="H121" s="106" t="str">
        <f>IF(ISNUMBER(#REF!),#REF!, " ")</f>
        <v xml:space="preserve"> </v>
      </c>
      <c r="I121" s="106" t="str">
        <f>IF(ISNUMBER(#REF!),#REF!, " ")</f>
        <v xml:space="preserve"> </v>
      </c>
      <c r="J121" s="106" t="str">
        <f>IF(ISNUMBER(#REF!),#REF!, " ")</f>
        <v xml:space="preserve"> </v>
      </c>
      <c r="K121" s="106" t="str">
        <f>IF(ISNUMBER(#REF!),#REF!, " ")</f>
        <v xml:space="preserve"> </v>
      </c>
      <c r="L121" s="106" t="str">
        <f>IF(ISNUMBER(#REF!),#REF!, " ")</f>
        <v xml:space="preserve"> </v>
      </c>
      <c r="M121" s="106" t="str">
        <f>IF(ISNUMBER(#REF!),#REF!, " ")</f>
        <v xml:space="preserve"> </v>
      </c>
      <c r="N121" s="106" t="str">
        <f>IF(ISNUMBER(#REF!),#REF!, " ")</f>
        <v xml:space="preserve"> </v>
      </c>
    </row>
    <row r="122" spans="1:14" ht="17.45" customHeight="1">
      <c r="B122" s="105" t="s">
        <v>92</v>
      </c>
      <c r="C122" s="106" t="str">
        <f>IF(ISNUMBER(#REF!),#REF!, " ")</f>
        <v xml:space="preserve"> </v>
      </c>
      <c r="D122" s="106" t="str">
        <f>IF(ISNUMBER(#REF!),#REF!, " ")</f>
        <v xml:space="preserve"> </v>
      </c>
      <c r="E122" s="106" t="str">
        <f>IF(ISNUMBER(#REF!),#REF!, " ")</f>
        <v xml:space="preserve"> </v>
      </c>
      <c r="F122" s="106" t="str">
        <f>IF(ISNUMBER(#REF!),#REF!, " ")</f>
        <v xml:space="preserve"> </v>
      </c>
      <c r="G122" s="106" t="str">
        <f>IF(ISNUMBER(#REF!),#REF!, " ")</f>
        <v xml:space="preserve"> </v>
      </c>
      <c r="H122" s="106" t="str">
        <f>IF(ISNUMBER(#REF!),#REF!, " ")</f>
        <v xml:space="preserve"> </v>
      </c>
      <c r="I122" s="106" t="str">
        <f>IF(ISNUMBER(#REF!),#REF!, " ")</f>
        <v xml:space="preserve"> </v>
      </c>
      <c r="J122" s="106" t="str">
        <f>IF(ISNUMBER(#REF!),#REF!, " ")</f>
        <v xml:space="preserve"> </v>
      </c>
      <c r="K122" s="106" t="str">
        <f>IF(ISNUMBER(#REF!),#REF!, " ")</f>
        <v xml:space="preserve"> </v>
      </c>
      <c r="L122" s="106" t="str">
        <f>IF(ISNUMBER(#REF!),#REF!, " ")</f>
        <v xml:space="preserve"> </v>
      </c>
      <c r="M122" s="106" t="str">
        <f>IF(ISNUMBER(#REF!),#REF!, " ")</f>
        <v xml:space="preserve"> </v>
      </c>
      <c r="N122" s="106" t="str">
        <f>IF(ISNUMBER(#REF!),#REF!, " ")</f>
        <v xml:space="preserve"> </v>
      </c>
    </row>
    <row r="123" spans="1:14" ht="17.45" customHeight="1">
      <c r="B123" s="105" t="s">
        <v>93</v>
      </c>
      <c r="C123" s="106" t="str">
        <f>IF(ISNUMBER(#REF!),#REF!, " ")</f>
        <v xml:space="preserve"> </v>
      </c>
      <c r="D123" s="106" t="str">
        <f>IF(ISNUMBER(#REF!),#REF!, " ")</f>
        <v xml:space="preserve"> </v>
      </c>
      <c r="E123" s="106" t="str">
        <f>IF(ISNUMBER(#REF!),#REF!, " ")</f>
        <v xml:space="preserve"> </v>
      </c>
      <c r="F123" s="106" t="str">
        <f>IF(ISNUMBER(#REF!),#REF!, " ")</f>
        <v xml:space="preserve"> </v>
      </c>
      <c r="G123" s="106" t="str">
        <f>IF(ISNUMBER(#REF!),#REF!, " ")</f>
        <v xml:space="preserve"> </v>
      </c>
      <c r="H123" s="106" t="str">
        <f>IF(ISNUMBER(#REF!),#REF!, " ")</f>
        <v xml:space="preserve"> </v>
      </c>
      <c r="I123" s="106" t="str">
        <f>IF(ISNUMBER(#REF!),#REF!, " ")</f>
        <v xml:space="preserve"> </v>
      </c>
      <c r="J123" s="106" t="str">
        <f>IF(ISNUMBER(#REF!),#REF!, " ")</f>
        <v xml:space="preserve"> </v>
      </c>
      <c r="K123" s="106" t="str">
        <f>IF(ISNUMBER(#REF!),#REF!, " ")</f>
        <v xml:space="preserve"> </v>
      </c>
      <c r="L123" s="106" t="str">
        <f>IF(ISNUMBER(#REF!),#REF!, " ")</f>
        <v xml:space="preserve"> </v>
      </c>
      <c r="M123" s="106" t="str">
        <f>IF(ISNUMBER(#REF!),#REF!, " ")</f>
        <v xml:space="preserve"> </v>
      </c>
      <c r="N123" s="106" t="str">
        <f>IF(ISNUMBER(#REF!),#REF!, " ")</f>
        <v xml:space="preserve"> </v>
      </c>
    </row>
    <row r="124" spans="1:14" ht="17.45" customHeight="1">
      <c r="B124" s="105" t="s">
        <v>94</v>
      </c>
      <c r="C124" s="106" t="str">
        <f>IF(ISNUMBER(#REF!),#REF!, " ")</f>
        <v xml:space="preserve"> </v>
      </c>
      <c r="D124" s="106" t="str">
        <f>IF(ISNUMBER(#REF!),#REF!, " ")</f>
        <v xml:space="preserve"> </v>
      </c>
      <c r="E124" s="106" t="str">
        <f>IF(ISNUMBER(#REF!),#REF!, " ")</f>
        <v xml:space="preserve"> </v>
      </c>
      <c r="F124" s="106" t="str">
        <f>IF(ISNUMBER(#REF!),#REF!, " ")</f>
        <v xml:space="preserve"> </v>
      </c>
      <c r="G124" s="106" t="str">
        <f>IF(ISNUMBER(#REF!),#REF!, " ")</f>
        <v xml:space="preserve"> </v>
      </c>
      <c r="H124" s="106" t="str">
        <f>IF(ISNUMBER(#REF!),#REF!, " ")</f>
        <v xml:space="preserve"> </v>
      </c>
      <c r="I124" s="106" t="str">
        <f>IF(ISNUMBER(#REF!),#REF!, " ")</f>
        <v xml:space="preserve"> </v>
      </c>
      <c r="J124" s="106" t="str">
        <f>IF(ISNUMBER(#REF!),#REF!, " ")</f>
        <v xml:space="preserve"> </v>
      </c>
      <c r="K124" s="106" t="str">
        <f>IF(ISNUMBER(#REF!),#REF!, " ")</f>
        <v xml:space="preserve"> </v>
      </c>
      <c r="L124" s="106" t="str">
        <f>IF(ISNUMBER(#REF!),#REF!, " ")</f>
        <v xml:space="preserve"> </v>
      </c>
      <c r="M124" s="106" t="str">
        <f>IF(ISNUMBER(#REF!),#REF!, " ")</f>
        <v xml:space="preserve"> </v>
      </c>
      <c r="N124" s="106" t="str">
        <f>IF(ISNUMBER(#REF!),#REF!, " ")</f>
        <v xml:space="preserve"> </v>
      </c>
    </row>
    <row r="125" spans="1:14" ht="17.45" customHeight="1">
      <c r="B125" s="105" t="s">
        <v>95</v>
      </c>
      <c r="C125" s="106" t="str">
        <f>IF(ISNUMBER(#REF!),#REF!, " ")</f>
        <v xml:space="preserve"> </v>
      </c>
      <c r="D125" s="106" t="str">
        <f>IF(ISNUMBER(#REF!),#REF!, " ")</f>
        <v xml:space="preserve"> </v>
      </c>
      <c r="E125" s="106" t="str">
        <f>IF(ISNUMBER(#REF!),#REF!, " ")</f>
        <v xml:space="preserve"> </v>
      </c>
      <c r="F125" s="106" t="str">
        <f>IF(ISNUMBER(#REF!),#REF!, " ")</f>
        <v xml:space="preserve"> </v>
      </c>
      <c r="G125" s="106" t="str">
        <f>IF(ISNUMBER(#REF!),#REF!, " ")</f>
        <v xml:space="preserve"> </v>
      </c>
      <c r="H125" s="106" t="str">
        <f>IF(ISNUMBER(#REF!),#REF!, " ")</f>
        <v xml:space="preserve"> </v>
      </c>
      <c r="I125" s="106" t="str">
        <f>IF(ISNUMBER(#REF!),#REF!, " ")</f>
        <v xml:space="preserve"> </v>
      </c>
      <c r="J125" s="106" t="str">
        <f>IF(ISNUMBER(#REF!),#REF!, " ")</f>
        <v xml:space="preserve"> </v>
      </c>
      <c r="K125" s="106" t="str">
        <f>IF(ISNUMBER(#REF!),#REF!, " ")</f>
        <v xml:space="preserve"> </v>
      </c>
      <c r="L125" s="106" t="str">
        <f>IF(ISNUMBER(#REF!),#REF!, " ")</f>
        <v xml:space="preserve"> </v>
      </c>
      <c r="M125" s="106" t="str">
        <f>IF(ISNUMBER(#REF!),#REF!, " ")</f>
        <v xml:space="preserve"> </v>
      </c>
      <c r="N125" s="106" t="str">
        <f>IF(ISNUMBER(#REF!),#REF!, " ")</f>
        <v xml:space="preserve"> </v>
      </c>
    </row>
    <row r="126" spans="1:14" ht="17.45" customHeight="1">
      <c r="B126" s="105" t="s">
        <v>96</v>
      </c>
      <c r="C126" s="106" t="str">
        <f>IF(ISNUMBER(#REF!),#REF!, " ")</f>
        <v xml:space="preserve"> </v>
      </c>
      <c r="D126" s="106" t="str">
        <f>IF(ISNUMBER(#REF!),#REF!, " ")</f>
        <v xml:space="preserve"> </v>
      </c>
      <c r="E126" s="106" t="str">
        <f>IF(ISNUMBER(#REF!),#REF!, " ")</f>
        <v xml:space="preserve"> </v>
      </c>
      <c r="F126" s="106" t="str">
        <f>IF(ISNUMBER(#REF!),#REF!, " ")</f>
        <v xml:space="preserve"> </v>
      </c>
      <c r="G126" s="106" t="str">
        <f>IF(ISNUMBER(#REF!),#REF!, " ")</f>
        <v xml:space="preserve"> </v>
      </c>
      <c r="H126" s="106" t="str">
        <f>IF(ISNUMBER(#REF!),#REF!, " ")</f>
        <v xml:space="preserve"> </v>
      </c>
      <c r="I126" s="106" t="str">
        <f>IF(ISNUMBER(#REF!),#REF!, " ")</f>
        <v xml:space="preserve"> </v>
      </c>
      <c r="J126" s="106" t="str">
        <f>IF(ISNUMBER(#REF!),#REF!, " ")</f>
        <v xml:space="preserve"> </v>
      </c>
      <c r="K126" s="106" t="str">
        <f>IF(ISNUMBER(#REF!),#REF!, " ")</f>
        <v xml:space="preserve"> </v>
      </c>
      <c r="L126" s="106" t="str">
        <f>IF(ISNUMBER(#REF!),#REF!, " ")</f>
        <v xml:space="preserve"> </v>
      </c>
      <c r="M126" s="106" t="str">
        <f>IF(ISNUMBER(#REF!),#REF!, " ")</f>
        <v xml:space="preserve"> </v>
      </c>
      <c r="N126" s="106" t="str">
        <f>IF(ISNUMBER(#REF!),#REF!, " ")</f>
        <v xml:space="preserve"> </v>
      </c>
    </row>
    <row r="127" spans="1:14" ht="17.45" customHeight="1">
      <c r="B127" s="105" t="s">
        <v>97</v>
      </c>
      <c r="C127" s="106" t="str">
        <f>IF(ISNUMBER(#REF!),#REF!, " ")</f>
        <v xml:space="preserve"> </v>
      </c>
      <c r="D127" s="106" t="str">
        <f>IF(ISNUMBER(#REF!),#REF!, " ")</f>
        <v xml:space="preserve"> </v>
      </c>
      <c r="E127" s="106" t="str">
        <f>IF(ISNUMBER(#REF!),#REF!, " ")</f>
        <v xml:space="preserve"> </v>
      </c>
      <c r="F127" s="106" t="str">
        <f>IF(ISNUMBER(#REF!),#REF!, " ")</f>
        <v xml:space="preserve"> </v>
      </c>
      <c r="G127" s="106" t="str">
        <f>IF(ISNUMBER(#REF!),#REF!, " ")</f>
        <v xml:space="preserve"> </v>
      </c>
      <c r="H127" s="106" t="str">
        <f>IF(ISNUMBER(#REF!),#REF!, " ")</f>
        <v xml:space="preserve"> </v>
      </c>
      <c r="I127" s="106" t="str">
        <f>IF(ISNUMBER(#REF!),#REF!, " ")</f>
        <v xml:space="preserve"> </v>
      </c>
      <c r="J127" s="106" t="str">
        <f>IF(ISNUMBER(#REF!),#REF!, " ")</f>
        <v xml:space="preserve"> </v>
      </c>
      <c r="K127" s="106" t="str">
        <f>IF(ISNUMBER(#REF!),#REF!, " ")</f>
        <v xml:space="preserve"> </v>
      </c>
      <c r="L127" s="106" t="str">
        <f>IF(ISNUMBER(#REF!),#REF!, " ")</f>
        <v xml:space="preserve"> </v>
      </c>
      <c r="M127" s="106" t="str">
        <f>IF(ISNUMBER(#REF!),#REF!, " ")</f>
        <v xml:space="preserve"> </v>
      </c>
      <c r="N127" s="106" t="str">
        <f>IF(ISNUMBER(#REF!),#REF!, " ")</f>
        <v xml:space="preserve"> </v>
      </c>
    </row>
    <row r="128" spans="1:14" ht="17.45" customHeight="1" thickBot="1">
      <c r="B128" s="105" t="s">
        <v>98</v>
      </c>
      <c r="C128" s="106" t="str">
        <f>IF(ISNUMBER(#REF!),#REF!, " ")</f>
        <v xml:space="preserve"> </v>
      </c>
      <c r="D128" s="106" t="str">
        <f>IF(ISNUMBER(#REF!),#REF!, " ")</f>
        <v xml:space="preserve"> </v>
      </c>
      <c r="E128" s="106" t="str">
        <f>IF(ISNUMBER(#REF!),#REF!, " ")</f>
        <v xml:space="preserve"> </v>
      </c>
      <c r="F128" s="106" t="str">
        <f>IF(ISNUMBER(#REF!),#REF!, " ")</f>
        <v xml:space="preserve"> </v>
      </c>
      <c r="G128" s="106" t="str">
        <f>IF(ISNUMBER(#REF!),#REF!, " ")</f>
        <v xml:space="preserve"> </v>
      </c>
      <c r="H128" s="106" t="str">
        <f>IF(ISNUMBER(#REF!),#REF!, " ")</f>
        <v xml:space="preserve"> </v>
      </c>
      <c r="I128" s="106" t="str">
        <f>IF(ISNUMBER(#REF!),#REF!, " ")</f>
        <v xml:space="preserve"> </v>
      </c>
      <c r="J128" s="106" t="str">
        <f>IF(ISNUMBER(#REF!),#REF!, " ")</f>
        <v xml:space="preserve"> </v>
      </c>
      <c r="K128" s="106" t="str">
        <f>IF(ISNUMBER(#REF!),#REF!, " ")</f>
        <v xml:space="preserve"> </v>
      </c>
      <c r="L128" s="106" t="str">
        <f>IF(ISNUMBER(#REF!),#REF!, " ")</f>
        <v xml:space="preserve"> </v>
      </c>
      <c r="M128" s="106" t="str">
        <f>IF(ISNUMBER(#REF!),#REF!, " ")</f>
        <v xml:space="preserve"> </v>
      </c>
      <c r="N128" s="106" t="str">
        <f>IF(ISNUMBER(#REF!),#REF!, " ")</f>
        <v xml:space="preserve"> </v>
      </c>
    </row>
    <row r="129" spans="1:16" ht="24.95" customHeight="1" thickBot="1">
      <c r="A129" s="150"/>
      <c r="B129" s="96" t="s">
        <v>83</v>
      </c>
      <c r="C129"/>
      <c r="D129" s="94" t="s">
        <v>99</v>
      </c>
      <c r="E129"/>
      <c r="F129"/>
      <c r="G129" s="142" t="s">
        <v>88</v>
      </c>
      <c r="H129" s="185"/>
      <c r="I129"/>
      <c r="J129"/>
    </row>
    <row r="130" spans="1:16" ht="24.95" customHeight="1">
      <c r="A130"/>
      <c r="B130"/>
      <c r="C130"/>
      <c r="D130" s="107" t="s">
        <v>100</v>
      </c>
      <c r="E130" s="348" t="str">
        <f>IF($H$168&gt;0,CONCATENATE($H$168," cycles"),"___cycles")</f>
        <v>___cycles</v>
      </c>
      <c r="F130"/>
      <c r="G130"/>
      <c r="H130"/>
      <c r="I130"/>
      <c r="J130"/>
    </row>
    <row r="131" spans="1:16" ht="24.95" customHeight="1">
      <c r="A131"/>
      <c r="B131"/>
      <c r="C131"/>
      <c r="D131" s="107" t="s">
        <v>101</v>
      </c>
      <c r="E131" s="349"/>
      <c r="F131"/>
      <c r="G131"/>
      <c r="H131"/>
      <c r="I131"/>
      <c r="J131"/>
    </row>
    <row r="132" spans="1:16" ht="24.95" customHeight="1">
      <c r="A132"/>
      <c r="B132"/>
      <c r="C132"/>
      <c r="D132" s="107" t="s">
        <v>102</v>
      </c>
      <c r="E132" s="350"/>
      <c r="F132"/>
      <c r="G132"/>
      <c r="H132"/>
      <c r="I132"/>
      <c r="J132"/>
    </row>
    <row r="133" spans="1:16" ht="24.95" customHeight="1" thickBot="1">
      <c r="A133"/>
      <c r="B133"/>
      <c r="C133"/>
      <c r="D133" s="94" t="s">
        <v>103</v>
      </c>
      <c r="E133"/>
      <c r="F133"/>
      <c r="G133"/>
      <c r="H133"/>
      <c r="I133"/>
      <c r="J133"/>
    </row>
    <row r="134" spans="1:16" ht="24.95" customHeight="1" thickBot="1">
      <c r="A134" s="150"/>
      <c r="B134" s="96" t="s">
        <v>380</v>
      </c>
      <c r="C134"/>
      <c r="D134"/>
      <c r="E134"/>
      <c r="F134"/>
      <c r="G134"/>
      <c r="H134"/>
      <c r="I134"/>
      <c r="J134"/>
    </row>
    <row r="135" spans="1:16" ht="26.1" customHeight="1" thickBot="1">
      <c r="A135"/>
      <c r="B135" s="324" t="s">
        <v>381</v>
      </c>
      <c r="C135" s="325"/>
      <c r="D135" s="325"/>
      <c r="E135" s="325"/>
      <c r="F135" s="325"/>
      <c r="G135" s="325"/>
      <c r="H135" s="325"/>
      <c r="I135" s="325"/>
      <c r="J135" s="325"/>
      <c r="K135" s="325"/>
      <c r="L135" s="325"/>
      <c r="M135" s="326"/>
      <c r="N135"/>
      <c r="O135"/>
      <c r="P135"/>
    </row>
    <row r="136" spans="1:16" ht="24.95" customHeight="1" thickBot="1">
      <c r="A136" s="150"/>
      <c r="B136" s="96" t="s">
        <v>234</v>
      </c>
      <c r="C136"/>
      <c r="D136"/>
      <c r="E136"/>
      <c r="F136"/>
      <c r="G136"/>
      <c r="H136"/>
      <c r="I136"/>
      <c r="J136"/>
    </row>
    <row r="137" spans="1:16" ht="24.95" customHeight="1" thickBot="1">
      <c r="A137" s="150"/>
      <c r="B137" s="96" t="s">
        <v>235</v>
      </c>
      <c r="C137"/>
      <c r="D137"/>
      <c r="E137"/>
      <c r="F137"/>
      <c r="G137"/>
      <c r="H137"/>
      <c r="I137"/>
      <c r="J137"/>
    </row>
    <row r="138" spans="1:16" ht="36" customHeight="1" thickBot="1">
      <c r="A138"/>
      <c r="B138"/>
      <c r="C138"/>
      <c r="D138"/>
      <c r="E138" s="176" t="s">
        <v>71</v>
      </c>
      <c r="F138" s="98" t="str">
        <f>CONCATENATE(" Volume for ",$E$12," samples")</f>
        <v xml:space="preserve"> Volume for  samples</v>
      </c>
      <c r="J138"/>
      <c r="K138"/>
      <c r="L138"/>
      <c r="M138"/>
      <c r="N138"/>
      <c r="O138"/>
      <c r="P138"/>
    </row>
    <row r="139" spans="1:16" ht="26.1" customHeight="1" thickBot="1">
      <c r="A139" s="150"/>
      <c r="B139" s="151" t="s">
        <v>72</v>
      </c>
      <c r="C139" s="186"/>
      <c r="D139" s="133" t="s">
        <v>236</v>
      </c>
      <c r="E139" s="155">
        <v>5</v>
      </c>
      <c r="F139" s="156">
        <f>E139*$E$12*1.1</f>
        <v>0</v>
      </c>
      <c r="G139" s="143" t="s">
        <v>73</v>
      </c>
      <c r="J139"/>
      <c r="K139"/>
      <c r="L139"/>
      <c r="M139"/>
      <c r="N139"/>
      <c r="O139"/>
      <c r="P139"/>
    </row>
    <row r="140" spans="1:16" ht="26.1" customHeight="1" thickBot="1">
      <c r="A140"/>
      <c r="B140"/>
      <c r="C140" s="187"/>
      <c r="D140" s="181" t="s">
        <v>237</v>
      </c>
      <c r="E140" s="178">
        <v>10</v>
      </c>
      <c r="F140" s="163">
        <f>E140*$E$12*1.1</f>
        <v>0</v>
      </c>
      <c r="G140" s="164" t="s">
        <v>73</v>
      </c>
      <c r="J140"/>
      <c r="K140"/>
      <c r="L140"/>
      <c r="M140"/>
      <c r="N140"/>
      <c r="O140"/>
      <c r="P140"/>
    </row>
    <row r="141" spans="1:16" ht="21.6" customHeight="1" thickBot="1">
      <c r="A141"/>
      <c r="B141"/>
      <c r="C141"/>
      <c r="D141"/>
      <c r="E141" s="172">
        <f>SUM(E139:E140)</f>
        <v>15</v>
      </c>
      <c r="F141" s="172">
        <f>SUM(F139:F140)</f>
        <v>0</v>
      </c>
      <c r="G141" s="167" t="s">
        <v>73</v>
      </c>
      <c r="H141" s="179" t="s">
        <v>75</v>
      </c>
      <c r="I141" s="179"/>
      <c r="J141"/>
      <c r="K141"/>
      <c r="L141"/>
      <c r="M141"/>
      <c r="N141"/>
      <c r="O141"/>
      <c r="P141"/>
    </row>
    <row r="142" spans="1:16" ht="21.6" customHeight="1" thickBot="1">
      <c r="A142" s="150"/>
      <c r="B142" s="96" t="s">
        <v>83</v>
      </c>
      <c r="C142"/>
      <c r="D142" s="94" t="s">
        <v>238</v>
      </c>
      <c r="E142"/>
      <c r="F142"/>
      <c r="G142"/>
      <c r="H142"/>
      <c r="I142"/>
      <c r="J142"/>
      <c r="K142"/>
      <c r="L142"/>
      <c r="M142"/>
      <c r="N142"/>
      <c r="O142"/>
      <c r="P142"/>
    </row>
    <row r="143" spans="1:16" ht="21.6" customHeight="1">
      <c r="A143"/>
      <c r="B143"/>
      <c r="C143"/>
      <c r="D143" s="94" t="s">
        <v>239</v>
      </c>
      <c r="E143"/>
      <c r="F143"/>
      <c r="G143"/>
      <c r="H143"/>
      <c r="I143"/>
      <c r="J143"/>
      <c r="K143"/>
      <c r="L143"/>
      <c r="M143"/>
      <c r="N143"/>
      <c r="O143"/>
      <c r="P143"/>
    </row>
    <row r="144" spans="1:16" ht="21.6" customHeight="1">
      <c r="A144"/>
      <c r="B144"/>
      <c r="C144"/>
      <c r="D144" s="94" t="s">
        <v>240</v>
      </c>
      <c r="E144"/>
      <c r="F144"/>
      <c r="G144"/>
      <c r="H144"/>
      <c r="I144"/>
      <c r="J144"/>
      <c r="K144"/>
      <c r="L144"/>
      <c r="M144"/>
      <c r="N144"/>
      <c r="O144"/>
      <c r="P144"/>
    </row>
    <row r="145" spans="1:16" ht="21.6" customHeight="1" thickBot="1">
      <c r="A145"/>
      <c r="B145"/>
      <c r="C145"/>
      <c r="D145" s="94" t="s">
        <v>241</v>
      </c>
      <c r="E145"/>
      <c r="F145"/>
      <c r="G145"/>
      <c r="H145"/>
      <c r="I145"/>
      <c r="J145"/>
      <c r="K145"/>
      <c r="L145"/>
      <c r="M145"/>
      <c r="N145"/>
      <c r="O145"/>
      <c r="P145"/>
    </row>
    <row r="146" spans="1:16" ht="24.95" customHeight="1" thickBot="1">
      <c r="A146" s="150"/>
      <c r="B146" s="387" t="s">
        <v>242</v>
      </c>
      <c r="C146" s="387"/>
      <c r="D146" s="387"/>
      <c r="E146" s="387"/>
      <c r="F146" s="387"/>
      <c r="G146" s="387"/>
      <c r="H146" s="387"/>
      <c r="I146" s="387"/>
      <c r="J146"/>
      <c r="K146" s="103" t="s">
        <v>243</v>
      </c>
    </row>
    <row r="147" spans="1:16" ht="17.45" customHeight="1" thickBot="1">
      <c r="A147"/>
      <c r="B147" s="387"/>
      <c r="C147" s="387"/>
      <c r="D147" s="387"/>
      <c r="E147" s="387"/>
      <c r="F147" s="387"/>
      <c r="G147" s="387"/>
      <c r="H147" s="387"/>
      <c r="I147" s="387"/>
      <c r="J147"/>
      <c r="K147"/>
      <c r="L147"/>
      <c r="M147"/>
      <c r="N147"/>
      <c r="O147"/>
      <c r="P147"/>
    </row>
    <row r="148" spans="1:16" ht="24.95" customHeight="1" thickBot="1">
      <c r="A148" s="150"/>
      <c r="B148" s="96" t="s">
        <v>244</v>
      </c>
      <c r="C148"/>
      <c r="D148"/>
      <c r="E148"/>
      <c r="F148"/>
      <c r="G148"/>
      <c r="H148"/>
      <c r="I148"/>
      <c r="J148"/>
    </row>
    <row r="149" spans="1:16" ht="33" customHeight="1" thickBot="1">
      <c r="A149"/>
      <c r="B149"/>
      <c r="C149"/>
      <c r="D149"/>
      <c r="E149" s="176" t="s">
        <v>71</v>
      </c>
      <c r="F149" s="98" t="str">
        <f>CONCATENATE(" Volume for ",$E$12," samples")</f>
        <v xml:space="preserve"> Volume for  samples</v>
      </c>
      <c r="I149"/>
      <c r="J149"/>
      <c r="K149"/>
      <c r="L149"/>
      <c r="M149"/>
      <c r="N149"/>
      <c r="O149"/>
      <c r="P149"/>
    </row>
    <row r="150" spans="1:16" ht="26.1" customHeight="1" thickBot="1">
      <c r="A150" s="150"/>
      <c r="B150" s="96" t="s">
        <v>245</v>
      </c>
      <c r="C150" s="186"/>
      <c r="D150" s="133" t="s">
        <v>340</v>
      </c>
      <c r="E150" s="155">
        <v>40</v>
      </c>
      <c r="F150" s="156">
        <f>E150*$E$12*1.1</f>
        <v>0</v>
      </c>
      <c r="G150" s="143" t="s">
        <v>73</v>
      </c>
      <c r="I150"/>
      <c r="J150"/>
      <c r="K150"/>
      <c r="L150"/>
      <c r="M150"/>
      <c r="N150"/>
      <c r="O150"/>
      <c r="P150"/>
    </row>
    <row r="151" spans="1:16" ht="26.1" customHeight="1">
      <c r="A151" s="149"/>
      <c r="B151" s="151"/>
      <c r="C151" s="186"/>
      <c r="D151" s="133" t="s">
        <v>246</v>
      </c>
      <c r="E151" s="159">
        <v>10</v>
      </c>
      <c r="F151" s="156">
        <f>E151*$E$12*1.1</f>
        <v>0</v>
      </c>
      <c r="G151" s="143" t="s">
        <v>73</v>
      </c>
      <c r="I151"/>
      <c r="J151"/>
      <c r="K151"/>
      <c r="L151"/>
      <c r="M151"/>
      <c r="N151"/>
      <c r="O151"/>
      <c r="P151"/>
    </row>
    <row r="152" spans="1:16" ht="26.25" customHeight="1" thickBot="1">
      <c r="A152"/>
      <c r="B152"/>
      <c r="C152"/>
      <c r="D152"/>
      <c r="E152" s="172">
        <f>SUM(E150:E151)</f>
        <v>50</v>
      </c>
      <c r="F152" s="172">
        <f>SUM(F150:F151)</f>
        <v>0</v>
      </c>
      <c r="G152" s="167" t="s">
        <v>73</v>
      </c>
      <c r="H152" s="179" t="s">
        <v>75</v>
      </c>
    </row>
    <row r="153" spans="1:16" ht="20.45" customHeight="1" thickBot="1">
      <c r="A153" s="150"/>
      <c r="B153" s="96" t="s">
        <v>83</v>
      </c>
      <c r="C153"/>
      <c r="D153" s="94" t="s">
        <v>247</v>
      </c>
      <c r="G153" s="146"/>
      <c r="H153" s="179"/>
    </row>
    <row r="154" spans="1:16" ht="20.45" customHeight="1" thickBot="1">
      <c r="A154"/>
      <c r="B154"/>
      <c r="C154"/>
      <c r="D154" s="94" t="s">
        <v>238</v>
      </c>
      <c r="G154" s="146"/>
      <c r="H154" s="179"/>
    </row>
    <row r="155" spans="1:16" ht="24.95" customHeight="1" thickBot="1">
      <c r="A155" s="150"/>
      <c r="B155" s="96" t="s">
        <v>248</v>
      </c>
      <c r="C155"/>
      <c r="D155"/>
      <c r="E155"/>
      <c r="F155"/>
      <c r="G155"/>
      <c r="H155"/>
      <c r="I155"/>
      <c r="J155"/>
    </row>
    <row r="156" spans="1:16" ht="24.95" customHeight="1" thickBot="1">
      <c r="A156" s="150"/>
      <c r="B156" s="96" t="s">
        <v>249</v>
      </c>
      <c r="C156"/>
      <c r="D156"/>
      <c r="E156"/>
      <c r="F156"/>
      <c r="G156"/>
      <c r="H156"/>
      <c r="I156"/>
      <c r="J156"/>
    </row>
    <row r="157" spans="1:16" ht="24.95" customHeight="1" thickBot="1">
      <c r="A157" s="150"/>
      <c r="B157" s="96" t="str">
        <f>CONCATENATE("Add 20 µL of indexes of the plate ", L2)</f>
        <v>Add 20 µL of indexes of the plate TT Set A</v>
      </c>
      <c r="C157"/>
      <c r="D157"/>
      <c r="E157"/>
      <c r="F157"/>
      <c r="G157"/>
      <c r="H157"/>
      <c r="I157"/>
      <c r="J157"/>
    </row>
    <row r="158" spans="1:16" ht="24.95" customHeight="1" thickBot="1">
      <c r="A158" s="188"/>
      <c r="B158" s="179" t="s">
        <v>89</v>
      </c>
      <c r="G158" s="141" t="s">
        <v>90</v>
      </c>
      <c r="H158" s="185"/>
    </row>
    <row r="159" spans="1:16" ht="24.95" customHeight="1">
      <c r="A159" s="149"/>
      <c r="B159" s="189"/>
      <c r="C159" s="104">
        <v>1</v>
      </c>
      <c r="D159" s="104">
        <v>2</v>
      </c>
      <c r="E159" s="104">
        <v>3</v>
      </c>
      <c r="F159" s="104">
        <v>4</v>
      </c>
      <c r="G159" s="104">
        <v>5</v>
      </c>
      <c r="H159" s="104">
        <v>6</v>
      </c>
      <c r="I159" s="104">
        <v>7</v>
      </c>
      <c r="J159" s="104">
        <v>8</v>
      </c>
      <c r="K159" s="104">
        <v>9</v>
      </c>
      <c r="L159" s="104">
        <v>10</v>
      </c>
      <c r="M159" s="104">
        <v>11</v>
      </c>
      <c r="N159" s="104">
        <v>12</v>
      </c>
    </row>
    <row r="160" spans="1:16" ht="17.45" customHeight="1">
      <c r="A160" s="149"/>
      <c r="B160" s="105" t="s">
        <v>91</v>
      </c>
      <c r="C160" s="106" t="str">
        <f>IF(ISNUMBER(#REF!),#REF!, " ")</f>
        <v xml:space="preserve"> </v>
      </c>
      <c r="D160" s="106" t="str">
        <f>IF(ISNUMBER(#REF!),#REF!, " ")</f>
        <v xml:space="preserve"> </v>
      </c>
      <c r="E160" s="106" t="str">
        <f>IF(ISNUMBER(#REF!),#REF!, " ")</f>
        <v xml:space="preserve"> </v>
      </c>
      <c r="F160" s="106" t="str">
        <f>IF(ISNUMBER(#REF!),#REF!, " ")</f>
        <v xml:space="preserve"> </v>
      </c>
      <c r="G160" s="106" t="str">
        <f>IF(ISNUMBER(#REF!),#REF!, " ")</f>
        <v xml:space="preserve"> </v>
      </c>
      <c r="H160" s="106" t="str">
        <f>IF(ISNUMBER(#REF!),#REF!, " ")</f>
        <v xml:space="preserve"> </v>
      </c>
      <c r="I160" s="106" t="str">
        <f>IF(ISNUMBER(#REF!),#REF!, " ")</f>
        <v xml:space="preserve"> </v>
      </c>
      <c r="J160" s="106" t="str">
        <f>IF(ISNUMBER(#REF!),#REF!, " ")</f>
        <v xml:space="preserve"> </v>
      </c>
      <c r="K160" s="106" t="str">
        <f>IF(ISNUMBER(#REF!),#REF!, " ")</f>
        <v xml:space="preserve"> </v>
      </c>
      <c r="L160" s="106" t="str">
        <f>IF(ISNUMBER(#REF!),#REF!, " ")</f>
        <v xml:space="preserve"> </v>
      </c>
      <c r="M160" s="106" t="str">
        <f>IF(ISNUMBER(#REF!),#REF!, " ")</f>
        <v xml:space="preserve"> </v>
      </c>
      <c r="N160" s="106" t="str">
        <f>IF(ISNUMBER(#REF!),#REF!, " ")</f>
        <v xml:space="preserve"> </v>
      </c>
    </row>
    <row r="161" spans="1:14" ht="17.45" customHeight="1">
      <c r="B161" s="105" t="s">
        <v>92</v>
      </c>
      <c r="C161" s="106" t="str">
        <f>IF(ISNUMBER(#REF!),#REF!, " ")</f>
        <v xml:space="preserve"> </v>
      </c>
      <c r="D161" s="106" t="str">
        <f>IF(ISNUMBER(#REF!),#REF!, " ")</f>
        <v xml:space="preserve"> </v>
      </c>
      <c r="E161" s="106" t="str">
        <f>IF(ISNUMBER(#REF!),#REF!, " ")</f>
        <v xml:space="preserve"> </v>
      </c>
      <c r="F161" s="106" t="str">
        <f>IF(ISNUMBER(#REF!),#REF!, " ")</f>
        <v xml:space="preserve"> </v>
      </c>
      <c r="G161" s="106" t="str">
        <f>IF(ISNUMBER(#REF!),#REF!, " ")</f>
        <v xml:space="preserve"> </v>
      </c>
      <c r="H161" s="106" t="str">
        <f>IF(ISNUMBER(#REF!),#REF!, " ")</f>
        <v xml:space="preserve"> </v>
      </c>
      <c r="I161" s="106" t="str">
        <f>IF(ISNUMBER(#REF!),#REF!, " ")</f>
        <v xml:space="preserve"> </v>
      </c>
      <c r="J161" s="106" t="str">
        <f>IF(ISNUMBER(#REF!),#REF!, " ")</f>
        <v xml:space="preserve"> </v>
      </c>
      <c r="K161" s="106" t="str">
        <f>IF(ISNUMBER(#REF!),#REF!, " ")</f>
        <v xml:space="preserve"> </v>
      </c>
      <c r="L161" s="106" t="str">
        <f>IF(ISNUMBER(#REF!),#REF!, " ")</f>
        <v xml:space="preserve"> </v>
      </c>
      <c r="M161" s="106" t="str">
        <f>IF(ISNUMBER(#REF!),#REF!, " ")</f>
        <v xml:space="preserve"> </v>
      </c>
      <c r="N161" s="106" t="str">
        <f>IF(ISNUMBER(#REF!),#REF!, " ")</f>
        <v xml:space="preserve"> </v>
      </c>
    </row>
    <row r="162" spans="1:14" ht="17.45" customHeight="1">
      <c r="B162" s="105" t="s">
        <v>93</v>
      </c>
      <c r="C162" s="106" t="str">
        <f>IF(ISNUMBER(#REF!),#REF!, " ")</f>
        <v xml:space="preserve"> </v>
      </c>
      <c r="D162" s="106" t="str">
        <f>IF(ISNUMBER(#REF!),#REF!, " ")</f>
        <v xml:space="preserve"> </v>
      </c>
      <c r="E162" s="106" t="str">
        <f>IF(ISNUMBER(#REF!),#REF!, " ")</f>
        <v xml:space="preserve"> </v>
      </c>
      <c r="F162" s="106" t="str">
        <f>IF(ISNUMBER(#REF!),#REF!, " ")</f>
        <v xml:space="preserve"> </v>
      </c>
      <c r="G162" s="106" t="str">
        <f>IF(ISNUMBER(#REF!),#REF!, " ")</f>
        <v xml:space="preserve"> </v>
      </c>
      <c r="H162" s="106" t="str">
        <f>IF(ISNUMBER(#REF!),#REF!, " ")</f>
        <v xml:space="preserve"> </v>
      </c>
      <c r="I162" s="106" t="str">
        <f>IF(ISNUMBER(#REF!),#REF!, " ")</f>
        <v xml:space="preserve"> </v>
      </c>
      <c r="J162" s="106" t="str">
        <f>IF(ISNUMBER(#REF!),#REF!, " ")</f>
        <v xml:space="preserve"> </v>
      </c>
      <c r="K162" s="106" t="str">
        <f>IF(ISNUMBER(#REF!),#REF!, " ")</f>
        <v xml:space="preserve"> </v>
      </c>
      <c r="L162" s="106" t="str">
        <f>IF(ISNUMBER(#REF!),#REF!, " ")</f>
        <v xml:space="preserve"> </v>
      </c>
      <c r="M162" s="106" t="str">
        <f>IF(ISNUMBER(#REF!),#REF!, " ")</f>
        <v xml:space="preserve"> </v>
      </c>
      <c r="N162" s="106" t="str">
        <f>IF(ISNUMBER(#REF!),#REF!, " ")</f>
        <v xml:space="preserve"> </v>
      </c>
    </row>
    <row r="163" spans="1:14" ht="17.45" customHeight="1">
      <c r="B163" s="105" t="s">
        <v>94</v>
      </c>
      <c r="C163" s="106" t="str">
        <f>IF(ISNUMBER(#REF!),#REF!, " ")</f>
        <v xml:space="preserve"> </v>
      </c>
      <c r="D163" s="106" t="str">
        <f>IF(ISNUMBER(#REF!),#REF!, " ")</f>
        <v xml:space="preserve"> </v>
      </c>
      <c r="E163" s="106" t="str">
        <f>IF(ISNUMBER(#REF!),#REF!, " ")</f>
        <v xml:space="preserve"> </v>
      </c>
      <c r="F163" s="106" t="str">
        <f>IF(ISNUMBER(#REF!),#REF!, " ")</f>
        <v xml:space="preserve"> </v>
      </c>
      <c r="G163" s="106" t="str">
        <f>IF(ISNUMBER(#REF!),#REF!, " ")</f>
        <v xml:space="preserve"> </v>
      </c>
      <c r="H163" s="106" t="str">
        <f>IF(ISNUMBER(#REF!),#REF!, " ")</f>
        <v xml:space="preserve"> </v>
      </c>
      <c r="I163" s="106" t="str">
        <f>IF(ISNUMBER(#REF!),#REF!, " ")</f>
        <v xml:space="preserve"> </v>
      </c>
      <c r="J163" s="106" t="str">
        <f>IF(ISNUMBER(#REF!),#REF!, " ")</f>
        <v xml:space="preserve"> </v>
      </c>
      <c r="K163" s="106" t="str">
        <f>IF(ISNUMBER(#REF!),#REF!, " ")</f>
        <v xml:space="preserve"> </v>
      </c>
      <c r="L163" s="106" t="str">
        <f>IF(ISNUMBER(#REF!),#REF!, " ")</f>
        <v xml:space="preserve"> </v>
      </c>
      <c r="M163" s="106" t="str">
        <f>IF(ISNUMBER(#REF!),#REF!, " ")</f>
        <v xml:space="preserve"> </v>
      </c>
      <c r="N163" s="106" t="str">
        <f>IF(ISNUMBER(#REF!),#REF!, " ")</f>
        <v xml:space="preserve"> </v>
      </c>
    </row>
    <row r="164" spans="1:14" ht="17.45" customHeight="1">
      <c r="B164" s="105" t="s">
        <v>95</v>
      </c>
      <c r="C164" s="106" t="str">
        <f>IF(ISNUMBER(#REF!),#REF!, " ")</f>
        <v xml:space="preserve"> </v>
      </c>
      <c r="D164" s="106" t="str">
        <f>IF(ISNUMBER(#REF!),#REF!, " ")</f>
        <v xml:space="preserve"> </v>
      </c>
      <c r="E164" s="106" t="str">
        <f>IF(ISNUMBER(#REF!),#REF!, " ")</f>
        <v xml:space="preserve"> </v>
      </c>
      <c r="F164" s="106" t="str">
        <f>IF(ISNUMBER(#REF!),#REF!, " ")</f>
        <v xml:space="preserve"> </v>
      </c>
      <c r="G164" s="106" t="str">
        <f>IF(ISNUMBER(#REF!),#REF!, " ")</f>
        <v xml:space="preserve"> </v>
      </c>
      <c r="H164" s="106" t="str">
        <f>IF(ISNUMBER(#REF!),#REF!, " ")</f>
        <v xml:space="preserve"> </v>
      </c>
      <c r="I164" s="106" t="str">
        <f>IF(ISNUMBER(#REF!),#REF!, " ")</f>
        <v xml:space="preserve"> </v>
      </c>
      <c r="J164" s="106" t="str">
        <f>IF(ISNUMBER(#REF!),#REF!, " ")</f>
        <v xml:space="preserve"> </v>
      </c>
      <c r="K164" s="106" t="str">
        <f>IF(ISNUMBER(#REF!),#REF!, " ")</f>
        <v xml:space="preserve"> </v>
      </c>
      <c r="L164" s="106" t="str">
        <f>IF(ISNUMBER(#REF!),#REF!, " ")</f>
        <v xml:space="preserve"> </v>
      </c>
      <c r="M164" s="106" t="str">
        <f>IF(ISNUMBER(#REF!),#REF!, " ")</f>
        <v xml:space="preserve"> </v>
      </c>
      <c r="N164" s="106" t="str">
        <f>IF(ISNUMBER(#REF!),#REF!, " ")</f>
        <v xml:space="preserve"> </v>
      </c>
    </row>
    <row r="165" spans="1:14" ht="17.45" customHeight="1">
      <c r="B165" s="105" t="s">
        <v>96</v>
      </c>
      <c r="C165" s="106" t="str">
        <f>IF(ISNUMBER(#REF!),#REF!, " ")</f>
        <v xml:space="preserve"> </v>
      </c>
      <c r="D165" s="106" t="str">
        <f>IF(ISNUMBER(#REF!),#REF!, " ")</f>
        <v xml:space="preserve"> </v>
      </c>
      <c r="E165" s="106" t="str">
        <f>IF(ISNUMBER(#REF!),#REF!, " ")</f>
        <v xml:space="preserve"> </v>
      </c>
      <c r="F165" s="106" t="str">
        <f>IF(ISNUMBER(#REF!),#REF!, " ")</f>
        <v xml:space="preserve"> </v>
      </c>
      <c r="G165" s="106" t="str">
        <f>IF(ISNUMBER(#REF!),#REF!, " ")</f>
        <v xml:space="preserve"> </v>
      </c>
      <c r="H165" s="106" t="str">
        <f>IF(ISNUMBER(#REF!),#REF!, " ")</f>
        <v xml:space="preserve"> </v>
      </c>
      <c r="I165" s="106" t="str">
        <f>IF(ISNUMBER(#REF!),#REF!, " ")</f>
        <v xml:space="preserve"> </v>
      </c>
      <c r="J165" s="106" t="str">
        <f>IF(ISNUMBER(#REF!),#REF!, " ")</f>
        <v xml:space="preserve"> </v>
      </c>
      <c r="K165" s="106" t="str">
        <f>IF(ISNUMBER(#REF!),#REF!, " ")</f>
        <v xml:space="preserve"> </v>
      </c>
      <c r="L165" s="106" t="str">
        <f>IF(ISNUMBER(#REF!),#REF!, " ")</f>
        <v xml:space="preserve"> </v>
      </c>
      <c r="M165" s="106" t="str">
        <f>IF(ISNUMBER(#REF!),#REF!, " ")</f>
        <v xml:space="preserve"> </v>
      </c>
      <c r="N165" s="106" t="str">
        <f>IF(ISNUMBER(#REF!),#REF!, " ")</f>
        <v xml:space="preserve"> </v>
      </c>
    </row>
    <row r="166" spans="1:14" ht="17.45" customHeight="1">
      <c r="B166" s="105" t="s">
        <v>97</v>
      </c>
      <c r="C166" s="106" t="str">
        <f>IF(ISNUMBER(#REF!),#REF!, " ")</f>
        <v xml:space="preserve"> </v>
      </c>
      <c r="D166" s="106" t="str">
        <f>IF(ISNUMBER(#REF!),#REF!, " ")</f>
        <v xml:space="preserve"> </v>
      </c>
      <c r="E166" s="106" t="str">
        <f>IF(ISNUMBER(#REF!),#REF!, " ")</f>
        <v xml:space="preserve"> </v>
      </c>
      <c r="F166" s="106" t="str">
        <f>IF(ISNUMBER(#REF!),#REF!, " ")</f>
        <v xml:space="preserve"> </v>
      </c>
      <c r="G166" s="106" t="str">
        <f>IF(ISNUMBER(#REF!),#REF!, " ")</f>
        <v xml:space="preserve"> </v>
      </c>
      <c r="H166" s="106" t="str">
        <f>IF(ISNUMBER(#REF!),#REF!, " ")</f>
        <v xml:space="preserve"> </v>
      </c>
      <c r="I166" s="106" t="str">
        <f>IF(ISNUMBER(#REF!),#REF!, " ")</f>
        <v xml:space="preserve"> </v>
      </c>
      <c r="J166" s="106" t="str">
        <f>IF(ISNUMBER(#REF!),#REF!, " ")</f>
        <v xml:space="preserve"> </v>
      </c>
      <c r="K166" s="106" t="str">
        <f>IF(ISNUMBER(#REF!),#REF!, " ")</f>
        <v xml:space="preserve"> </v>
      </c>
      <c r="L166" s="106" t="str">
        <f>IF(ISNUMBER(#REF!),#REF!, " ")</f>
        <v xml:space="preserve"> </v>
      </c>
      <c r="M166" s="106" t="str">
        <f>IF(ISNUMBER(#REF!),#REF!, " ")</f>
        <v xml:space="preserve"> </v>
      </c>
      <c r="N166" s="106" t="str">
        <f>IF(ISNUMBER(#REF!),#REF!, " ")</f>
        <v xml:space="preserve"> </v>
      </c>
    </row>
    <row r="167" spans="1:14" ht="17.45" customHeight="1" thickBot="1">
      <c r="B167" s="105" t="s">
        <v>98</v>
      </c>
      <c r="C167" s="106" t="str">
        <f>IF(ISNUMBER(#REF!),#REF!, " ")</f>
        <v xml:space="preserve"> </v>
      </c>
      <c r="D167" s="106" t="str">
        <f>IF(ISNUMBER(#REF!),#REF!, " ")</f>
        <v xml:space="preserve"> </v>
      </c>
      <c r="E167" s="106" t="str">
        <f>IF(ISNUMBER(#REF!),#REF!, " ")</f>
        <v xml:space="preserve"> </v>
      </c>
      <c r="F167" s="106" t="str">
        <f>IF(ISNUMBER(#REF!),#REF!, " ")</f>
        <v xml:space="preserve"> </v>
      </c>
      <c r="G167" s="106" t="str">
        <f>IF(ISNUMBER(#REF!),#REF!, " ")</f>
        <v xml:space="preserve"> </v>
      </c>
      <c r="H167" s="106" t="str">
        <f>IF(ISNUMBER(#REF!),#REF!, " ")</f>
        <v xml:space="preserve"> </v>
      </c>
      <c r="I167" s="106" t="str">
        <f>IF(ISNUMBER(#REF!),#REF!, " ")</f>
        <v xml:space="preserve"> </v>
      </c>
      <c r="J167" s="106" t="str">
        <f>IF(ISNUMBER(#REF!),#REF!, " ")</f>
        <v xml:space="preserve"> </v>
      </c>
      <c r="K167" s="106" t="str">
        <f>IF(ISNUMBER(#REF!),#REF!, " ")</f>
        <v xml:space="preserve"> </v>
      </c>
      <c r="L167" s="106" t="str">
        <f>IF(ISNUMBER(#REF!),#REF!, " ")</f>
        <v xml:space="preserve"> </v>
      </c>
      <c r="M167" s="106" t="str">
        <f>IF(ISNUMBER(#REF!),#REF!, " ")</f>
        <v xml:space="preserve"> </v>
      </c>
      <c r="N167" s="106" t="str">
        <f>IF(ISNUMBER(#REF!),#REF!, " ")</f>
        <v xml:space="preserve"> </v>
      </c>
    </row>
    <row r="168" spans="1:14" ht="24.95" customHeight="1" thickBot="1">
      <c r="A168" s="150"/>
      <c r="B168" s="96" t="s">
        <v>83</v>
      </c>
      <c r="C168"/>
      <c r="D168" s="94" t="s">
        <v>99</v>
      </c>
      <c r="E168"/>
      <c r="F168"/>
      <c r="G168" s="142" t="s">
        <v>88</v>
      </c>
      <c r="H168" s="185"/>
      <c r="I168"/>
      <c r="J168"/>
    </row>
    <row r="169" spans="1:14" ht="24.95" customHeight="1">
      <c r="A169"/>
      <c r="B169"/>
      <c r="C169"/>
      <c r="D169" s="107" t="s">
        <v>100</v>
      </c>
      <c r="E169" s="348" t="str">
        <f>IF($H$168&gt;0,CONCATENATE($H$168," cycles"),"___cycles")</f>
        <v>___cycles</v>
      </c>
      <c r="F169"/>
      <c r="G169"/>
      <c r="H169"/>
      <c r="I169"/>
      <c r="J169"/>
    </row>
    <row r="170" spans="1:14" ht="24.95" customHeight="1">
      <c r="A170"/>
      <c r="B170"/>
      <c r="C170"/>
      <c r="D170" s="107" t="s">
        <v>101</v>
      </c>
      <c r="E170" s="349"/>
      <c r="F170"/>
      <c r="G170"/>
      <c r="H170"/>
      <c r="I170"/>
      <c r="J170"/>
    </row>
    <row r="171" spans="1:14" ht="24.95" customHeight="1">
      <c r="A171"/>
      <c r="B171"/>
      <c r="C171"/>
      <c r="D171" s="107" t="s">
        <v>102</v>
      </c>
      <c r="E171" s="350"/>
      <c r="F171"/>
      <c r="G171"/>
      <c r="H171"/>
      <c r="I171"/>
      <c r="J171"/>
    </row>
    <row r="172" spans="1:14" ht="24.95" customHeight="1" thickBot="1">
      <c r="A172"/>
      <c r="B172"/>
      <c r="C172"/>
      <c r="D172" s="94" t="s">
        <v>103</v>
      </c>
      <c r="E172"/>
      <c r="F172"/>
      <c r="G172"/>
      <c r="H172"/>
      <c r="I172"/>
      <c r="J172"/>
    </row>
    <row r="173" spans="1:14" ht="24.95" customHeight="1" thickBot="1">
      <c r="A173" s="150"/>
      <c r="B173" s="386" t="s">
        <v>250</v>
      </c>
      <c r="C173" s="387"/>
      <c r="D173" s="387"/>
      <c r="E173" s="387"/>
      <c r="F173" s="387"/>
      <c r="G173" s="387"/>
      <c r="H173" s="387"/>
      <c r="I173" s="387"/>
      <c r="J173"/>
      <c r="K173" s="103" t="s">
        <v>243</v>
      </c>
    </row>
    <row r="174" spans="1:14" ht="12" customHeight="1" thickBot="1">
      <c r="A174"/>
      <c r="B174" s="387"/>
      <c r="C174" s="387"/>
      <c r="D174" s="387"/>
      <c r="E174" s="387"/>
      <c r="F174" s="387"/>
      <c r="G174" s="387"/>
      <c r="H174" s="387"/>
      <c r="I174" s="387"/>
      <c r="J174"/>
      <c r="K174" s="103"/>
    </row>
    <row r="175" spans="1:14" ht="24.95" customHeight="1" thickBot="1">
      <c r="A175" s="150"/>
      <c r="B175" s="96" t="s">
        <v>251</v>
      </c>
      <c r="C175"/>
      <c r="D175"/>
      <c r="E175"/>
      <c r="F175"/>
      <c r="G175"/>
      <c r="H175"/>
      <c r="I175"/>
      <c r="J175"/>
    </row>
    <row r="176" spans="1:14" ht="24.95" customHeight="1" thickBot="1">
      <c r="A176"/>
      <c r="B176" s="443" t="s">
        <v>382</v>
      </c>
      <c r="C176" s="444"/>
      <c r="D176" s="444"/>
      <c r="E176" s="444"/>
      <c r="F176" s="444"/>
      <c r="G176" s="444"/>
      <c r="H176" s="444"/>
      <c r="I176" s="444"/>
      <c r="J176" s="444"/>
      <c r="K176" s="444"/>
      <c r="L176" s="444"/>
      <c r="M176" s="444"/>
      <c r="N176" s="445"/>
    </row>
    <row r="177" spans="1:14" ht="24.95" customHeight="1" thickBot="1">
      <c r="A177" s="150"/>
      <c r="B177" s="96" t="s">
        <v>275</v>
      </c>
      <c r="C177"/>
      <c r="D177"/>
      <c r="E177"/>
      <c r="F177"/>
      <c r="G177"/>
      <c r="H177"/>
      <c r="I177"/>
      <c r="J177"/>
    </row>
    <row r="178" spans="1:14" ht="29.45" customHeight="1">
      <c r="A178" s="149"/>
      <c r="B178" s="96"/>
      <c r="C178"/>
      <c r="D178"/>
      <c r="E178" s="207" t="s">
        <v>71</v>
      </c>
      <c r="F178" s="98" t="str">
        <f>CONCATENATE(" Volume for ",$E$12," samples")</f>
        <v xml:space="preserve"> Volume for  samples</v>
      </c>
      <c r="G178"/>
      <c r="H178"/>
      <c r="I178"/>
      <c r="J178"/>
    </row>
    <row r="179" spans="1:14" ht="24.95" customHeight="1">
      <c r="A179"/>
      <c r="B179"/>
      <c r="C179"/>
      <c r="D179" s="108" t="s">
        <v>364</v>
      </c>
      <c r="E179" s="108">
        <v>50</v>
      </c>
      <c r="F179" s="108">
        <f>E179*1.1*$E$12</f>
        <v>0</v>
      </c>
      <c r="G179" s="108" t="s">
        <v>73</v>
      </c>
      <c r="H179"/>
      <c r="I179"/>
      <c r="K179" s="208"/>
      <c r="L179" s="209"/>
    </row>
    <row r="180" spans="1:14" ht="24.95" customHeight="1">
      <c r="A180"/>
      <c r="B180"/>
      <c r="C180"/>
      <c r="D180" s="203" t="s">
        <v>81</v>
      </c>
      <c r="E180" s="108">
        <v>25</v>
      </c>
      <c r="F180" s="108">
        <f>E180*1.1*$E$12</f>
        <v>0</v>
      </c>
      <c r="G180" s="203" t="s">
        <v>73</v>
      </c>
      <c r="H180"/>
      <c r="I180"/>
      <c r="K180" s="208"/>
      <c r="L180" s="209"/>
      <c r="M180" s="97"/>
      <c r="N180" s="210"/>
    </row>
    <row r="181" spans="1:14" ht="24.6" customHeight="1" thickBot="1">
      <c r="A181"/>
      <c r="B181"/>
      <c r="C181"/>
      <c r="D181" s="102" t="s">
        <v>104</v>
      </c>
      <c r="E181" s="102">
        <f>+SUM(E179:E180)</f>
        <v>75</v>
      </c>
      <c r="F181" s="102">
        <f>SUM(F179:F180)</f>
        <v>0</v>
      </c>
      <c r="G181" s="102" t="s">
        <v>73</v>
      </c>
      <c r="H181"/>
      <c r="I181"/>
      <c r="J181"/>
    </row>
    <row r="182" spans="1:14" ht="24.6" customHeight="1" thickBot="1">
      <c r="A182" s="150"/>
      <c r="B182" s="96" t="s">
        <v>383</v>
      </c>
      <c r="C182"/>
      <c r="D182"/>
      <c r="E182"/>
      <c r="F182" s="99"/>
      <c r="G182" s="99"/>
      <c r="H182"/>
      <c r="I182"/>
      <c r="J182"/>
    </row>
    <row r="183" spans="1:14" ht="24.95" customHeight="1" thickBot="1">
      <c r="A183" s="188"/>
      <c r="B183" s="179" t="s">
        <v>89</v>
      </c>
      <c r="G183" s="141" t="s">
        <v>90</v>
      </c>
      <c r="H183" s="185"/>
    </row>
    <row r="184" spans="1:14" ht="24.95" customHeight="1">
      <c r="A184" s="149"/>
      <c r="B184" s="189"/>
      <c r="C184" s="104">
        <v>1</v>
      </c>
      <c r="D184" s="104">
        <v>2</v>
      </c>
      <c r="E184" s="104">
        <v>3</v>
      </c>
      <c r="F184" s="104">
        <v>4</v>
      </c>
      <c r="G184" s="104">
        <v>5</v>
      </c>
      <c r="H184" s="104">
        <v>6</v>
      </c>
      <c r="I184" s="104">
        <v>7</v>
      </c>
      <c r="J184" s="104">
        <v>8</v>
      </c>
      <c r="K184" s="104">
        <v>9</v>
      </c>
      <c r="L184" s="104">
        <v>10</v>
      </c>
      <c r="M184" s="104">
        <v>11</v>
      </c>
      <c r="N184" s="104">
        <v>12</v>
      </c>
    </row>
    <row r="185" spans="1:14" ht="17.45" customHeight="1">
      <c r="A185" s="149"/>
      <c r="B185" s="105" t="s">
        <v>91</v>
      </c>
      <c r="C185" s="106" t="str">
        <f>IF(ISNUMBER(#REF!),#REF!, " ")</f>
        <v xml:space="preserve"> </v>
      </c>
      <c r="D185" s="106" t="str">
        <f>IF(ISNUMBER(#REF!),#REF!, " ")</f>
        <v xml:space="preserve"> </v>
      </c>
      <c r="E185" s="106" t="str">
        <f>IF(ISNUMBER(#REF!),#REF!, " ")</f>
        <v xml:space="preserve"> </v>
      </c>
      <c r="F185" s="106" t="str">
        <f>IF(ISNUMBER(#REF!),#REF!, " ")</f>
        <v xml:space="preserve"> </v>
      </c>
      <c r="G185" s="106" t="str">
        <f>IF(ISNUMBER(#REF!),#REF!, " ")</f>
        <v xml:space="preserve"> </v>
      </c>
      <c r="H185" s="106" t="str">
        <f>IF(ISNUMBER(#REF!),#REF!, " ")</f>
        <v xml:space="preserve"> </v>
      </c>
      <c r="I185" s="106" t="str">
        <f>IF(ISNUMBER(#REF!),#REF!, " ")</f>
        <v xml:space="preserve"> </v>
      </c>
      <c r="J185" s="106" t="str">
        <f>IF(ISNUMBER(#REF!),#REF!, " ")</f>
        <v xml:space="preserve"> </v>
      </c>
      <c r="K185" s="106" t="str">
        <f>IF(ISNUMBER(#REF!),#REF!, " ")</f>
        <v xml:space="preserve"> </v>
      </c>
      <c r="L185" s="106" t="str">
        <f>IF(ISNUMBER(#REF!),#REF!, " ")</f>
        <v xml:space="preserve"> </v>
      </c>
      <c r="M185" s="106" t="str">
        <f>IF(ISNUMBER(#REF!),#REF!, " ")</f>
        <v xml:space="preserve"> </v>
      </c>
      <c r="N185" s="106" t="str">
        <f>IF(ISNUMBER(#REF!),#REF!, " ")</f>
        <v xml:space="preserve"> </v>
      </c>
    </row>
    <row r="186" spans="1:14" ht="17.45" customHeight="1">
      <c r="B186" s="105" t="s">
        <v>92</v>
      </c>
      <c r="C186" s="106" t="str">
        <f>IF(ISNUMBER(#REF!),#REF!, " ")</f>
        <v xml:space="preserve"> </v>
      </c>
      <c r="D186" s="106" t="str">
        <f>IF(ISNUMBER(#REF!),#REF!, " ")</f>
        <v xml:space="preserve"> </v>
      </c>
      <c r="E186" s="106" t="str">
        <f>IF(ISNUMBER(#REF!),#REF!, " ")</f>
        <v xml:space="preserve"> </v>
      </c>
      <c r="F186" s="106" t="str">
        <f>IF(ISNUMBER(#REF!),#REF!, " ")</f>
        <v xml:space="preserve"> </v>
      </c>
      <c r="G186" s="106" t="str">
        <f>IF(ISNUMBER(#REF!),#REF!, " ")</f>
        <v xml:space="preserve"> </v>
      </c>
      <c r="H186" s="106" t="str">
        <f>IF(ISNUMBER(#REF!),#REF!, " ")</f>
        <v xml:space="preserve"> </v>
      </c>
      <c r="I186" s="106" t="str">
        <f>IF(ISNUMBER(#REF!),#REF!, " ")</f>
        <v xml:space="preserve"> </v>
      </c>
      <c r="J186" s="106" t="str">
        <f>IF(ISNUMBER(#REF!),#REF!, " ")</f>
        <v xml:space="preserve"> </v>
      </c>
      <c r="K186" s="106" t="str">
        <f>IF(ISNUMBER(#REF!),#REF!, " ")</f>
        <v xml:space="preserve"> </v>
      </c>
      <c r="L186" s="106" t="str">
        <f>IF(ISNUMBER(#REF!),#REF!, " ")</f>
        <v xml:space="preserve"> </v>
      </c>
      <c r="M186" s="106" t="str">
        <f>IF(ISNUMBER(#REF!),#REF!, " ")</f>
        <v xml:space="preserve"> </v>
      </c>
      <c r="N186" s="106" t="str">
        <f>IF(ISNUMBER(#REF!),#REF!, " ")</f>
        <v xml:space="preserve"> </v>
      </c>
    </row>
    <row r="187" spans="1:14" ht="17.45" customHeight="1">
      <c r="B187" s="105" t="s">
        <v>93</v>
      </c>
      <c r="C187" s="106" t="str">
        <f>IF(ISNUMBER(#REF!),#REF!, " ")</f>
        <v xml:space="preserve"> </v>
      </c>
      <c r="D187" s="106" t="str">
        <f>IF(ISNUMBER(#REF!),#REF!, " ")</f>
        <v xml:space="preserve"> </v>
      </c>
      <c r="E187" s="106" t="str">
        <f>IF(ISNUMBER(#REF!),#REF!, " ")</f>
        <v xml:space="preserve"> </v>
      </c>
      <c r="F187" s="106" t="str">
        <f>IF(ISNUMBER(#REF!),#REF!, " ")</f>
        <v xml:space="preserve"> </v>
      </c>
      <c r="G187" s="106" t="str">
        <f>IF(ISNUMBER(#REF!),#REF!, " ")</f>
        <v xml:space="preserve"> </v>
      </c>
      <c r="H187" s="106" t="str">
        <f>IF(ISNUMBER(#REF!),#REF!, " ")</f>
        <v xml:space="preserve"> </v>
      </c>
      <c r="I187" s="106" t="str">
        <f>IF(ISNUMBER(#REF!),#REF!, " ")</f>
        <v xml:space="preserve"> </v>
      </c>
      <c r="J187" s="106" t="str">
        <f>IF(ISNUMBER(#REF!),#REF!, " ")</f>
        <v xml:space="preserve"> </v>
      </c>
      <c r="K187" s="106" t="str">
        <f>IF(ISNUMBER(#REF!),#REF!, " ")</f>
        <v xml:space="preserve"> </v>
      </c>
      <c r="L187" s="106" t="str">
        <f>IF(ISNUMBER(#REF!),#REF!, " ")</f>
        <v xml:space="preserve"> </v>
      </c>
      <c r="M187" s="106" t="str">
        <f>IF(ISNUMBER(#REF!),#REF!, " ")</f>
        <v xml:space="preserve"> </v>
      </c>
      <c r="N187" s="106" t="str">
        <f>IF(ISNUMBER(#REF!),#REF!, " ")</f>
        <v xml:space="preserve"> </v>
      </c>
    </row>
    <row r="188" spans="1:14" ht="17.45" customHeight="1">
      <c r="B188" s="105" t="s">
        <v>94</v>
      </c>
      <c r="C188" s="106" t="str">
        <f>IF(ISNUMBER(#REF!),#REF!, " ")</f>
        <v xml:space="preserve"> </v>
      </c>
      <c r="D188" s="106" t="str">
        <f>IF(ISNUMBER(#REF!),#REF!, " ")</f>
        <v xml:space="preserve"> </v>
      </c>
      <c r="E188" s="106" t="str">
        <f>IF(ISNUMBER(#REF!),#REF!, " ")</f>
        <v xml:space="preserve"> </v>
      </c>
      <c r="F188" s="106" t="str">
        <f>IF(ISNUMBER(#REF!),#REF!, " ")</f>
        <v xml:space="preserve"> </v>
      </c>
      <c r="G188" s="106" t="str">
        <f>IF(ISNUMBER(#REF!),#REF!, " ")</f>
        <v xml:space="preserve"> </v>
      </c>
      <c r="H188" s="106" t="str">
        <f>IF(ISNUMBER(#REF!),#REF!, " ")</f>
        <v xml:space="preserve"> </v>
      </c>
      <c r="I188" s="106" t="str">
        <f>IF(ISNUMBER(#REF!),#REF!, " ")</f>
        <v xml:space="preserve"> </v>
      </c>
      <c r="J188" s="106" t="str">
        <f>IF(ISNUMBER(#REF!),#REF!, " ")</f>
        <v xml:space="preserve"> </v>
      </c>
      <c r="K188" s="106" t="str">
        <f>IF(ISNUMBER(#REF!),#REF!, " ")</f>
        <v xml:space="preserve"> </v>
      </c>
      <c r="L188" s="106" t="str">
        <f>IF(ISNUMBER(#REF!),#REF!, " ")</f>
        <v xml:space="preserve"> </v>
      </c>
      <c r="M188" s="106" t="str">
        <f>IF(ISNUMBER(#REF!),#REF!, " ")</f>
        <v xml:space="preserve"> </v>
      </c>
      <c r="N188" s="106" t="str">
        <f>IF(ISNUMBER(#REF!),#REF!, " ")</f>
        <v xml:space="preserve"> </v>
      </c>
    </row>
    <row r="189" spans="1:14" ht="17.45" customHeight="1">
      <c r="B189" s="105" t="s">
        <v>95</v>
      </c>
      <c r="C189" s="106" t="str">
        <f>IF(ISNUMBER(#REF!),#REF!, " ")</f>
        <v xml:space="preserve"> </v>
      </c>
      <c r="D189" s="106" t="str">
        <f>IF(ISNUMBER(#REF!),#REF!, " ")</f>
        <v xml:space="preserve"> </v>
      </c>
      <c r="E189" s="106" t="str">
        <f>IF(ISNUMBER(#REF!),#REF!, " ")</f>
        <v xml:space="preserve"> </v>
      </c>
      <c r="F189" s="106" t="str">
        <f>IF(ISNUMBER(#REF!),#REF!, " ")</f>
        <v xml:space="preserve"> </v>
      </c>
      <c r="G189" s="106" t="str">
        <f>IF(ISNUMBER(#REF!),#REF!, " ")</f>
        <v xml:space="preserve"> </v>
      </c>
      <c r="H189" s="106" t="str">
        <f>IF(ISNUMBER(#REF!),#REF!, " ")</f>
        <v xml:space="preserve"> </v>
      </c>
      <c r="I189" s="106" t="str">
        <f>IF(ISNUMBER(#REF!),#REF!, " ")</f>
        <v xml:space="preserve"> </v>
      </c>
      <c r="J189" s="106" t="str">
        <f>IF(ISNUMBER(#REF!),#REF!, " ")</f>
        <v xml:space="preserve"> </v>
      </c>
      <c r="K189" s="106" t="str">
        <f>IF(ISNUMBER(#REF!),#REF!, " ")</f>
        <v xml:space="preserve"> </v>
      </c>
      <c r="L189" s="106" t="str">
        <f>IF(ISNUMBER(#REF!),#REF!, " ")</f>
        <v xml:space="preserve"> </v>
      </c>
      <c r="M189" s="106" t="str">
        <f>IF(ISNUMBER(#REF!),#REF!, " ")</f>
        <v xml:space="preserve"> </v>
      </c>
      <c r="N189" s="106" t="str">
        <f>IF(ISNUMBER(#REF!),#REF!, " ")</f>
        <v xml:space="preserve"> </v>
      </c>
    </row>
    <row r="190" spans="1:14" ht="17.45" customHeight="1">
      <c r="B190" s="105" t="s">
        <v>96</v>
      </c>
      <c r="C190" s="106" t="str">
        <f>IF(ISNUMBER(#REF!),#REF!, " ")</f>
        <v xml:space="preserve"> </v>
      </c>
      <c r="D190" s="106" t="str">
        <f>IF(ISNUMBER(#REF!),#REF!, " ")</f>
        <v xml:space="preserve"> </v>
      </c>
      <c r="E190" s="106" t="str">
        <f>IF(ISNUMBER(#REF!),#REF!, " ")</f>
        <v xml:space="preserve"> </v>
      </c>
      <c r="F190" s="106" t="str">
        <f>IF(ISNUMBER(#REF!),#REF!, " ")</f>
        <v xml:space="preserve"> </v>
      </c>
      <c r="G190" s="106" t="str">
        <f>IF(ISNUMBER(#REF!),#REF!, " ")</f>
        <v xml:space="preserve"> </v>
      </c>
      <c r="H190" s="106" t="str">
        <f>IF(ISNUMBER(#REF!),#REF!, " ")</f>
        <v xml:space="preserve"> </v>
      </c>
      <c r="I190" s="106" t="str">
        <f>IF(ISNUMBER(#REF!),#REF!, " ")</f>
        <v xml:space="preserve"> </v>
      </c>
      <c r="J190" s="106" t="str">
        <f>IF(ISNUMBER(#REF!),#REF!, " ")</f>
        <v xml:space="preserve"> </v>
      </c>
      <c r="K190" s="106" t="str">
        <f>IF(ISNUMBER(#REF!),#REF!, " ")</f>
        <v xml:space="preserve"> </v>
      </c>
      <c r="L190" s="106" t="str">
        <f>IF(ISNUMBER(#REF!),#REF!, " ")</f>
        <v xml:space="preserve"> </v>
      </c>
      <c r="M190" s="106" t="str">
        <f>IF(ISNUMBER(#REF!),#REF!, " ")</f>
        <v xml:space="preserve"> </v>
      </c>
      <c r="N190" s="106" t="str">
        <f>IF(ISNUMBER(#REF!),#REF!, " ")</f>
        <v xml:space="preserve"> </v>
      </c>
    </row>
    <row r="191" spans="1:14" ht="17.45" customHeight="1">
      <c r="B191" s="105" t="s">
        <v>97</v>
      </c>
      <c r="C191" s="106" t="str">
        <f>IF(ISNUMBER(#REF!),#REF!, " ")</f>
        <v xml:space="preserve"> </v>
      </c>
      <c r="D191" s="106" t="str">
        <f>IF(ISNUMBER(#REF!),#REF!, " ")</f>
        <v xml:space="preserve"> </v>
      </c>
      <c r="E191" s="106" t="str">
        <f>IF(ISNUMBER(#REF!),#REF!, " ")</f>
        <v xml:space="preserve"> </v>
      </c>
      <c r="F191" s="106" t="str">
        <f>IF(ISNUMBER(#REF!),#REF!, " ")</f>
        <v xml:space="preserve"> </v>
      </c>
      <c r="G191" s="106" t="str">
        <f>IF(ISNUMBER(#REF!),#REF!, " ")</f>
        <v xml:space="preserve"> </v>
      </c>
      <c r="H191" s="106" t="str">
        <f>IF(ISNUMBER(#REF!),#REF!, " ")</f>
        <v xml:space="preserve"> </v>
      </c>
      <c r="I191" s="106" t="str">
        <f>IF(ISNUMBER(#REF!),#REF!, " ")</f>
        <v xml:space="preserve"> </v>
      </c>
      <c r="J191" s="106" t="str">
        <f>IF(ISNUMBER(#REF!),#REF!, " ")</f>
        <v xml:space="preserve"> </v>
      </c>
      <c r="K191" s="106" t="str">
        <f>IF(ISNUMBER(#REF!),#REF!, " ")</f>
        <v xml:space="preserve"> </v>
      </c>
      <c r="L191" s="106" t="str">
        <f>IF(ISNUMBER(#REF!),#REF!, " ")</f>
        <v xml:space="preserve"> </v>
      </c>
      <c r="M191" s="106" t="str">
        <f>IF(ISNUMBER(#REF!),#REF!, " ")</f>
        <v xml:space="preserve"> </v>
      </c>
      <c r="N191" s="106" t="str">
        <f>IF(ISNUMBER(#REF!),#REF!, " ")</f>
        <v xml:space="preserve"> </v>
      </c>
    </row>
    <row r="192" spans="1:14" ht="17.45" customHeight="1" thickBot="1">
      <c r="B192" s="105" t="s">
        <v>98</v>
      </c>
      <c r="C192" s="106" t="str">
        <f>IF(ISNUMBER(#REF!),#REF!, " ")</f>
        <v xml:space="preserve"> </v>
      </c>
      <c r="D192" s="106" t="str">
        <f>IF(ISNUMBER(#REF!),#REF!, " ")</f>
        <v xml:space="preserve"> </v>
      </c>
      <c r="E192" s="106" t="str">
        <f>IF(ISNUMBER(#REF!),#REF!, " ")</f>
        <v xml:space="preserve"> </v>
      </c>
      <c r="F192" s="106" t="str">
        <f>IF(ISNUMBER(#REF!),#REF!, " ")</f>
        <v xml:space="preserve"> </v>
      </c>
      <c r="G192" s="106" t="str">
        <f>IF(ISNUMBER(#REF!),#REF!, " ")</f>
        <v xml:space="preserve"> </v>
      </c>
      <c r="H192" s="106" t="str">
        <f>IF(ISNUMBER(#REF!),#REF!, " ")</f>
        <v xml:space="preserve"> </v>
      </c>
      <c r="I192" s="106" t="str">
        <f>IF(ISNUMBER(#REF!),#REF!, " ")</f>
        <v xml:space="preserve"> </v>
      </c>
      <c r="J192" s="106" t="str">
        <f>IF(ISNUMBER(#REF!),#REF!, " ")</f>
        <v xml:space="preserve"> </v>
      </c>
      <c r="K192" s="106" t="str">
        <f>IF(ISNUMBER(#REF!),#REF!, " ")</f>
        <v xml:space="preserve"> </v>
      </c>
      <c r="L192" s="106" t="str">
        <f>IF(ISNUMBER(#REF!),#REF!, " ")</f>
        <v xml:space="preserve"> </v>
      </c>
      <c r="M192" s="106" t="str">
        <f>IF(ISNUMBER(#REF!),#REF!, " ")</f>
        <v xml:space="preserve"> </v>
      </c>
      <c r="N192" s="106" t="str">
        <f>IF(ISNUMBER(#REF!),#REF!, " ")</f>
        <v xml:space="preserve"> </v>
      </c>
    </row>
    <row r="193" spans="1:13" ht="24.95" customHeight="1" thickBot="1">
      <c r="A193" s="150"/>
      <c r="B193" s="96" t="s">
        <v>83</v>
      </c>
      <c r="C193"/>
      <c r="D193" s="100" t="s">
        <v>99</v>
      </c>
      <c r="E193"/>
      <c r="F193"/>
      <c r="G193"/>
      <c r="H193"/>
      <c r="I193"/>
      <c r="J193"/>
    </row>
    <row r="194" spans="1:13" ht="24.95" customHeight="1">
      <c r="A194"/>
      <c r="B194"/>
      <c r="C194"/>
      <c r="D194" s="101" t="s">
        <v>100</v>
      </c>
      <c r="E194" s="348" t="s">
        <v>276</v>
      </c>
      <c r="F194"/>
      <c r="G194"/>
      <c r="H194"/>
      <c r="I194"/>
      <c r="J194"/>
    </row>
    <row r="195" spans="1:13" ht="24.95" customHeight="1">
      <c r="A195"/>
      <c r="B195"/>
      <c r="C195"/>
      <c r="D195" s="101" t="s">
        <v>101</v>
      </c>
      <c r="E195" s="349"/>
      <c r="F195"/>
      <c r="G195"/>
      <c r="H195"/>
      <c r="I195"/>
      <c r="J195"/>
    </row>
    <row r="196" spans="1:13" ht="24.95" customHeight="1">
      <c r="A196"/>
      <c r="B196"/>
      <c r="C196"/>
      <c r="D196" s="211" t="s">
        <v>102</v>
      </c>
      <c r="E196" s="350"/>
      <c r="F196"/>
      <c r="G196" s="125"/>
      <c r="H196"/>
      <c r="I196"/>
      <c r="J196"/>
    </row>
    <row r="197" spans="1:13" ht="24.95" customHeight="1" thickBot="1">
      <c r="A197"/>
      <c r="B197"/>
      <c r="C197"/>
      <c r="D197" s="100" t="s">
        <v>87</v>
      </c>
      <c r="E197"/>
      <c r="F197"/>
      <c r="G197"/>
      <c r="H197"/>
      <c r="I197"/>
      <c r="J197"/>
    </row>
    <row r="198" spans="1:13" ht="24.95" customHeight="1" thickBot="1">
      <c r="A198" s="150"/>
      <c r="B198" s="96" t="s">
        <v>384</v>
      </c>
      <c r="C198"/>
      <c r="D198"/>
      <c r="E198"/>
      <c r="F198"/>
      <c r="G198"/>
      <c r="H198"/>
      <c r="I198"/>
      <c r="J198"/>
    </row>
    <row r="199" spans="1:13" ht="26.1" customHeight="1" thickBot="1">
      <c r="A199" s="188"/>
      <c r="B199" s="354" t="s">
        <v>105</v>
      </c>
      <c r="C199" s="355"/>
      <c r="D199" s="355"/>
      <c r="E199" s="447"/>
      <c r="F199" s="447"/>
      <c r="G199" s="355"/>
      <c r="H199" s="355"/>
      <c r="I199" s="355"/>
      <c r="J199" s="355"/>
      <c r="K199" s="355"/>
      <c r="L199" s="355"/>
      <c r="M199" s="356"/>
    </row>
    <row r="200" spans="1:13" ht="26.1" customHeight="1" thickBot="1">
      <c r="A200" s="175"/>
      <c r="B200" s="96" t="s">
        <v>106</v>
      </c>
      <c r="C200" s="151"/>
      <c r="E200" s="109" t="s">
        <v>107</v>
      </c>
      <c r="F200" s="98" t="s">
        <v>108</v>
      </c>
      <c r="H200" s="109" t="s">
        <v>107</v>
      </c>
      <c r="I200" s="98" t="s">
        <v>108</v>
      </c>
    </row>
    <row r="201" spans="1:13" ht="26.1" customHeight="1">
      <c r="A201" s="179"/>
      <c r="B201" s="96"/>
      <c r="C201" s="151"/>
      <c r="E201" s="109"/>
      <c r="F201" s="98"/>
      <c r="H201" s="109"/>
      <c r="I201" s="98"/>
    </row>
    <row r="202" spans="1:13" ht="26.1" customHeight="1" thickBot="1">
      <c r="A202" s="179"/>
      <c r="B202" s="96"/>
      <c r="C202" s="151"/>
      <c r="E202" s="156"/>
      <c r="F202" s="156"/>
      <c r="H202" s="156"/>
      <c r="I202" s="156"/>
    </row>
    <row r="203" spans="1:13" ht="26.1" customHeight="1" thickBot="1">
      <c r="A203" s="175"/>
      <c r="B203" s="151" t="s">
        <v>109</v>
      </c>
      <c r="C203"/>
      <c r="D203"/>
      <c r="E203"/>
    </row>
    <row r="204" spans="1:13" ht="26.1" customHeight="1">
      <c r="A204" s="179"/>
      <c r="C204" s="96" t="s">
        <v>110</v>
      </c>
      <c r="D204" s="96"/>
      <c r="E204" s="96"/>
      <c r="F204" s="96" t="s">
        <v>401</v>
      </c>
      <c r="G204" s="151"/>
    </row>
    <row r="205" spans="1:13" ht="25.5" customHeight="1">
      <c r="A205" s="179"/>
      <c r="C205" s="96" t="s">
        <v>411</v>
      </c>
      <c r="E205" s="96"/>
      <c r="F205" s="96"/>
      <c r="G205" s="151"/>
      <c r="H205" s="244" t="s">
        <v>402</v>
      </c>
    </row>
    <row r="206" spans="1:13" ht="26.1" customHeight="1">
      <c r="A206" s="179"/>
      <c r="C206" s="96" t="s">
        <v>412</v>
      </c>
      <c r="D206" s="242"/>
      <c r="E206" s="242"/>
      <c r="F206" s="242"/>
      <c r="G206" s="151"/>
      <c r="H206" s="244" t="s">
        <v>403</v>
      </c>
    </row>
    <row r="207" spans="1:13" ht="26.1" customHeight="1">
      <c r="A207" s="179"/>
      <c r="C207" s="96" t="s">
        <v>413</v>
      </c>
      <c r="D207" s="243"/>
      <c r="E207" s="243"/>
      <c r="F207" s="243"/>
      <c r="G207" s="151"/>
      <c r="H207" s="244" t="s">
        <v>404</v>
      </c>
    </row>
    <row r="208" spans="1:13" ht="26.1" customHeight="1">
      <c r="A208" s="179"/>
      <c r="C208" s="96" t="s">
        <v>414</v>
      </c>
      <c r="D208" s="243"/>
      <c r="E208" s="243"/>
      <c r="F208" s="243"/>
      <c r="G208" s="151"/>
      <c r="H208" s="244" t="s">
        <v>405</v>
      </c>
    </row>
    <row r="209" spans="1:9" ht="26.1" customHeight="1">
      <c r="A209" s="179"/>
      <c r="C209" s="96" t="s">
        <v>415</v>
      </c>
      <c r="E209" s="96"/>
      <c r="F209" s="96"/>
      <c r="G209" s="151"/>
      <c r="H209" s="244" t="s">
        <v>406</v>
      </c>
    </row>
    <row r="210" spans="1:9" ht="26.1" customHeight="1">
      <c r="A210" s="179"/>
      <c r="C210" s="96" t="s">
        <v>416</v>
      </c>
      <c r="E210" s="96"/>
      <c r="F210" s="96"/>
      <c r="G210" s="151"/>
      <c r="H210" s="244" t="s">
        <v>407</v>
      </c>
    </row>
    <row r="211" spans="1:9" ht="26.1" customHeight="1">
      <c r="A211" s="179"/>
      <c r="C211" s="96" t="s">
        <v>417</v>
      </c>
      <c r="E211" s="96"/>
      <c r="F211" s="96"/>
      <c r="G211" s="151"/>
      <c r="H211" s="244" t="s">
        <v>408</v>
      </c>
    </row>
    <row r="212" spans="1:9" ht="26.1" customHeight="1">
      <c r="A212" s="179"/>
      <c r="C212" s="96" t="s">
        <v>418</v>
      </c>
      <c r="E212" s="96"/>
      <c r="F212" s="96"/>
      <c r="G212" s="151"/>
      <c r="H212" s="244" t="s">
        <v>409</v>
      </c>
    </row>
    <row r="213" spans="1:9" ht="26.1" customHeight="1">
      <c r="A213" s="179"/>
      <c r="C213" s="96" t="s">
        <v>419</v>
      </c>
      <c r="E213" s="96"/>
      <c r="F213" s="96"/>
      <c r="G213" s="151"/>
      <c r="H213" s="244" t="s">
        <v>410</v>
      </c>
    </row>
    <row r="216" spans="1:9" ht="26.1" customHeight="1">
      <c r="C216" s="395" t="s">
        <v>113</v>
      </c>
      <c r="D216" s="395"/>
      <c r="E216" s="395"/>
      <c r="F216" s="396" t="s">
        <v>520</v>
      </c>
      <c r="G216" s="397"/>
      <c r="H216" s="397"/>
      <c r="I216" s="398"/>
    </row>
    <row r="217" spans="1:9" ht="26.1" customHeight="1">
      <c r="C217" s="399" t="s">
        <v>114</v>
      </c>
      <c r="D217" s="399"/>
      <c r="E217" s="399"/>
      <c r="F217" s="396" t="s">
        <v>115</v>
      </c>
      <c r="G217" s="397"/>
      <c r="H217" s="397"/>
      <c r="I217" s="398"/>
    </row>
    <row r="218" spans="1:9" ht="26.1" customHeight="1">
      <c r="C218" s="399" t="s">
        <v>116</v>
      </c>
      <c r="D218" s="399"/>
      <c r="E218" s="399"/>
      <c r="F218" s="396" t="s">
        <v>117</v>
      </c>
      <c r="G218" s="397"/>
      <c r="H218" s="397"/>
      <c r="I218" s="398"/>
    </row>
    <row r="219" spans="1:9" ht="30.6" customHeight="1">
      <c r="C219" s="396" t="s">
        <v>118</v>
      </c>
      <c r="D219" s="397"/>
      <c r="E219" s="398"/>
      <c r="F219" s="396" t="s">
        <v>385</v>
      </c>
      <c r="G219" s="397"/>
      <c r="H219" s="397"/>
      <c r="I219" s="398"/>
    </row>
    <row r="220" spans="1:9" ht="26.1" customHeight="1">
      <c r="C220" s="396" t="s">
        <v>119</v>
      </c>
      <c r="D220" s="397"/>
      <c r="E220" s="398"/>
      <c r="F220" s="396" t="s">
        <v>277</v>
      </c>
      <c r="G220" s="397"/>
      <c r="H220" s="397"/>
      <c r="I220" s="398"/>
    </row>
    <row r="221" spans="1:9" ht="26.1" customHeight="1">
      <c r="C221" s="396" t="s">
        <v>121</v>
      </c>
      <c r="D221" s="397"/>
      <c r="E221" s="398"/>
      <c r="F221" s="396" t="s">
        <v>120</v>
      </c>
      <c r="G221" s="397"/>
      <c r="H221" s="397"/>
      <c r="I221" s="398"/>
    </row>
    <row r="222" spans="1:9" ht="26.1" customHeight="1">
      <c r="C222" s="396" t="s">
        <v>122</v>
      </c>
      <c r="D222" s="397"/>
      <c r="E222" s="398"/>
      <c r="F222" s="401">
        <v>20251205</v>
      </c>
      <c r="G222" s="402"/>
      <c r="H222" s="402"/>
      <c r="I222" s="403"/>
    </row>
    <row r="223" spans="1:9" ht="26.1" customHeight="1">
      <c r="C223" s="396" t="s">
        <v>123</v>
      </c>
      <c r="D223" s="397"/>
      <c r="E223" s="398"/>
      <c r="F223" s="401">
        <v>20251001</v>
      </c>
      <c r="G223" s="402"/>
      <c r="H223" s="402"/>
      <c r="I223" s="403"/>
    </row>
  </sheetData>
  <mergeCells count="107">
    <mergeCell ref="C222:E222"/>
    <mergeCell ref="F222:I222"/>
    <mergeCell ref="C223:E223"/>
    <mergeCell ref="F223:I223"/>
    <mergeCell ref="I24:N24"/>
    <mergeCell ref="C219:E219"/>
    <mergeCell ref="F219:I219"/>
    <mergeCell ref="C220:E220"/>
    <mergeCell ref="F220:I220"/>
    <mergeCell ref="C221:E221"/>
    <mergeCell ref="F221:I221"/>
    <mergeCell ref="C216:E216"/>
    <mergeCell ref="F216:I216"/>
    <mergeCell ref="C217:E217"/>
    <mergeCell ref="F217:I217"/>
    <mergeCell ref="C218:E218"/>
    <mergeCell ref="F218:I218"/>
    <mergeCell ref="B173:I174"/>
    <mergeCell ref="B176:N176"/>
    <mergeCell ref="E194:E196"/>
    <mergeCell ref="B199:M199"/>
    <mergeCell ref="E93:E95"/>
    <mergeCell ref="B98:M98"/>
    <mergeCell ref="E130:E132"/>
    <mergeCell ref="B135:M135"/>
    <mergeCell ref="B146:I147"/>
    <mergeCell ref="E169:E171"/>
    <mergeCell ref="B70:F70"/>
    <mergeCell ref="H70:M70"/>
    <mergeCell ref="H71:M71"/>
    <mergeCell ref="B72:N72"/>
    <mergeCell ref="E80:E82"/>
    <mergeCell ref="B85:N85"/>
    <mergeCell ref="B67:F67"/>
    <mergeCell ref="H67:M67"/>
    <mergeCell ref="B68:F68"/>
    <mergeCell ref="H68:M68"/>
    <mergeCell ref="B69:F69"/>
    <mergeCell ref="H69:M69"/>
    <mergeCell ref="E59:E61"/>
    <mergeCell ref="B63:M63"/>
    <mergeCell ref="B64:M64"/>
    <mergeCell ref="B65:F65"/>
    <mergeCell ref="H65:M65"/>
    <mergeCell ref="B66:F66"/>
    <mergeCell ref="H66:M66"/>
    <mergeCell ref="G46:I46"/>
    <mergeCell ref="C49:D49"/>
    <mergeCell ref="C50:D50"/>
    <mergeCell ref="C51:D51"/>
    <mergeCell ref="I55:J55"/>
    <mergeCell ref="I56:J56"/>
    <mergeCell ref="C32:D32"/>
    <mergeCell ref="F32:G32"/>
    <mergeCell ref="B39:M39"/>
    <mergeCell ref="B42:F42"/>
    <mergeCell ref="G43:I43"/>
    <mergeCell ref="C44:E45"/>
    <mergeCell ref="G44:I44"/>
    <mergeCell ref="G45:I45"/>
    <mergeCell ref="C29:D29"/>
    <mergeCell ref="F29:G29"/>
    <mergeCell ref="C30:D30"/>
    <mergeCell ref="F30:G30"/>
    <mergeCell ref="C31:D31"/>
    <mergeCell ref="F31:G31"/>
    <mergeCell ref="C26:D26"/>
    <mergeCell ref="F26:G26"/>
    <mergeCell ref="C27:D27"/>
    <mergeCell ref="F27:G27"/>
    <mergeCell ref="C28:D28"/>
    <mergeCell ref="F28:G28"/>
    <mergeCell ref="B13:M13"/>
    <mergeCell ref="C24:D24"/>
    <mergeCell ref="F24:G24"/>
    <mergeCell ref="C25:D25"/>
    <mergeCell ref="F25:G25"/>
    <mergeCell ref="A10:D10"/>
    <mergeCell ref="E10:G10"/>
    <mergeCell ref="J10:N11"/>
    <mergeCell ref="A11:D11"/>
    <mergeCell ref="E11:G11"/>
    <mergeCell ref="A12:D12"/>
    <mergeCell ref="A6:D6"/>
    <mergeCell ref="E6:G6"/>
    <mergeCell ref="M6:N6"/>
    <mergeCell ref="A7:D7"/>
    <mergeCell ref="E7:G7"/>
    <mergeCell ref="A8:D8"/>
    <mergeCell ref="E8:G8"/>
    <mergeCell ref="J8:N9"/>
    <mergeCell ref="A9:D9"/>
    <mergeCell ref="E9:G9"/>
    <mergeCell ref="M3:N3"/>
    <mergeCell ref="O3:P4"/>
    <mergeCell ref="A4:D4"/>
    <mergeCell ref="E4:G4"/>
    <mergeCell ref="M4:N4"/>
    <mergeCell ref="A5:D5"/>
    <mergeCell ref="E5:G5"/>
    <mergeCell ref="M5:N5"/>
    <mergeCell ref="C1:J1"/>
    <mergeCell ref="A2:D2"/>
    <mergeCell ref="E2:G2"/>
    <mergeCell ref="A3:D3"/>
    <mergeCell ref="E3:G3"/>
    <mergeCell ref="J3:K3"/>
  </mergeCells>
  <conditionalFormatting sqref="D17:D20">
    <cfRule type="iconSet" priority="1">
      <iconSet>
        <cfvo type="percent" val="0"/>
        <cfvo type="percent" val="33"/>
        <cfvo type="percent" val="67"/>
      </iconSet>
    </cfRule>
  </conditionalFormatting>
  <dataValidations count="1">
    <dataValidation type="list" allowBlank="1" showInputMessage="1" showErrorMessage="1" sqref="L4:L6" xr:uid="{A7B946FC-A085-48E3-AACA-A0F1DA56D063}">
      <formula1>"Yes, No"</formula1>
    </dataValidation>
  </dataValidations>
  <pageMargins left="0.25" right="0" top="0.25" bottom="0.25" header="0" footer="0"/>
  <pageSetup paperSize="9" scale="6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Fill="0" autoLine="0" autoPict="0">
                <anchor moveWithCells="1">
                  <from>
                    <xdr:col>0</xdr:col>
                    <xdr:colOff>28575</xdr:colOff>
                    <xdr:row>198</xdr:row>
                    <xdr:rowOff>47625</xdr:rowOff>
                  </from>
                  <to>
                    <xdr:col>1</xdr:col>
                    <xdr:colOff>76200</xdr:colOff>
                    <xdr:row>198</xdr:row>
                    <xdr:rowOff>276225</xdr:rowOff>
                  </to>
                </anchor>
              </controlPr>
            </control>
          </mc:Choice>
        </mc:AlternateContent>
        <mc:AlternateContent xmlns:mc="http://schemas.openxmlformats.org/markup-compatibility/2006">
          <mc:Choice Requires="x14">
            <control shapeId="17410" r:id="rId5" name="Check Box 2">
              <controlPr defaultSize="0" autoFill="0" autoLine="0" autoPict="0">
                <anchor moveWithCells="1">
                  <from>
                    <xdr:col>0</xdr:col>
                    <xdr:colOff>28575</xdr:colOff>
                    <xdr:row>40</xdr:row>
                    <xdr:rowOff>47625</xdr:rowOff>
                  </from>
                  <to>
                    <xdr:col>1</xdr:col>
                    <xdr:colOff>76200</xdr:colOff>
                    <xdr:row>40</xdr:row>
                    <xdr:rowOff>276225</xdr:rowOff>
                  </to>
                </anchor>
              </controlPr>
            </control>
          </mc:Choice>
        </mc:AlternateContent>
        <mc:AlternateContent xmlns:mc="http://schemas.openxmlformats.org/markup-compatibility/2006">
          <mc:Choice Requires="x14">
            <control shapeId="17411" r:id="rId6" name="Check Box 3">
              <controlPr defaultSize="0" autoFill="0" autoLine="0" autoPict="0">
                <anchor moveWithCells="1">
                  <from>
                    <xdr:col>0</xdr:col>
                    <xdr:colOff>28575</xdr:colOff>
                    <xdr:row>39</xdr:row>
                    <xdr:rowOff>47625</xdr:rowOff>
                  </from>
                  <to>
                    <xdr:col>1</xdr:col>
                    <xdr:colOff>76200</xdr:colOff>
                    <xdr:row>39</xdr:row>
                    <xdr:rowOff>276225</xdr:rowOff>
                  </to>
                </anchor>
              </controlPr>
            </control>
          </mc:Choice>
        </mc:AlternateContent>
        <mc:AlternateContent xmlns:mc="http://schemas.openxmlformats.org/markup-compatibility/2006">
          <mc:Choice Requires="x14">
            <control shapeId="17412" r:id="rId7" name="Check Box 4">
              <controlPr defaultSize="0" autoFill="0" autoLine="0" autoPict="0">
                <anchor moveWithCells="1">
                  <from>
                    <xdr:col>0</xdr:col>
                    <xdr:colOff>28575</xdr:colOff>
                    <xdr:row>35</xdr:row>
                    <xdr:rowOff>47625</xdr:rowOff>
                  </from>
                  <to>
                    <xdr:col>1</xdr:col>
                    <xdr:colOff>76200</xdr:colOff>
                    <xdr:row>35</xdr:row>
                    <xdr:rowOff>276225</xdr:rowOff>
                  </to>
                </anchor>
              </controlPr>
            </control>
          </mc:Choice>
        </mc:AlternateContent>
        <mc:AlternateContent xmlns:mc="http://schemas.openxmlformats.org/markup-compatibility/2006">
          <mc:Choice Requires="x14">
            <control shapeId="17413" r:id="rId8" name="Check Box 5">
              <controlPr defaultSize="0" autoFill="0" autoLine="0" autoPict="0">
                <anchor moveWithCells="1">
                  <from>
                    <xdr:col>0</xdr:col>
                    <xdr:colOff>28575</xdr:colOff>
                    <xdr:row>33</xdr:row>
                    <xdr:rowOff>47625</xdr:rowOff>
                  </from>
                  <to>
                    <xdr:col>1</xdr:col>
                    <xdr:colOff>76200</xdr:colOff>
                    <xdr:row>33</xdr:row>
                    <xdr:rowOff>276225</xdr:rowOff>
                  </to>
                </anchor>
              </controlPr>
            </control>
          </mc:Choice>
        </mc:AlternateContent>
        <mc:AlternateContent xmlns:mc="http://schemas.openxmlformats.org/markup-compatibility/2006">
          <mc:Choice Requires="x14">
            <control shapeId="17414" r:id="rId9" name="Check Box 6">
              <controlPr defaultSize="0" autoFill="0" autoLine="0" autoPict="0">
                <anchor moveWithCells="1">
                  <from>
                    <xdr:col>0</xdr:col>
                    <xdr:colOff>28575</xdr:colOff>
                    <xdr:row>32</xdr:row>
                    <xdr:rowOff>47625</xdr:rowOff>
                  </from>
                  <to>
                    <xdr:col>1</xdr:col>
                    <xdr:colOff>76200</xdr:colOff>
                    <xdr:row>32</xdr:row>
                    <xdr:rowOff>276225</xdr:rowOff>
                  </to>
                </anchor>
              </controlPr>
            </control>
          </mc:Choice>
        </mc:AlternateContent>
        <mc:AlternateContent xmlns:mc="http://schemas.openxmlformats.org/markup-compatibility/2006">
          <mc:Choice Requires="x14">
            <control shapeId="17415" r:id="rId10" name="Check Box 7">
              <controlPr defaultSize="0" autoFill="0" autoLine="0" autoPict="0">
                <anchor moveWithCells="1">
                  <from>
                    <xdr:col>0</xdr:col>
                    <xdr:colOff>28575</xdr:colOff>
                    <xdr:row>22</xdr:row>
                    <xdr:rowOff>47625</xdr:rowOff>
                  </from>
                  <to>
                    <xdr:col>1</xdr:col>
                    <xdr:colOff>76200</xdr:colOff>
                    <xdr:row>22</xdr:row>
                    <xdr:rowOff>276225</xdr:rowOff>
                  </to>
                </anchor>
              </controlPr>
            </control>
          </mc:Choice>
        </mc:AlternateContent>
        <mc:AlternateContent xmlns:mc="http://schemas.openxmlformats.org/markup-compatibility/2006">
          <mc:Choice Requires="x14">
            <control shapeId="17416" r:id="rId11" name="Check Box 8">
              <controlPr defaultSize="0" autoFill="0" autoLine="0" autoPict="0">
                <anchor moveWithCells="1">
                  <from>
                    <xdr:col>0</xdr:col>
                    <xdr:colOff>28575</xdr:colOff>
                    <xdr:row>21</xdr:row>
                    <xdr:rowOff>47625</xdr:rowOff>
                  </from>
                  <to>
                    <xdr:col>1</xdr:col>
                    <xdr:colOff>76200</xdr:colOff>
                    <xdr:row>21</xdr:row>
                    <xdr:rowOff>276225</xdr:rowOff>
                  </to>
                </anchor>
              </controlPr>
            </control>
          </mc:Choice>
        </mc:AlternateContent>
        <mc:AlternateContent xmlns:mc="http://schemas.openxmlformats.org/markup-compatibility/2006">
          <mc:Choice Requires="x14">
            <control shapeId="17417" r:id="rId12" name="Check Box 9">
              <controlPr defaultSize="0" autoFill="0" autoLine="0" autoPict="0">
                <anchor moveWithCells="1">
                  <from>
                    <xdr:col>0</xdr:col>
                    <xdr:colOff>28575</xdr:colOff>
                    <xdr:row>16</xdr:row>
                    <xdr:rowOff>47625</xdr:rowOff>
                  </from>
                  <to>
                    <xdr:col>1</xdr:col>
                    <xdr:colOff>76200</xdr:colOff>
                    <xdr:row>16</xdr:row>
                    <xdr:rowOff>276225</xdr:rowOff>
                  </to>
                </anchor>
              </controlPr>
            </control>
          </mc:Choice>
        </mc:AlternateContent>
        <mc:AlternateContent xmlns:mc="http://schemas.openxmlformats.org/markup-compatibility/2006">
          <mc:Choice Requires="x14">
            <control shapeId="17418" r:id="rId13" name="Check Box 10">
              <controlPr defaultSize="0" autoFill="0" autoLine="0" autoPict="0">
                <anchor moveWithCells="1">
                  <from>
                    <xdr:col>0</xdr:col>
                    <xdr:colOff>28575</xdr:colOff>
                    <xdr:row>14</xdr:row>
                    <xdr:rowOff>47625</xdr:rowOff>
                  </from>
                  <to>
                    <xdr:col>1</xdr:col>
                    <xdr:colOff>76200</xdr:colOff>
                    <xdr:row>14</xdr:row>
                    <xdr:rowOff>276225</xdr:rowOff>
                  </to>
                </anchor>
              </controlPr>
            </control>
          </mc:Choice>
        </mc:AlternateContent>
        <mc:AlternateContent xmlns:mc="http://schemas.openxmlformats.org/markup-compatibility/2006">
          <mc:Choice Requires="x14">
            <control shapeId="17419" r:id="rId14" name="Check Box 11">
              <controlPr defaultSize="0" autoFill="0" autoLine="0" autoPict="0">
                <anchor moveWithCells="1">
                  <from>
                    <xdr:col>0</xdr:col>
                    <xdr:colOff>28575</xdr:colOff>
                    <xdr:row>13</xdr:row>
                    <xdr:rowOff>47625</xdr:rowOff>
                  </from>
                  <to>
                    <xdr:col>1</xdr:col>
                    <xdr:colOff>76200</xdr:colOff>
                    <xdr:row>13</xdr:row>
                    <xdr:rowOff>276225</xdr:rowOff>
                  </to>
                </anchor>
              </controlPr>
            </control>
          </mc:Choice>
        </mc:AlternateContent>
        <mc:AlternateContent xmlns:mc="http://schemas.openxmlformats.org/markup-compatibility/2006">
          <mc:Choice Requires="x14">
            <control shapeId="17420" r:id="rId15" name="Check Box 12">
              <controlPr defaultSize="0" autoFill="0" autoLine="0" autoPict="0">
                <anchor moveWithCells="1">
                  <from>
                    <xdr:col>0</xdr:col>
                    <xdr:colOff>28575</xdr:colOff>
                    <xdr:row>36</xdr:row>
                    <xdr:rowOff>47625</xdr:rowOff>
                  </from>
                  <to>
                    <xdr:col>1</xdr:col>
                    <xdr:colOff>76200</xdr:colOff>
                    <xdr:row>36</xdr:row>
                    <xdr:rowOff>276225</xdr:rowOff>
                  </to>
                </anchor>
              </controlPr>
            </control>
          </mc:Choice>
        </mc:AlternateContent>
        <mc:AlternateContent xmlns:mc="http://schemas.openxmlformats.org/markup-compatibility/2006">
          <mc:Choice Requires="x14">
            <control shapeId="17421" r:id="rId16" name="Check Box 13">
              <controlPr defaultSize="0" autoFill="0" autoLine="0" autoPict="0">
                <anchor moveWithCells="1">
                  <from>
                    <xdr:col>0</xdr:col>
                    <xdr:colOff>28575</xdr:colOff>
                    <xdr:row>41</xdr:row>
                    <xdr:rowOff>47625</xdr:rowOff>
                  </from>
                  <to>
                    <xdr:col>1</xdr:col>
                    <xdr:colOff>76200</xdr:colOff>
                    <xdr:row>41</xdr:row>
                    <xdr:rowOff>276225</xdr:rowOff>
                  </to>
                </anchor>
              </controlPr>
            </control>
          </mc:Choice>
        </mc:AlternateContent>
        <mc:AlternateContent xmlns:mc="http://schemas.openxmlformats.org/markup-compatibility/2006">
          <mc:Choice Requires="x14">
            <control shapeId="17422" r:id="rId17" name="Check Box 14">
              <controlPr defaultSize="0" autoFill="0" autoLine="0" autoPict="0">
                <anchor moveWithCells="1">
                  <from>
                    <xdr:col>0</xdr:col>
                    <xdr:colOff>28575</xdr:colOff>
                    <xdr:row>47</xdr:row>
                    <xdr:rowOff>47625</xdr:rowOff>
                  </from>
                  <to>
                    <xdr:col>1</xdr:col>
                    <xdr:colOff>76200</xdr:colOff>
                    <xdr:row>47</xdr:row>
                    <xdr:rowOff>276225</xdr:rowOff>
                  </to>
                </anchor>
              </controlPr>
            </control>
          </mc:Choice>
        </mc:AlternateContent>
        <mc:AlternateContent xmlns:mc="http://schemas.openxmlformats.org/markup-compatibility/2006">
          <mc:Choice Requires="x14">
            <control shapeId="17423" r:id="rId18" name="Check Box 15">
              <controlPr defaultSize="0" autoFill="0" autoLine="0" autoPict="0">
                <anchor moveWithCells="1">
                  <from>
                    <xdr:col>0</xdr:col>
                    <xdr:colOff>28575</xdr:colOff>
                    <xdr:row>52</xdr:row>
                    <xdr:rowOff>47625</xdr:rowOff>
                  </from>
                  <to>
                    <xdr:col>1</xdr:col>
                    <xdr:colOff>76200</xdr:colOff>
                    <xdr:row>52</xdr:row>
                    <xdr:rowOff>276225</xdr:rowOff>
                  </to>
                </anchor>
              </controlPr>
            </control>
          </mc:Choice>
        </mc:AlternateContent>
        <mc:AlternateContent xmlns:mc="http://schemas.openxmlformats.org/markup-compatibility/2006">
          <mc:Choice Requires="x14">
            <control shapeId="17424" r:id="rId19" name="Check Box 16">
              <controlPr defaultSize="0" autoFill="0" autoLine="0" autoPict="0">
                <anchor moveWithCells="1">
                  <from>
                    <xdr:col>0</xdr:col>
                    <xdr:colOff>28575</xdr:colOff>
                    <xdr:row>53</xdr:row>
                    <xdr:rowOff>47625</xdr:rowOff>
                  </from>
                  <to>
                    <xdr:col>1</xdr:col>
                    <xdr:colOff>76200</xdr:colOff>
                    <xdr:row>53</xdr:row>
                    <xdr:rowOff>276225</xdr:rowOff>
                  </to>
                </anchor>
              </controlPr>
            </control>
          </mc:Choice>
        </mc:AlternateContent>
        <mc:AlternateContent xmlns:mc="http://schemas.openxmlformats.org/markup-compatibility/2006">
          <mc:Choice Requires="x14">
            <control shapeId="17425" r:id="rId20" name="Check Box 17">
              <controlPr defaultSize="0" autoFill="0" autoLine="0" autoPict="0">
                <anchor moveWithCells="1">
                  <from>
                    <xdr:col>0</xdr:col>
                    <xdr:colOff>28575</xdr:colOff>
                    <xdr:row>57</xdr:row>
                    <xdr:rowOff>47625</xdr:rowOff>
                  </from>
                  <to>
                    <xdr:col>1</xdr:col>
                    <xdr:colOff>76200</xdr:colOff>
                    <xdr:row>57</xdr:row>
                    <xdr:rowOff>285750</xdr:rowOff>
                  </to>
                </anchor>
              </controlPr>
            </control>
          </mc:Choice>
        </mc:AlternateContent>
        <mc:AlternateContent xmlns:mc="http://schemas.openxmlformats.org/markup-compatibility/2006">
          <mc:Choice Requires="x14">
            <control shapeId="17426" r:id="rId21" name="Check Box 18">
              <controlPr defaultSize="0" autoFill="0" autoLine="0" autoPict="0">
                <anchor moveWithCells="1">
                  <from>
                    <xdr:col>0</xdr:col>
                    <xdr:colOff>38100</xdr:colOff>
                    <xdr:row>63</xdr:row>
                    <xdr:rowOff>9525</xdr:rowOff>
                  </from>
                  <to>
                    <xdr:col>1</xdr:col>
                    <xdr:colOff>76200</xdr:colOff>
                    <xdr:row>63</xdr:row>
                    <xdr:rowOff>238125</xdr:rowOff>
                  </to>
                </anchor>
              </controlPr>
            </control>
          </mc:Choice>
        </mc:AlternateContent>
        <mc:AlternateContent xmlns:mc="http://schemas.openxmlformats.org/markup-compatibility/2006">
          <mc:Choice Requires="x14">
            <control shapeId="17427" r:id="rId22" name="Check Box 19">
              <controlPr defaultSize="0" autoFill="0" autoLine="0" autoPict="0">
                <anchor moveWithCells="1">
                  <from>
                    <xdr:col>0</xdr:col>
                    <xdr:colOff>28575</xdr:colOff>
                    <xdr:row>135</xdr:row>
                    <xdr:rowOff>47625</xdr:rowOff>
                  </from>
                  <to>
                    <xdr:col>1</xdr:col>
                    <xdr:colOff>76200</xdr:colOff>
                    <xdr:row>135</xdr:row>
                    <xdr:rowOff>276225</xdr:rowOff>
                  </to>
                </anchor>
              </controlPr>
            </control>
          </mc:Choice>
        </mc:AlternateContent>
        <mc:AlternateContent xmlns:mc="http://schemas.openxmlformats.org/markup-compatibility/2006">
          <mc:Choice Requires="x14">
            <control shapeId="17428" r:id="rId23" name="Check Box 20">
              <controlPr defaultSize="0" autoFill="0" autoLine="0" autoPict="0">
                <anchor moveWithCells="1">
                  <from>
                    <xdr:col>0</xdr:col>
                    <xdr:colOff>28575</xdr:colOff>
                    <xdr:row>136</xdr:row>
                    <xdr:rowOff>47625</xdr:rowOff>
                  </from>
                  <to>
                    <xdr:col>1</xdr:col>
                    <xdr:colOff>76200</xdr:colOff>
                    <xdr:row>136</xdr:row>
                    <xdr:rowOff>276225</xdr:rowOff>
                  </to>
                </anchor>
              </controlPr>
            </control>
          </mc:Choice>
        </mc:AlternateContent>
        <mc:AlternateContent xmlns:mc="http://schemas.openxmlformats.org/markup-compatibility/2006">
          <mc:Choice Requires="x14">
            <control shapeId="17429" r:id="rId24" name="Check Box 21">
              <controlPr defaultSize="0" autoFill="0" autoLine="0" autoPict="0">
                <anchor moveWithCells="1">
                  <from>
                    <xdr:col>0</xdr:col>
                    <xdr:colOff>28575</xdr:colOff>
                    <xdr:row>138</xdr:row>
                    <xdr:rowOff>47625</xdr:rowOff>
                  </from>
                  <to>
                    <xdr:col>1</xdr:col>
                    <xdr:colOff>76200</xdr:colOff>
                    <xdr:row>138</xdr:row>
                    <xdr:rowOff>276225</xdr:rowOff>
                  </to>
                </anchor>
              </controlPr>
            </control>
          </mc:Choice>
        </mc:AlternateContent>
        <mc:AlternateContent xmlns:mc="http://schemas.openxmlformats.org/markup-compatibility/2006">
          <mc:Choice Requires="x14">
            <control shapeId="17430" r:id="rId25" name="Check Box 22">
              <controlPr defaultSize="0" autoFill="0" autoLine="0" autoPict="0">
                <anchor moveWithCells="1">
                  <from>
                    <xdr:col>0</xdr:col>
                    <xdr:colOff>28575</xdr:colOff>
                    <xdr:row>141</xdr:row>
                    <xdr:rowOff>47625</xdr:rowOff>
                  </from>
                  <to>
                    <xdr:col>1</xdr:col>
                    <xdr:colOff>76200</xdr:colOff>
                    <xdr:row>142</xdr:row>
                    <xdr:rowOff>9525</xdr:rowOff>
                  </to>
                </anchor>
              </controlPr>
            </control>
          </mc:Choice>
        </mc:AlternateContent>
        <mc:AlternateContent xmlns:mc="http://schemas.openxmlformats.org/markup-compatibility/2006">
          <mc:Choice Requires="x14">
            <control shapeId="17431" r:id="rId26" name="Check Box 23">
              <controlPr defaultSize="0" autoFill="0" autoLine="0" autoPict="0">
                <anchor moveWithCells="1">
                  <from>
                    <xdr:col>0</xdr:col>
                    <xdr:colOff>28575</xdr:colOff>
                    <xdr:row>145</xdr:row>
                    <xdr:rowOff>47625</xdr:rowOff>
                  </from>
                  <to>
                    <xdr:col>1</xdr:col>
                    <xdr:colOff>76200</xdr:colOff>
                    <xdr:row>145</xdr:row>
                    <xdr:rowOff>276225</xdr:rowOff>
                  </to>
                </anchor>
              </controlPr>
            </control>
          </mc:Choice>
        </mc:AlternateContent>
        <mc:AlternateContent xmlns:mc="http://schemas.openxmlformats.org/markup-compatibility/2006">
          <mc:Choice Requires="x14">
            <control shapeId="17432" r:id="rId27" name="Check Box 24">
              <controlPr defaultSize="0" autoFill="0" autoLine="0" autoPict="0">
                <anchor moveWithCells="1">
                  <from>
                    <xdr:col>0</xdr:col>
                    <xdr:colOff>28575</xdr:colOff>
                    <xdr:row>147</xdr:row>
                    <xdr:rowOff>47625</xdr:rowOff>
                  </from>
                  <to>
                    <xdr:col>1</xdr:col>
                    <xdr:colOff>76200</xdr:colOff>
                    <xdr:row>147</xdr:row>
                    <xdr:rowOff>276225</xdr:rowOff>
                  </to>
                </anchor>
              </controlPr>
            </control>
          </mc:Choice>
        </mc:AlternateContent>
        <mc:AlternateContent xmlns:mc="http://schemas.openxmlformats.org/markup-compatibility/2006">
          <mc:Choice Requires="x14">
            <control shapeId="17433" r:id="rId28" name="Check Box 25">
              <controlPr defaultSize="0" autoFill="0" autoLine="0" autoPict="0">
                <anchor moveWithCells="1">
                  <from>
                    <xdr:col>0</xdr:col>
                    <xdr:colOff>28575</xdr:colOff>
                    <xdr:row>149</xdr:row>
                    <xdr:rowOff>47625</xdr:rowOff>
                  </from>
                  <to>
                    <xdr:col>1</xdr:col>
                    <xdr:colOff>76200</xdr:colOff>
                    <xdr:row>149</xdr:row>
                    <xdr:rowOff>276225</xdr:rowOff>
                  </to>
                </anchor>
              </controlPr>
            </control>
          </mc:Choice>
        </mc:AlternateContent>
        <mc:AlternateContent xmlns:mc="http://schemas.openxmlformats.org/markup-compatibility/2006">
          <mc:Choice Requires="x14">
            <control shapeId="17434" r:id="rId29" name="Check Box 26">
              <controlPr defaultSize="0" autoFill="0" autoLine="0" autoPict="0">
                <anchor moveWithCells="1">
                  <from>
                    <xdr:col>0</xdr:col>
                    <xdr:colOff>28575</xdr:colOff>
                    <xdr:row>152</xdr:row>
                    <xdr:rowOff>47625</xdr:rowOff>
                  </from>
                  <to>
                    <xdr:col>1</xdr:col>
                    <xdr:colOff>76200</xdr:colOff>
                    <xdr:row>153</xdr:row>
                    <xdr:rowOff>28575</xdr:rowOff>
                  </to>
                </anchor>
              </controlPr>
            </control>
          </mc:Choice>
        </mc:AlternateContent>
        <mc:AlternateContent xmlns:mc="http://schemas.openxmlformats.org/markup-compatibility/2006">
          <mc:Choice Requires="x14">
            <control shapeId="17435" r:id="rId30" name="Check Box 27">
              <controlPr defaultSize="0" autoFill="0" autoLine="0" autoPict="0">
                <anchor moveWithCells="1">
                  <from>
                    <xdr:col>0</xdr:col>
                    <xdr:colOff>28575</xdr:colOff>
                    <xdr:row>154</xdr:row>
                    <xdr:rowOff>47625</xdr:rowOff>
                  </from>
                  <to>
                    <xdr:col>1</xdr:col>
                    <xdr:colOff>76200</xdr:colOff>
                    <xdr:row>154</xdr:row>
                    <xdr:rowOff>276225</xdr:rowOff>
                  </to>
                </anchor>
              </controlPr>
            </control>
          </mc:Choice>
        </mc:AlternateContent>
        <mc:AlternateContent xmlns:mc="http://schemas.openxmlformats.org/markup-compatibility/2006">
          <mc:Choice Requires="x14">
            <control shapeId="17436" r:id="rId31" name="Check Box 28">
              <controlPr defaultSize="0" autoFill="0" autoLine="0" autoPict="0">
                <anchor moveWithCells="1">
                  <from>
                    <xdr:col>0</xdr:col>
                    <xdr:colOff>28575</xdr:colOff>
                    <xdr:row>156</xdr:row>
                    <xdr:rowOff>47625</xdr:rowOff>
                  </from>
                  <to>
                    <xdr:col>1</xdr:col>
                    <xdr:colOff>76200</xdr:colOff>
                    <xdr:row>156</xdr:row>
                    <xdr:rowOff>276225</xdr:rowOff>
                  </to>
                </anchor>
              </controlPr>
            </control>
          </mc:Choice>
        </mc:AlternateContent>
        <mc:AlternateContent xmlns:mc="http://schemas.openxmlformats.org/markup-compatibility/2006">
          <mc:Choice Requires="x14">
            <control shapeId="17437" r:id="rId32" name="Check Box 29">
              <controlPr defaultSize="0" autoFill="0" autoLine="0" autoPict="0">
                <anchor moveWithCells="1">
                  <from>
                    <xdr:col>0</xdr:col>
                    <xdr:colOff>28575</xdr:colOff>
                    <xdr:row>155</xdr:row>
                    <xdr:rowOff>47625</xdr:rowOff>
                  </from>
                  <to>
                    <xdr:col>1</xdr:col>
                    <xdr:colOff>76200</xdr:colOff>
                    <xdr:row>155</xdr:row>
                    <xdr:rowOff>276225</xdr:rowOff>
                  </to>
                </anchor>
              </controlPr>
            </control>
          </mc:Choice>
        </mc:AlternateContent>
        <mc:AlternateContent xmlns:mc="http://schemas.openxmlformats.org/markup-compatibility/2006">
          <mc:Choice Requires="x14">
            <control shapeId="17438" r:id="rId33" name="Check Box 30">
              <controlPr defaultSize="0" autoFill="0" autoLine="0" autoPict="0">
                <anchor moveWithCells="1">
                  <from>
                    <xdr:col>0</xdr:col>
                    <xdr:colOff>28575</xdr:colOff>
                    <xdr:row>167</xdr:row>
                    <xdr:rowOff>47625</xdr:rowOff>
                  </from>
                  <to>
                    <xdr:col>1</xdr:col>
                    <xdr:colOff>76200</xdr:colOff>
                    <xdr:row>167</xdr:row>
                    <xdr:rowOff>276225</xdr:rowOff>
                  </to>
                </anchor>
              </controlPr>
            </control>
          </mc:Choice>
        </mc:AlternateContent>
        <mc:AlternateContent xmlns:mc="http://schemas.openxmlformats.org/markup-compatibility/2006">
          <mc:Choice Requires="x14">
            <control shapeId="17439" r:id="rId34" name="Check Box 31">
              <controlPr defaultSize="0" autoFill="0" autoLine="0" autoPict="0">
                <anchor moveWithCells="1">
                  <from>
                    <xdr:col>0</xdr:col>
                    <xdr:colOff>28575</xdr:colOff>
                    <xdr:row>172</xdr:row>
                    <xdr:rowOff>47625</xdr:rowOff>
                  </from>
                  <to>
                    <xdr:col>1</xdr:col>
                    <xdr:colOff>76200</xdr:colOff>
                    <xdr:row>172</xdr:row>
                    <xdr:rowOff>276225</xdr:rowOff>
                  </to>
                </anchor>
              </controlPr>
            </control>
          </mc:Choice>
        </mc:AlternateContent>
        <mc:AlternateContent xmlns:mc="http://schemas.openxmlformats.org/markup-compatibility/2006">
          <mc:Choice Requires="x14">
            <control shapeId="17440" r:id="rId35" name="Check Box 32">
              <controlPr defaultSize="0" autoFill="0" autoLine="0" autoPict="0">
                <anchor moveWithCells="1">
                  <from>
                    <xdr:col>0</xdr:col>
                    <xdr:colOff>28575</xdr:colOff>
                    <xdr:row>172</xdr:row>
                    <xdr:rowOff>47625</xdr:rowOff>
                  </from>
                  <to>
                    <xdr:col>1</xdr:col>
                    <xdr:colOff>76200</xdr:colOff>
                    <xdr:row>172</xdr:row>
                    <xdr:rowOff>276225</xdr:rowOff>
                  </to>
                </anchor>
              </controlPr>
            </control>
          </mc:Choice>
        </mc:AlternateContent>
        <mc:AlternateContent xmlns:mc="http://schemas.openxmlformats.org/markup-compatibility/2006">
          <mc:Choice Requires="x14">
            <control shapeId="17441" r:id="rId36" name="Check Box 33">
              <controlPr defaultSize="0" autoFill="0" autoLine="0" autoPict="0">
                <anchor moveWithCells="1">
                  <from>
                    <xdr:col>0</xdr:col>
                    <xdr:colOff>28575</xdr:colOff>
                    <xdr:row>174</xdr:row>
                    <xdr:rowOff>47625</xdr:rowOff>
                  </from>
                  <to>
                    <xdr:col>1</xdr:col>
                    <xdr:colOff>76200</xdr:colOff>
                    <xdr:row>174</xdr:row>
                    <xdr:rowOff>276225</xdr:rowOff>
                  </to>
                </anchor>
              </controlPr>
            </control>
          </mc:Choice>
        </mc:AlternateContent>
        <mc:AlternateContent xmlns:mc="http://schemas.openxmlformats.org/markup-compatibility/2006">
          <mc:Choice Requires="x14">
            <control shapeId="17442" r:id="rId37" name="Check Box 34">
              <controlPr defaultSize="0" autoFill="0" autoLine="0" autoPict="0">
                <anchor moveWithCells="1">
                  <from>
                    <xdr:col>0</xdr:col>
                    <xdr:colOff>28575</xdr:colOff>
                    <xdr:row>157</xdr:row>
                    <xdr:rowOff>47625</xdr:rowOff>
                  </from>
                  <to>
                    <xdr:col>1</xdr:col>
                    <xdr:colOff>76200</xdr:colOff>
                    <xdr:row>157</xdr:row>
                    <xdr:rowOff>295275</xdr:rowOff>
                  </to>
                </anchor>
              </controlPr>
            </control>
          </mc:Choice>
        </mc:AlternateContent>
        <mc:AlternateContent xmlns:mc="http://schemas.openxmlformats.org/markup-compatibility/2006">
          <mc:Choice Requires="x14">
            <control shapeId="17443" r:id="rId38" name="Check Box 35">
              <controlPr defaultSize="0" autoFill="0" autoLine="0" autoPict="0">
                <anchor moveWithCells="1">
                  <from>
                    <xdr:col>0</xdr:col>
                    <xdr:colOff>28575</xdr:colOff>
                    <xdr:row>34</xdr:row>
                    <xdr:rowOff>47625</xdr:rowOff>
                  </from>
                  <to>
                    <xdr:col>1</xdr:col>
                    <xdr:colOff>76200</xdr:colOff>
                    <xdr:row>34</xdr:row>
                    <xdr:rowOff>276225</xdr:rowOff>
                  </to>
                </anchor>
              </controlPr>
            </control>
          </mc:Choice>
        </mc:AlternateContent>
        <mc:AlternateContent xmlns:mc="http://schemas.openxmlformats.org/markup-compatibility/2006">
          <mc:Choice Requires="x14">
            <control shapeId="17444" r:id="rId39" name="Check Box 36">
              <controlPr defaultSize="0" autoFill="0" autoLine="0" autoPict="0">
                <anchor moveWithCells="1">
                  <from>
                    <xdr:col>0</xdr:col>
                    <xdr:colOff>28575</xdr:colOff>
                    <xdr:row>199</xdr:row>
                    <xdr:rowOff>0</xdr:rowOff>
                  </from>
                  <to>
                    <xdr:col>1</xdr:col>
                    <xdr:colOff>76200</xdr:colOff>
                    <xdr:row>200</xdr:row>
                    <xdr:rowOff>57150</xdr:rowOff>
                  </to>
                </anchor>
              </controlPr>
            </control>
          </mc:Choice>
        </mc:AlternateContent>
        <mc:AlternateContent xmlns:mc="http://schemas.openxmlformats.org/markup-compatibility/2006">
          <mc:Choice Requires="x14">
            <control shapeId="17445" r:id="rId40" name="Check Box 37">
              <controlPr defaultSize="0" autoFill="0" autoLine="0" autoPict="0">
                <anchor moveWithCells="1">
                  <from>
                    <xdr:col>9</xdr:col>
                    <xdr:colOff>142875</xdr:colOff>
                    <xdr:row>3</xdr:row>
                    <xdr:rowOff>38100</xdr:rowOff>
                  </from>
                  <to>
                    <xdr:col>10</xdr:col>
                    <xdr:colOff>47625</xdr:colOff>
                    <xdr:row>3</xdr:row>
                    <xdr:rowOff>266700</xdr:rowOff>
                  </to>
                </anchor>
              </controlPr>
            </control>
          </mc:Choice>
        </mc:AlternateContent>
        <mc:AlternateContent xmlns:mc="http://schemas.openxmlformats.org/markup-compatibility/2006">
          <mc:Choice Requires="x14">
            <control shapeId="17446" r:id="rId41" name="Check Box 38">
              <controlPr defaultSize="0" autoFill="0" autoLine="0" autoPict="0">
                <anchor moveWithCells="1">
                  <from>
                    <xdr:col>6</xdr:col>
                    <xdr:colOff>95250</xdr:colOff>
                    <xdr:row>65</xdr:row>
                    <xdr:rowOff>9525</xdr:rowOff>
                  </from>
                  <to>
                    <xdr:col>7</xdr:col>
                    <xdr:colOff>47625</xdr:colOff>
                    <xdr:row>65</xdr:row>
                    <xdr:rowOff>238125</xdr:rowOff>
                  </to>
                </anchor>
              </controlPr>
            </control>
          </mc:Choice>
        </mc:AlternateContent>
        <mc:AlternateContent xmlns:mc="http://schemas.openxmlformats.org/markup-compatibility/2006">
          <mc:Choice Requires="x14">
            <control shapeId="17447" r:id="rId42" name="Check Box 39">
              <controlPr defaultSize="0" autoFill="0" autoLine="0" autoPict="0">
                <anchor moveWithCells="1">
                  <from>
                    <xdr:col>6</xdr:col>
                    <xdr:colOff>95250</xdr:colOff>
                    <xdr:row>66</xdr:row>
                    <xdr:rowOff>9525</xdr:rowOff>
                  </from>
                  <to>
                    <xdr:col>7</xdr:col>
                    <xdr:colOff>47625</xdr:colOff>
                    <xdr:row>66</xdr:row>
                    <xdr:rowOff>238125</xdr:rowOff>
                  </to>
                </anchor>
              </controlPr>
            </control>
          </mc:Choice>
        </mc:AlternateContent>
        <mc:AlternateContent xmlns:mc="http://schemas.openxmlformats.org/markup-compatibility/2006">
          <mc:Choice Requires="x14">
            <control shapeId="17448" r:id="rId43" name="Check Box 40">
              <controlPr defaultSize="0" autoFill="0" autoLine="0" autoPict="0">
                <anchor moveWithCells="1">
                  <from>
                    <xdr:col>6</xdr:col>
                    <xdr:colOff>95250</xdr:colOff>
                    <xdr:row>67</xdr:row>
                    <xdr:rowOff>9525</xdr:rowOff>
                  </from>
                  <to>
                    <xdr:col>7</xdr:col>
                    <xdr:colOff>47625</xdr:colOff>
                    <xdr:row>67</xdr:row>
                    <xdr:rowOff>238125</xdr:rowOff>
                  </to>
                </anchor>
              </controlPr>
            </control>
          </mc:Choice>
        </mc:AlternateContent>
        <mc:AlternateContent xmlns:mc="http://schemas.openxmlformats.org/markup-compatibility/2006">
          <mc:Choice Requires="x14">
            <control shapeId="17449" r:id="rId44" name="Check Box 41">
              <controlPr defaultSize="0" autoFill="0" autoLine="0" autoPict="0">
                <anchor moveWithCells="1">
                  <from>
                    <xdr:col>6</xdr:col>
                    <xdr:colOff>95250</xdr:colOff>
                    <xdr:row>68</xdr:row>
                    <xdr:rowOff>9525</xdr:rowOff>
                  </from>
                  <to>
                    <xdr:col>7</xdr:col>
                    <xdr:colOff>47625</xdr:colOff>
                    <xdr:row>68</xdr:row>
                    <xdr:rowOff>238125</xdr:rowOff>
                  </to>
                </anchor>
              </controlPr>
            </control>
          </mc:Choice>
        </mc:AlternateContent>
        <mc:AlternateContent xmlns:mc="http://schemas.openxmlformats.org/markup-compatibility/2006">
          <mc:Choice Requires="x14">
            <control shapeId="17450" r:id="rId45" name="Check Box 42">
              <controlPr defaultSize="0" autoFill="0" autoLine="0" autoPict="0">
                <anchor moveWithCells="1">
                  <from>
                    <xdr:col>6</xdr:col>
                    <xdr:colOff>95250</xdr:colOff>
                    <xdr:row>69</xdr:row>
                    <xdr:rowOff>9525</xdr:rowOff>
                  </from>
                  <to>
                    <xdr:col>7</xdr:col>
                    <xdr:colOff>47625</xdr:colOff>
                    <xdr:row>69</xdr:row>
                    <xdr:rowOff>238125</xdr:rowOff>
                  </to>
                </anchor>
              </controlPr>
            </control>
          </mc:Choice>
        </mc:AlternateContent>
        <mc:AlternateContent xmlns:mc="http://schemas.openxmlformats.org/markup-compatibility/2006">
          <mc:Choice Requires="x14">
            <control shapeId="17451" r:id="rId46" name="Check Box 43">
              <controlPr defaultSize="0" autoFill="0" autoLine="0" autoPict="0">
                <anchor moveWithCells="1">
                  <from>
                    <xdr:col>0</xdr:col>
                    <xdr:colOff>38100</xdr:colOff>
                    <xdr:row>65</xdr:row>
                    <xdr:rowOff>9525</xdr:rowOff>
                  </from>
                  <to>
                    <xdr:col>1</xdr:col>
                    <xdr:colOff>76200</xdr:colOff>
                    <xdr:row>65</xdr:row>
                    <xdr:rowOff>238125</xdr:rowOff>
                  </to>
                </anchor>
              </controlPr>
            </control>
          </mc:Choice>
        </mc:AlternateContent>
        <mc:AlternateContent xmlns:mc="http://schemas.openxmlformats.org/markup-compatibility/2006">
          <mc:Choice Requires="x14">
            <control shapeId="17452" r:id="rId47" name="Check Box 44">
              <controlPr defaultSize="0" autoFill="0" autoLine="0" autoPict="0">
                <anchor moveWithCells="1">
                  <from>
                    <xdr:col>0</xdr:col>
                    <xdr:colOff>38100</xdr:colOff>
                    <xdr:row>66</xdr:row>
                    <xdr:rowOff>9525</xdr:rowOff>
                  </from>
                  <to>
                    <xdr:col>1</xdr:col>
                    <xdr:colOff>76200</xdr:colOff>
                    <xdr:row>66</xdr:row>
                    <xdr:rowOff>238125</xdr:rowOff>
                  </to>
                </anchor>
              </controlPr>
            </control>
          </mc:Choice>
        </mc:AlternateContent>
        <mc:AlternateContent xmlns:mc="http://schemas.openxmlformats.org/markup-compatibility/2006">
          <mc:Choice Requires="x14">
            <control shapeId="17453" r:id="rId48" name="Check Box 45">
              <controlPr defaultSize="0" autoFill="0" autoLine="0" autoPict="0">
                <anchor moveWithCells="1">
                  <from>
                    <xdr:col>0</xdr:col>
                    <xdr:colOff>38100</xdr:colOff>
                    <xdr:row>67</xdr:row>
                    <xdr:rowOff>9525</xdr:rowOff>
                  </from>
                  <to>
                    <xdr:col>1</xdr:col>
                    <xdr:colOff>76200</xdr:colOff>
                    <xdr:row>67</xdr:row>
                    <xdr:rowOff>238125</xdr:rowOff>
                  </to>
                </anchor>
              </controlPr>
            </control>
          </mc:Choice>
        </mc:AlternateContent>
        <mc:AlternateContent xmlns:mc="http://schemas.openxmlformats.org/markup-compatibility/2006">
          <mc:Choice Requires="x14">
            <control shapeId="17454" r:id="rId49" name="Check Box 46">
              <controlPr defaultSize="0" autoFill="0" autoLine="0" autoPict="0">
                <anchor moveWithCells="1">
                  <from>
                    <xdr:col>0</xdr:col>
                    <xdr:colOff>28575</xdr:colOff>
                    <xdr:row>176</xdr:row>
                    <xdr:rowOff>47625</xdr:rowOff>
                  </from>
                  <to>
                    <xdr:col>1</xdr:col>
                    <xdr:colOff>76200</xdr:colOff>
                    <xdr:row>176</xdr:row>
                    <xdr:rowOff>276225</xdr:rowOff>
                  </to>
                </anchor>
              </controlPr>
            </control>
          </mc:Choice>
        </mc:AlternateContent>
        <mc:AlternateContent xmlns:mc="http://schemas.openxmlformats.org/markup-compatibility/2006">
          <mc:Choice Requires="x14">
            <control shapeId="17455" r:id="rId50" name="Check Box 47">
              <controlPr defaultSize="0" autoFill="0" autoLine="0" autoPict="0">
                <anchor moveWithCells="1">
                  <from>
                    <xdr:col>0</xdr:col>
                    <xdr:colOff>28575</xdr:colOff>
                    <xdr:row>192</xdr:row>
                    <xdr:rowOff>47625</xdr:rowOff>
                  </from>
                  <to>
                    <xdr:col>1</xdr:col>
                    <xdr:colOff>76200</xdr:colOff>
                    <xdr:row>192</xdr:row>
                    <xdr:rowOff>285750</xdr:rowOff>
                  </to>
                </anchor>
              </controlPr>
            </control>
          </mc:Choice>
        </mc:AlternateContent>
        <mc:AlternateContent xmlns:mc="http://schemas.openxmlformats.org/markup-compatibility/2006">
          <mc:Choice Requires="x14">
            <control shapeId="17456" r:id="rId51" name="Check Box 48">
              <controlPr defaultSize="0" autoFill="0" autoLine="0" autoPict="0">
                <anchor moveWithCells="1">
                  <from>
                    <xdr:col>0</xdr:col>
                    <xdr:colOff>28575</xdr:colOff>
                    <xdr:row>197</xdr:row>
                    <xdr:rowOff>47625</xdr:rowOff>
                  </from>
                  <to>
                    <xdr:col>1</xdr:col>
                    <xdr:colOff>76200</xdr:colOff>
                    <xdr:row>197</xdr:row>
                    <xdr:rowOff>276225</xdr:rowOff>
                  </to>
                </anchor>
              </controlPr>
            </control>
          </mc:Choice>
        </mc:AlternateContent>
        <mc:AlternateContent xmlns:mc="http://schemas.openxmlformats.org/markup-compatibility/2006">
          <mc:Choice Requires="x14">
            <control shapeId="17457" r:id="rId52" name="Check Box 49">
              <controlPr defaultSize="0" autoFill="0" autoLine="0" autoPict="0">
                <anchor moveWithCells="1">
                  <from>
                    <xdr:col>9</xdr:col>
                    <xdr:colOff>142875</xdr:colOff>
                    <xdr:row>4</xdr:row>
                    <xdr:rowOff>38100</xdr:rowOff>
                  </from>
                  <to>
                    <xdr:col>10</xdr:col>
                    <xdr:colOff>47625</xdr:colOff>
                    <xdr:row>4</xdr:row>
                    <xdr:rowOff>266700</xdr:rowOff>
                  </to>
                </anchor>
              </controlPr>
            </control>
          </mc:Choice>
        </mc:AlternateContent>
        <mc:AlternateContent xmlns:mc="http://schemas.openxmlformats.org/markup-compatibility/2006">
          <mc:Choice Requires="x14">
            <control shapeId="17458" r:id="rId53" name="Check Box 50">
              <controlPr defaultSize="0" autoFill="0" autoLine="0" autoPict="0">
                <anchor moveWithCells="1">
                  <from>
                    <xdr:col>0</xdr:col>
                    <xdr:colOff>38100</xdr:colOff>
                    <xdr:row>201</xdr:row>
                    <xdr:rowOff>295275</xdr:rowOff>
                  </from>
                  <to>
                    <xdr:col>1</xdr:col>
                    <xdr:colOff>76200</xdr:colOff>
                    <xdr:row>203</xdr:row>
                    <xdr:rowOff>28575</xdr:rowOff>
                  </to>
                </anchor>
              </controlPr>
            </control>
          </mc:Choice>
        </mc:AlternateContent>
        <mc:AlternateContent xmlns:mc="http://schemas.openxmlformats.org/markup-compatibility/2006">
          <mc:Choice Requires="x14">
            <control shapeId="17459" r:id="rId54" name="Check Box 51">
              <controlPr defaultSize="0" autoFill="0" autoLine="0" autoPict="0">
                <anchor moveWithCells="1">
                  <from>
                    <xdr:col>9</xdr:col>
                    <xdr:colOff>142875</xdr:colOff>
                    <xdr:row>5</xdr:row>
                    <xdr:rowOff>38100</xdr:rowOff>
                  </from>
                  <to>
                    <xdr:col>10</xdr:col>
                    <xdr:colOff>47625</xdr:colOff>
                    <xdr:row>5</xdr:row>
                    <xdr:rowOff>266700</xdr:rowOff>
                  </to>
                </anchor>
              </controlPr>
            </control>
          </mc:Choice>
        </mc:AlternateContent>
        <mc:AlternateContent xmlns:mc="http://schemas.openxmlformats.org/markup-compatibility/2006">
          <mc:Choice Requires="x14">
            <control shapeId="17460" r:id="rId55" name="Check Box 52">
              <controlPr defaultSize="0" autoFill="0" autoLine="0" autoPict="0">
                <anchor moveWithCells="1">
                  <from>
                    <xdr:col>0</xdr:col>
                    <xdr:colOff>28575</xdr:colOff>
                    <xdr:row>72</xdr:row>
                    <xdr:rowOff>47625</xdr:rowOff>
                  </from>
                  <to>
                    <xdr:col>1</xdr:col>
                    <xdr:colOff>76200</xdr:colOff>
                    <xdr:row>72</xdr:row>
                    <xdr:rowOff>276225</xdr:rowOff>
                  </to>
                </anchor>
              </controlPr>
            </control>
          </mc:Choice>
        </mc:AlternateContent>
        <mc:AlternateContent xmlns:mc="http://schemas.openxmlformats.org/markup-compatibility/2006">
          <mc:Choice Requires="x14">
            <control shapeId="17461" r:id="rId56" name="Check Box 53">
              <controlPr defaultSize="0" autoFill="0" autoLine="0" autoPict="0">
                <anchor moveWithCells="1">
                  <from>
                    <xdr:col>0</xdr:col>
                    <xdr:colOff>28575</xdr:colOff>
                    <xdr:row>78</xdr:row>
                    <xdr:rowOff>47625</xdr:rowOff>
                  </from>
                  <to>
                    <xdr:col>1</xdr:col>
                    <xdr:colOff>76200</xdr:colOff>
                    <xdr:row>78</xdr:row>
                    <xdr:rowOff>285750</xdr:rowOff>
                  </to>
                </anchor>
              </controlPr>
            </control>
          </mc:Choice>
        </mc:AlternateContent>
        <mc:AlternateContent xmlns:mc="http://schemas.openxmlformats.org/markup-compatibility/2006">
          <mc:Choice Requires="x14">
            <control shapeId="17462" r:id="rId57" name="Check Box 54">
              <controlPr defaultSize="0" autoFill="0" autoLine="0" autoPict="0">
                <anchor moveWithCells="1">
                  <from>
                    <xdr:col>0</xdr:col>
                    <xdr:colOff>28575</xdr:colOff>
                    <xdr:row>83</xdr:row>
                    <xdr:rowOff>47625</xdr:rowOff>
                  </from>
                  <to>
                    <xdr:col>1</xdr:col>
                    <xdr:colOff>76200</xdr:colOff>
                    <xdr:row>83</xdr:row>
                    <xdr:rowOff>276225</xdr:rowOff>
                  </to>
                </anchor>
              </controlPr>
            </control>
          </mc:Choice>
        </mc:AlternateContent>
        <mc:AlternateContent xmlns:mc="http://schemas.openxmlformats.org/markup-compatibility/2006">
          <mc:Choice Requires="x14">
            <control shapeId="17463" r:id="rId58" name="Check Box 55">
              <controlPr defaultSize="0" autoFill="0" autoLine="0" autoPict="0">
                <anchor moveWithCells="1">
                  <from>
                    <xdr:col>0</xdr:col>
                    <xdr:colOff>28575</xdr:colOff>
                    <xdr:row>77</xdr:row>
                    <xdr:rowOff>47625</xdr:rowOff>
                  </from>
                  <to>
                    <xdr:col>1</xdr:col>
                    <xdr:colOff>76200</xdr:colOff>
                    <xdr:row>77</xdr:row>
                    <xdr:rowOff>276225</xdr:rowOff>
                  </to>
                </anchor>
              </controlPr>
            </control>
          </mc:Choice>
        </mc:AlternateContent>
        <mc:AlternateContent xmlns:mc="http://schemas.openxmlformats.org/markup-compatibility/2006">
          <mc:Choice Requires="x14">
            <control shapeId="17464" r:id="rId59" name="Check Box 56">
              <controlPr defaultSize="0" autoFill="0" autoLine="0" autoPict="0">
                <anchor moveWithCells="1">
                  <from>
                    <xdr:col>0</xdr:col>
                    <xdr:colOff>28575</xdr:colOff>
                    <xdr:row>85</xdr:row>
                    <xdr:rowOff>47625</xdr:rowOff>
                  </from>
                  <to>
                    <xdr:col>1</xdr:col>
                    <xdr:colOff>76200</xdr:colOff>
                    <xdr:row>85</xdr:row>
                    <xdr:rowOff>276225</xdr:rowOff>
                  </to>
                </anchor>
              </controlPr>
            </control>
          </mc:Choice>
        </mc:AlternateContent>
        <mc:AlternateContent xmlns:mc="http://schemas.openxmlformats.org/markup-compatibility/2006">
          <mc:Choice Requires="x14">
            <control shapeId="17465" r:id="rId60" name="Check Box 57">
              <controlPr defaultSize="0" autoFill="0" autoLine="0" autoPict="0">
                <anchor moveWithCells="1">
                  <from>
                    <xdr:col>0</xdr:col>
                    <xdr:colOff>28575</xdr:colOff>
                    <xdr:row>91</xdr:row>
                    <xdr:rowOff>47625</xdr:rowOff>
                  </from>
                  <to>
                    <xdr:col>1</xdr:col>
                    <xdr:colOff>76200</xdr:colOff>
                    <xdr:row>91</xdr:row>
                    <xdr:rowOff>285750</xdr:rowOff>
                  </to>
                </anchor>
              </controlPr>
            </control>
          </mc:Choice>
        </mc:AlternateContent>
        <mc:AlternateContent xmlns:mc="http://schemas.openxmlformats.org/markup-compatibility/2006">
          <mc:Choice Requires="x14">
            <control shapeId="17466" r:id="rId61" name="Check Box 58">
              <controlPr defaultSize="0" autoFill="0" autoLine="0" autoPict="0">
                <anchor moveWithCells="1">
                  <from>
                    <xdr:col>0</xdr:col>
                    <xdr:colOff>28575</xdr:colOff>
                    <xdr:row>96</xdr:row>
                    <xdr:rowOff>47625</xdr:rowOff>
                  </from>
                  <to>
                    <xdr:col>1</xdr:col>
                    <xdr:colOff>76200</xdr:colOff>
                    <xdr:row>96</xdr:row>
                    <xdr:rowOff>276225</xdr:rowOff>
                  </to>
                </anchor>
              </controlPr>
            </control>
          </mc:Choice>
        </mc:AlternateContent>
        <mc:AlternateContent xmlns:mc="http://schemas.openxmlformats.org/markup-compatibility/2006">
          <mc:Choice Requires="x14">
            <control shapeId="17467" r:id="rId62" name="Check Box 59">
              <controlPr defaultSize="0" autoFill="0" autoLine="0" autoPict="0">
                <anchor moveWithCells="1">
                  <from>
                    <xdr:col>0</xdr:col>
                    <xdr:colOff>28575</xdr:colOff>
                    <xdr:row>90</xdr:row>
                    <xdr:rowOff>47625</xdr:rowOff>
                  </from>
                  <to>
                    <xdr:col>1</xdr:col>
                    <xdr:colOff>76200</xdr:colOff>
                    <xdr:row>90</xdr:row>
                    <xdr:rowOff>276225</xdr:rowOff>
                  </to>
                </anchor>
              </controlPr>
            </control>
          </mc:Choice>
        </mc:AlternateContent>
        <mc:AlternateContent xmlns:mc="http://schemas.openxmlformats.org/markup-compatibility/2006">
          <mc:Choice Requires="x14">
            <control shapeId="17468" r:id="rId63" name="Check Box 60">
              <controlPr defaultSize="0" autoFill="0" autoLine="0" autoPict="0">
                <anchor moveWithCells="1">
                  <from>
                    <xdr:col>0</xdr:col>
                    <xdr:colOff>28575</xdr:colOff>
                    <xdr:row>98</xdr:row>
                    <xdr:rowOff>47625</xdr:rowOff>
                  </from>
                  <to>
                    <xdr:col>1</xdr:col>
                    <xdr:colOff>76200</xdr:colOff>
                    <xdr:row>98</xdr:row>
                    <xdr:rowOff>276225</xdr:rowOff>
                  </to>
                </anchor>
              </controlPr>
            </control>
          </mc:Choice>
        </mc:AlternateContent>
        <mc:AlternateContent xmlns:mc="http://schemas.openxmlformats.org/markup-compatibility/2006">
          <mc:Choice Requires="x14">
            <control shapeId="17469" r:id="rId64" name="Check Box 61">
              <controlPr defaultSize="0" autoFill="0" autoLine="0" autoPict="0">
                <anchor moveWithCells="1">
                  <from>
                    <xdr:col>0</xdr:col>
                    <xdr:colOff>28575</xdr:colOff>
                    <xdr:row>99</xdr:row>
                    <xdr:rowOff>47625</xdr:rowOff>
                  </from>
                  <to>
                    <xdr:col>1</xdr:col>
                    <xdr:colOff>76200</xdr:colOff>
                    <xdr:row>99</xdr:row>
                    <xdr:rowOff>276225</xdr:rowOff>
                  </to>
                </anchor>
              </controlPr>
            </control>
          </mc:Choice>
        </mc:AlternateContent>
        <mc:AlternateContent xmlns:mc="http://schemas.openxmlformats.org/markup-compatibility/2006">
          <mc:Choice Requires="x14">
            <control shapeId="17470" r:id="rId65" name="Check Box 62">
              <controlPr defaultSize="0" autoFill="0" autoLine="0" autoPict="0">
                <anchor moveWithCells="1">
                  <from>
                    <xdr:col>0</xdr:col>
                    <xdr:colOff>28575</xdr:colOff>
                    <xdr:row>101</xdr:row>
                    <xdr:rowOff>47625</xdr:rowOff>
                  </from>
                  <to>
                    <xdr:col>1</xdr:col>
                    <xdr:colOff>76200</xdr:colOff>
                    <xdr:row>101</xdr:row>
                    <xdr:rowOff>276225</xdr:rowOff>
                  </to>
                </anchor>
              </controlPr>
            </control>
          </mc:Choice>
        </mc:AlternateContent>
        <mc:AlternateContent xmlns:mc="http://schemas.openxmlformats.org/markup-compatibility/2006">
          <mc:Choice Requires="x14">
            <control shapeId="17471" r:id="rId66" name="Check Box 63">
              <controlPr defaultSize="0" autoFill="0" autoLine="0" autoPict="0">
                <anchor moveWithCells="1">
                  <from>
                    <xdr:col>0</xdr:col>
                    <xdr:colOff>28575</xdr:colOff>
                    <xdr:row>104</xdr:row>
                    <xdr:rowOff>47625</xdr:rowOff>
                  </from>
                  <to>
                    <xdr:col>1</xdr:col>
                    <xdr:colOff>76200</xdr:colOff>
                    <xdr:row>105</xdr:row>
                    <xdr:rowOff>0</xdr:rowOff>
                  </to>
                </anchor>
              </controlPr>
            </control>
          </mc:Choice>
        </mc:AlternateContent>
        <mc:AlternateContent xmlns:mc="http://schemas.openxmlformats.org/markup-compatibility/2006">
          <mc:Choice Requires="x14">
            <control shapeId="17472" r:id="rId67" name="Check Box 64">
              <controlPr defaultSize="0" autoFill="0" autoLine="0" autoPict="0">
                <anchor moveWithCells="1">
                  <from>
                    <xdr:col>0</xdr:col>
                    <xdr:colOff>28575</xdr:colOff>
                    <xdr:row>108</xdr:row>
                    <xdr:rowOff>0</xdr:rowOff>
                  </from>
                  <to>
                    <xdr:col>1</xdr:col>
                    <xdr:colOff>76200</xdr:colOff>
                    <xdr:row>108</xdr:row>
                    <xdr:rowOff>228600</xdr:rowOff>
                  </to>
                </anchor>
              </controlPr>
            </control>
          </mc:Choice>
        </mc:AlternateContent>
        <mc:AlternateContent xmlns:mc="http://schemas.openxmlformats.org/markup-compatibility/2006">
          <mc:Choice Requires="x14">
            <control shapeId="17473" r:id="rId68" name="Check Box 65">
              <controlPr defaultSize="0" autoFill="0" autoLine="0" autoPict="0">
                <anchor moveWithCells="1">
                  <from>
                    <xdr:col>0</xdr:col>
                    <xdr:colOff>28575</xdr:colOff>
                    <xdr:row>108</xdr:row>
                    <xdr:rowOff>47625</xdr:rowOff>
                  </from>
                  <to>
                    <xdr:col>1</xdr:col>
                    <xdr:colOff>76200</xdr:colOff>
                    <xdr:row>108</xdr:row>
                    <xdr:rowOff>276225</xdr:rowOff>
                  </to>
                </anchor>
              </controlPr>
            </control>
          </mc:Choice>
        </mc:AlternateContent>
        <mc:AlternateContent xmlns:mc="http://schemas.openxmlformats.org/markup-compatibility/2006">
          <mc:Choice Requires="x14">
            <control shapeId="17474" r:id="rId69" name="Check Box 66">
              <controlPr defaultSize="0" autoFill="0" autoLine="0" autoPict="0">
                <anchor moveWithCells="1">
                  <from>
                    <xdr:col>0</xdr:col>
                    <xdr:colOff>28575</xdr:colOff>
                    <xdr:row>110</xdr:row>
                    <xdr:rowOff>47625</xdr:rowOff>
                  </from>
                  <to>
                    <xdr:col>1</xdr:col>
                    <xdr:colOff>76200</xdr:colOff>
                    <xdr:row>110</xdr:row>
                    <xdr:rowOff>276225</xdr:rowOff>
                  </to>
                </anchor>
              </controlPr>
            </control>
          </mc:Choice>
        </mc:AlternateContent>
        <mc:AlternateContent xmlns:mc="http://schemas.openxmlformats.org/markup-compatibility/2006">
          <mc:Choice Requires="x14">
            <control shapeId="17475" r:id="rId70" name="Check Box 67">
              <controlPr defaultSize="0" autoFill="0" autoLine="0" autoPict="0">
                <anchor moveWithCells="1">
                  <from>
                    <xdr:col>0</xdr:col>
                    <xdr:colOff>28575</xdr:colOff>
                    <xdr:row>113</xdr:row>
                    <xdr:rowOff>47625</xdr:rowOff>
                  </from>
                  <to>
                    <xdr:col>1</xdr:col>
                    <xdr:colOff>76200</xdr:colOff>
                    <xdr:row>114</xdr:row>
                    <xdr:rowOff>28575</xdr:rowOff>
                  </to>
                </anchor>
              </controlPr>
            </control>
          </mc:Choice>
        </mc:AlternateContent>
        <mc:AlternateContent xmlns:mc="http://schemas.openxmlformats.org/markup-compatibility/2006">
          <mc:Choice Requires="x14">
            <control shapeId="17476" r:id="rId71" name="Check Box 68">
              <controlPr defaultSize="0" autoFill="0" autoLine="0" autoPict="0">
                <anchor moveWithCells="1">
                  <from>
                    <xdr:col>0</xdr:col>
                    <xdr:colOff>28575</xdr:colOff>
                    <xdr:row>115</xdr:row>
                    <xdr:rowOff>47625</xdr:rowOff>
                  </from>
                  <to>
                    <xdr:col>1</xdr:col>
                    <xdr:colOff>76200</xdr:colOff>
                    <xdr:row>115</xdr:row>
                    <xdr:rowOff>276225</xdr:rowOff>
                  </to>
                </anchor>
              </controlPr>
            </control>
          </mc:Choice>
        </mc:AlternateContent>
        <mc:AlternateContent xmlns:mc="http://schemas.openxmlformats.org/markup-compatibility/2006">
          <mc:Choice Requires="x14">
            <control shapeId="17477" r:id="rId72" name="Check Box 69">
              <controlPr defaultSize="0" autoFill="0" autoLine="0" autoPict="0">
                <anchor moveWithCells="1">
                  <from>
                    <xdr:col>0</xdr:col>
                    <xdr:colOff>28575</xdr:colOff>
                    <xdr:row>117</xdr:row>
                    <xdr:rowOff>47625</xdr:rowOff>
                  </from>
                  <to>
                    <xdr:col>1</xdr:col>
                    <xdr:colOff>76200</xdr:colOff>
                    <xdr:row>117</xdr:row>
                    <xdr:rowOff>276225</xdr:rowOff>
                  </to>
                </anchor>
              </controlPr>
            </control>
          </mc:Choice>
        </mc:AlternateContent>
        <mc:AlternateContent xmlns:mc="http://schemas.openxmlformats.org/markup-compatibility/2006">
          <mc:Choice Requires="x14">
            <control shapeId="17478" r:id="rId73" name="Check Box 70">
              <controlPr defaultSize="0" autoFill="0" autoLine="0" autoPict="0">
                <anchor moveWithCells="1">
                  <from>
                    <xdr:col>0</xdr:col>
                    <xdr:colOff>28575</xdr:colOff>
                    <xdr:row>116</xdr:row>
                    <xdr:rowOff>47625</xdr:rowOff>
                  </from>
                  <to>
                    <xdr:col>1</xdr:col>
                    <xdr:colOff>76200</xdr:colOff>
                    <xdr:row>116</xdr:row>
                    <xdr:rowOff>276225</xdr:rowOff>
                  </to>
                </anchor>
              </controlPr>
            </control>
          </mc:Choice>
        </mc:AlternateContent>
        <mc:AlternateContent xmlns:mc="http://schemas.openxmlformats.org/markup-compatibility/2006">
          <mc:Choice Requires="x14">
            <control shapeId="17479" r:id="rId74" name="Check Box 71">
              <controlPr defaultSize="0" autoFill="0" autoLine="0" autoPict="0">
                <anchor moveWithCells="1">
                  <from>
                    <xdr:col>0</xdr:col>
                    <xdr:colOff>28575</xdr:colOff>
                    <xdr:row>128</xdr:row>
                    <xdr:rowOff>47625</xdr:rowOff>
                  </from>
                  <to>
                    <xdr:col>1</xdr:col>
                    <xdr:colOff>76200</xdr:colOff>
                    <xdr:row>128</xdr:row>
                    <xdr:rowOff>276225</xdr:rowOff>
                  </to>
                </anchor>
              </controlPr>
            </control>
          </mc:Choice>
        </mc:AlternateContent>
        <mc:AlternateContent xmlns:mc="http://schemas.openxmlformats.org/markup-compatibility/2006">
          <mc:Choice Requires="x14">
            <control shapeId="17480" r:id="rId75" name="Check Box 72">
              <controlPr defaultSize="0" autoFill="0" autoLine="0" autoPict="0">
                <anchor moveWithCells="1">
                  <from>
                    <xdr:col>0</xdr:col>
                    <xdr:colOff>28575</xdr:colOff>
                    <xdr:row>133</xdr:row>
                    <xdr:rowOff>0</xdr:rowOff>
                  </from>
                  <to>
                    <xdr:col>1</xdr:col>
                    <xdr:colOff>76200</xdr:colOff>
                    <xdr:row>133</xdr:row>
                    <xdr:rowOff>228600</xdr:rowOff>
                  </to>
                </anchor>
              </controlPr>
            </control>
          </mc:Choice>
        </mc:AlternateContent>
        <mc:AlternateContent xmlns:mc="http://schemas.openxmlformats.org/markup-compatibility/2006">
          <mc:Choice Requires="x14">
            <control shapeId="17481" r:id="rId76" name="Check Box 73">
              <controlPr defaultSize="0" autoFill="0" autoLine="0" autoPict="0">
                <anchor moveWithCells="1">
                  <from>
                    <xdr:col>0</xdr:col>
                    <xdr:colOff>28575</xdr:colOff>
                    <xdr:row>133</xdr:row>
                    <xdr:rowOff>0</xdr:rowOff>
                  </from>
                  <to>
                    <xdr:col>1</xdr:col>
                    <xdr:colOff>76200</xdr:colOff>
                    <xdr:row>133</xdr:row>
                    <xdr:rowOff>228600</xdr:rowOff>
                  </to>
                </anchor>
              </controlPr>
            </control>
          </mc:Choice>
        </mc:AlternateContent>
        <mc:AlternateContent xmlns:mc="http://schemas.openxmlformats.org/markup-compatibility/2006">
          <mc:Choice Requires="x14">
            <control shapeId="17483" r:id="rId77" name="Check Box 75">
              <controlPr defaultSize="0" autoFill="0" autoLine="0" autoPict="0">
                <anchor moveWithCells="1">
                  <from>
                    <xdr:col>0</xdr:col>
                    <xdr:colOff>28575</xdr:colOff>
                    <xdr:row>118</xdr:row>
                    <xdr:rowOff>47625</xdr:rowOff>
                  </from>
                  <to>
                    <xdr:col>1</xdr:col>
                    <xdr:colOff>76200</xdr:colOff>
                    <xdr:row>118</xdr:row>
                    <xdr:rowOff>295275</xdr:rowOff>
                  </to>
                </anchor>
              </controlPr>
            </control>
          </mc:Choice>
        </mc:AlternateContent>
        <mc:AlternateContent xmlns:mc="http://schemas.openxmlformats.org/markup-compatibility/2006">
          <mc:Choice Requires="x14">
            <control shapeId="17484" r:id="rId78" name="Check Box 76">
              <controlPr defaultSize="0" autoFill="0" autoLine="0" autoPict="0">
                <anchor moveWithCells="1">
                  <from>
                    <xdr:col>0</xdr:col>
                    <xdr:colOff>28575</xdr:colOff>
                    <xdr:row>182</xdr:row>
                    <xdr:rowOff>47625</xdr:rowOff>
                  </from>
                  <to>
                    <xdr:col>1</xdr:col>
                    <xdr:colOff>76200</xdr:colOff>
                    <xdr:row>182</xdr:row>
                    <xdr:rowOff>295275</xdr:rowOff>
                  </to>
                </anchor>
              </controlPr>
            </control>
          </mc:Choice>
        </mc:AlternateContent>
        <mc:AlternateContent xmlns:mc="http://schemas.openxmlformats.org/markup-compatibility/2006">
          <mc:Choice Requires="x14">
            <control shapeId="17485" r:id="rId79" name="Check Box 77">
              <controlPr defaultSize="0" autoFill="0" autoLine="0" autoPict="0">
                <anchor moveWithCells="1">
                  <from>
                    <xdr:col>0</xdr:col>
                    <xdr:colOff>28575</xdr:colOff>
                    <xdr:row>181</xdr:row>
                    <xdr:rowOff>47625</xdr:rowOff>
                  </from>
                  <to>
                    <xdr:col>1</xdr:col>
                    <xdr:colOff>76200</xdr:colOff>
                    <xdr:row>181</xdr:row>
                    <xdr:rowOff>276225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0DF0-41D2-49AD-AE30-FE30547B4445}">
  <sheetPr codeName="Sheet8"/>
  <dimension ref="A1:AK220"/>
  <sheetViews>
    <sheetView topLeftCell="A195" zoomScaleNormal="100" workbookViewId="0">
      <selection activeCell="F211" sqref="F211:I211"/>
    </sheetView>
  </sheetViews>
  <sheetFormatPr defaultColWidth="8.85546875" defaultRowHeight="26.25" customHeight="1"/>
  <cols>
    <col min="1" max="1" width="4.42578125" style="141" customWidth="1"/>
    <col min="2" max="2" width="6.140625" style="141" customWidth="1"/>
    <col min="3" max="3" width="5.28515625" style="141" customWidth="1"/>
    <col min="4" max="4" width="11.7109375" style="141" customWidth="1"/>
    <col min="5" max="5" width="11.85546875" style="141" customWidth="1"/>
    <col min="6" max="6" width="12.85546875" style="141" customWidth="1"/>
    <col min="7" max="7" width="7.85546875" style="141" customWidth="1"/>
    <col min="8" max="8" width="7.7109375" style="141" customWidth="1"/>
    <col min="9" max="9" width="6.7109375" style="141" customWidth="1"/>
    <col min="10" max="10" width="13.28515625" style="141" customWidth="1"/>
    <col min="11" max="11" width="11.140625" style="141" customWidth="1"/>
    <col min="12" max="12" width="9.7109375" style="141" customWidth="1"/>
    <col min="13" max="13" width="5.85546875" style="141" customWidth="1"/>
    <col min="14" max="14" width="8.7109375" style="141" customWidth="1"/>
    <col min="15" max="15" width="8.85546875" style="141" customWidth="1"/>
    <col min="16" max="16" width="8.140625" style="141" customWidth="1"/>
    <col min="17" max="17" width="5.7109375" style="141" customWidth="1"/>
    <col min="18" max="18" width="5.85546875" style="141" customWidth="1"/>
    <col min="19" max="19" width="5.42578125" style="141" customWidth="1"/>
    <col min="20" max="20" width="6.42578125" style="141" customWidth="1"/>
    <col min="21" max="21" width="5.85546875" style="141" customWidth="1"/>
    <col min="22" max="22" width="5.42578125" style="141" customWidth="1"/>
    <col min="23" max="23" width="6.140625" style="141" customWidth="1"/>
    <col min="24" max="25" width="5.85546875" style="141" customWidth="1"/>
    <col min="26" max="27" width="6.42578125" style="141" customWidth="1"/>
    <col min="28" max="28" width="6.140625" style="141" customWidth="1"/>
    <col min="29" max="29" width="5.85546875" style="141" customWidth="1"/>
    <col min="30" max="31" width="8.85546875" style="141" customWidth="1"/>
    <col min="32" max="32" width="9.42578125" style="141" customWidth="1"/>
    <col min="33" max="33" width="8.85546875" style="141" customWidth="1"/>
    <col min="34" max="16384" width="8.85546875" style="141"/>
  </cols>
  <sheetData>
    <row r="1" spans="1:37" ht="26.25" customHeight="1">
      <c r="B1" s="90"/>
      <c r="C1" s="310" t="s">
        <v>441</v>
      </c>
      <c r="D1" s="407"/>
      <c r="E1" s="407"/>
      <c r="F1" s="407"/>
      <c r="G1" s="407"/>
      <c r="H1" s="407"/>
      <c r="I1" s="407"/>
      <c r="J1" s="407"/>
      <c r="Q1" s="90"/>
    </row>
    <row r="2" spans="1:37" ht="26.25" customHeight="1">
      <c r="A2" s="286" t="s">
        <v>60</v>
      </c>
      <c r="B2" s="404"/>
      <c r="C2" s="404"/>
      <c r="D2" s="405"/>
      <c r="E2" s="287"/>
      <c r="F2" s="404"/>
      <c r="G2" s="405"/>
    </row>
    <row r="3" spans="1:37" ht="26.25" customHeight="1">
      <c r="A3" s="408" t="s">
        <v>62</v>
      </c>
      <c r="B3" s="404"/>
      <c r="C3" s="404"/>
      <c r="D3" s="405"/>
      <c r="E3" s="287"/>
      <c r="F3" s="404"/>
      <c r="G3" s="405"/>
      <c r="K3" s="145" t="s">
        <v>205</v>
      </c>
      <c r="L3" s="144" t="s">
        <v>206</v>
      </c>
    </row>
    <row r="4" spans="1:37" ht="23.45" customHeight="1">
      <c r="A4" s="291" t="s">
        <v>207</v>
      </c>
      <c r="B4" s="404"/>
      <c r="C4" s="404"/>
      <c r="D4" s="405"/>
      <c r="E4" s="287"/>
      <c r="F4" s="404"/>
      <c r="G4" s="405"/>
      <c r="J4" s="319" t="s">
        <v>63</v>
      </c>
      <c r="K4" s="406"/>
      <c r="L4" s="144"/>
      <c r="AK4" s="147"/>
    </row>
    <row r="5" spans="1:37" ht="25.5" customHeight="1">
      <c r="A5" s="291" t="s">
        <v>319</v>
      </c>
      <c r="B5" s="404"/>
      <c r="C5" s="404"/>
      <c r="D5" s="405"/>
      <c r="E5" s="287"/>
      <c r="F5" s="404"/>
      <c r="G5" s="405"/>
      <c r="AK5" s="147"/>
    </row>
    <row r="6" spans="1:37" ht="23.45" customHeight="1">
      <c r="A6" s="286" t="s">
        <v>428</v>
      </c>
      <c r="B6" s="404"/>
      <c r="C6" s="404"/>
      <c r="D6" s="405"/>
      <c r="E6" s="287"/>
      <c r="F6" s="404"/>
      <c r="G6" s="405"/>
      <c r="AK6" s="147"/>
    </row>
    <row r="7" spans="1:37" ht="28.5" customHeight="1">
      <c r="A7" s="291" t="s">
        <v>321</v>
      </c>
      <c r="B7" s="404"/>
      <c r="C7" s="404"/>
      <c r="D7" s="405"/>
      <c r="E7" s="287"/>
      <c r="F7" s="404"/>
      <c r="G7" s="405"/>
      <c r="AK7" s="147"/>
    </row>
    <row r="8" spans="1:37" ht="29.25" customHeight="1">
      <c r="A8" s="286" t="s">
        <v>65</v>
      </c>
      <c r="B8" s="404"/>
      <c r="C8" s="404"/>
      <c r="D8" s="405"/>
      <c r="E8" s="301"/>
      <c r="F8" s="404"/>
      <c r="G8" s="405"/>
    </row>
    <row r="9" spans="1:37" ht="26.25" customHeight="1">
      <c r="A9" s="286" t="s">
        <v>66</v>
      </c>
      <c r="B9" s="404"/>
      <c r="C9" s="404"/>
      <c r="D9" s="405"/>
      <c r="E9" s="287"/>
      <c r="F9" s="404"/>
      <c r="G9" s="405"/>
    </row>
    <row r="10" spans="1:37" ht="26.25" customHeight="1">
      <c r="A10" s="414" t="s">
        <v>67</v>
      </c>
      <c r="B10" s="404"/>
      <c r="C10" s="404"/>
      <c r="D10" s="405"/>
      <c r="E10" s="415"/>
      <c r="F10" s="404"/>
      <c r="G10" s="405"/>
    </row>
    <row r="11" spans="1:37" ht="20.45" customHeight="1" thickBot="1">
      <c r="A11" s="286" t="s">
        <v>167</v>
      </c>
      <c r="B11" s="404"/>
      <c r="C11" s="404"/>
      <c r="D11" s="405"/>
      <c r="E11" s="148"/>
    </row>
    <row r="12" spans="1:37" ht="26.25" customHeight="1" thickBot="1">
      <c r="A12" s="149"/>
      <c r="B12" s="409" t="s">
        <v>68</v>
      </c>
      <c r="C12" s="410"/>
      <c r="D12" s="410"/>
      <c r="E12" s="410"/>
      <c r="F12" s="410"/>
      <c r="G12" s="410"/>
      <c r="H12" s="410"/>
      <c r="I12" s="410"/>
      <c r="J12" s="410"/>
      <c r="K12" s="410"/>
      <c r="L12" s="410"/>
      <c r="M12" s="411"/>
      <c r="O12" s="92"/>
    </row>
    <row r="13" spans="1:37" ht="26.25" customHeight="1" thickBot="1">
      <c r="A13" s="150"/>
      <c r="B13" s="151" t="s">
        <v>209</v>
      </c>
      <c r="C13" s="151"/>
      <c r="D13" s="151"/>
      <c r="E13" s="151"/>
      <c r="O13" s="92"/>
    </row>
    <row r="14" spans="1:37" ht="26.25" customHeight="1" thickBot="1">
      <c r="A14" s="150"/>
      <c r="B14" s="151" t="s">
        <v>322</v>
      </c>
      <c r="C14" s="151"/>
      <c r="D14" s="151"/>
      <c r="E14" s="151"/>
      <c r="O14" s="92"/>
    </row>
    <row r="15" spans="1:37" ht="33.6" customHeight="1" thickBot="1">
      <c r="B15" s="151"/>
      <c r="C15" s="151"/>
      <c r="E15" s="109" t="s">
        <v>323</v>
      </c>
      <c r="F15" s="176" t="str">
        <f>CONCATENATE(" Volume for ",$E$11," samples")</f>
        <v xml:space="preserve"> Volume for  samples</v>
      </c>
      <c r="O15" s="92"/>
    </row>
    <row r="16" spans="1:37" ht="26.25" customHeight="1" thickBot="1">
      <c r="A16" s="150"/>
      <c r="B16" s="151" t="s">
        <v>72</v>
      </c>
      <c r="C16" s="449" t="s">
        <v>324</v>
      </c>
      <c r="D16" s="450"/>
      <c r="E16" s="155">
        <v>18.899999999999999</v>
      </c>
      <c r="F16" s="234">
        <f>E16*$E$11*1.1</f>
        <v>0</v>
      </c>
      <c r="G16" s="143" t="s">
        <v>73</v>
      </c>
      <c r="O16" s="92"/>
      <c r="Q16" s="151"/>
    </row>
    <row r="17" spans="1:17" ht="26.25" customHeight="1">
      <c r="A17" s="149"/>
      <c r="B17" s="151"/>
      <c r="C17" s="451" t="s">
        <v>351</v>
      </c>
      <c r="D17" s="452"/>
      <c r="E17" s="159">
        <v>2.6</v>
      </c>
      <c r="F17" s="234">
        <f>E17*$E$11*1.1</f>
        <v>0</v>
      </c>
      <c r="G17" s="143" t="s">
        <v>73</v>
      </c>
      <c r="O17" s="92"/>
      <c r="Q17" s="151"/>
    </row>
    <row r="18" spans="1:17" ht="28.5" customHeight="1">
      <c r="A18" s="149"/>
      <c r="B18" s="151"/>
      <c r="C18" s="453" t="s">
        <v>74</v>
      </c>
      <c r="D18" s="454"/>
      <c r="E18" s="159">
        <v>2.2000000000000002</v>
      </c>
      <c r="F18" s="234">
        <f>E18*$E$11*1.1</f>
        <v>0</v>
      </c>
      <c r="G18" s="143" t="s">
        <v>73</v>
      </c>
      <c r="O18" s="92"/>
      <c r="Q18" s="151"/>
    </row>
    <row r="19" spans="1:17" ht="23.1" customHeight="1" thickBot="1">
      <c r="A19" s="149"/>
      <c r="B19" s="151"/>
      <c r="C19" s="455" t="s">
        <v>326</v>
      </c>
      <c r="D19" s="456"/>
      <c r="E19" s="163">
        <v>7.9</v>
      </c>
      <c r="F19" s="235">
        <f>E19*$E$11*1.1</f>
        <v>0</v>
      </c>
      <c r="G19" s="164" t="s">
        <v>73</v>
      </c>
      <c r="O19" s="92"/>
    </row>
    <row r="20" spans="1:17" ht="15.95" customHeight="1" thickBot="1">
      <c r="A20" s="149"/>
      <c r="B20" s="151"/>
      <c r="D20" s="165"/>
      <c r="E20" s="245">
        <f>SUM(E16:E19)</f>
        <v>31.6</v>
      </c>
      <c r="F20" s="236">
        <f>SUM(F16:F19)</f>
        <v>0</v>
      </c>
      <c r="G20" s="167" t="s">
        <v>73</v>
      </c>
      <c r="H20" s="141" t="s">
        <v>75</v>
      </c>
      <c r="O20" s="92"/>
    </row>
    <row r="21" spans="1:17" ht="26.25" customHeight="1" thickBot="1">
      <c r="A21" s="150"/>
      <c r="B21" s="151" t="s">
        <v>327</v>
      </c>
      <c r="D21" s="94"/>
      <c r="E21" s="151"/>
      <c r="F21" s="95"/>
      <c r="O21" s="92"/>
    </row>
    <row r="22" spans="1:17" ht="26.25" customHeight="1" thickBot="1">
      <c r="A22" s="150"/>
      <c r="B22" s="151" t="s">
        <v>429</v>
      </c>
      <c r="D22" s="151"/>
      <c r="E22" s="151"/>
    </row>
    <row r="23" spans="1:17" ht="26.25" customHeight="1" thickBot="1">
      <c r="A23" s="149"/>
      <c r="C23" s="168"/>
      <c r="D23" s="169" t="s">
        <v>210</v>
      </c>
      <c r="E23" s="170" t="s">
        <v>211</v>
      </c>
      <c r="F23" s="170" t="s">
        <v>212</v>
      </c>
      <c r="G23" s="412" t="s">
        <v>213</v>
      </c>
      <c r="H23" s="298"/>
      <c r="J23" s="413" t="s">
        <v>430</v>
      </c>
      <c r="K23" s="407"/>
      <c r="L23" s="407"/>
    </row>
    <row r="24" spans="1:17" ht="14.45" customHeight="1">
      <c r="A24" s="149"/>
      <c r="C24" s="171">
        <v>1</v>
      </c>
      <c r="D24" s="172">
        <f>'10X_table'!B2</f>
        <v>0</v>
      </c>
      <c r="E24" s="172"/>
      <c r="F24" s="172"/>
      <c r="G24" s="299"/>
      <c r="H24" s="300"/>
    </row>
    <row r="25" spans="1:17" ht="14.45" customHeight="1">
      <c r="A25" s="149"/>
      <c r="C25" s="173">
        <v>2</v>
      </c>
      <c r="D25" s="172">
        <f>'10X_table'!B3</f>
        <v>0</v>
      </c>
      <c r="E25" s="156"/>
      <c r="F25" s="156"/>
      <c r="G25" s="282"/>
      <c r="H25" s="405"/>
    </row>
    <row r="26" spans="1:17" ht="14.45" customHeight="1">
      <c r="A26" s="149"/>
      <c r="C26" s="1">
        <v>3</v>
      </c>
      <c r="D26" s="172">
        <f>'10X_table'!B4</f>
        <v>0</v>
      </c>
      <c r="E26" s="156"/>
      <c r="F26" s="156"/>
      <c r="G26" s="282"/>
      <c r="H26" s="405"/>
    </row>
    <row r="27" spans="1:17" ht="14.45" customHeight="1">
      <c r="A27" s="149"/>
      <c r="C27" s="173">
        <v>4</v>
      </c>
      <c r="D27" s="172">
        <f>'10X_table'!B5</f>
        <v>0</v>
      </c>
      <c r="E27" s="156"/>
      <c r="F27" s="156"/>
      <c r="G27" s="282"/>
      <c r="H27" s="405"/>
    </row>
    <row r="28" spans="1:17" ht="14.45" customHeight="1">
      <c r="A28" s="149"/>
      <c r="C28" s="173">
        <v>5</v>
      </c>
      <c r="D28" s="172">
        <f>'10X_table'!B6</f>
        <v>0</v>
      </c>
      <c r="E28" s="156"/>
      <c r="F28" s="156"/>
      <c r="G28" s="282"/>
      <c r="H28" s="405"/>
    </row>
    <row r="29" spans="1:17" ht="14.45" customHeight="1">
      <c r="A29" s="149"/>
      <c r="C29" s="173">
        <v>6</v>
      </c>
      <c r="D29" s="172">
        <f>'10X_table'!B7</f>
        <v>0</v>
      </c>
      <c r="E29" s="156"/>
      <c r="F29" s="156"/>
      <c r="G29" s="282"/>
      <c r="H29" s="405"/>
    </row>
    <row r="30" spans="1:17" ht="14.45" customHeight="1">
      <c r="A30" s="149"/>
      <c r="C30" s="173">
        <v>7</v>
      </c>
      <c r="D30" s="172">
        <f>'10X_table'!B8</f>
        <v>0</v>
      </c>
      <c r="E30" s="156"/>
      <c r="F30" s="156"/>
      <c r="G30" s="282"/>
      <c r="H30" s="405"/>
    </row>
    <row r="31" spans="1:17" ht="14.45" customHeight="1" thickBot="1">
      <c r="A31" s="149"/>
      <c r="C31" s="173">
        <v>8</v>
      </c>
      <c r="D31" s="172">
        <f>'10X_table'!B9</f>
        <v>0</v>
      </c>
      <c r="E31" s="156"/>
      <c r="F31" s="156"/>
      <c r="G31" s="282"/>
      <c r="H31" s="405"/>
    </row>
    <row r="32" spans="1:17" ht="26.25" customHeight="1" thickBot="1">
      <c r="A32" s="150"/>
      <c r="B32" s="96" t="s">
        <v>329</v>
      </c>
    </row>
    <row r="33" spans="1:13" ht="26.25" customHeight="1" thickBot="1">
      <c r="A33" s="174"/>
      <c r="B33" s="96" t="s">
        <v>330</v>
      </c>
    </row>
    <row r="34" spans="1:13" ht="26.25" customHeight="1" thickBot="1">
      <c r="A34" s="174"/>
      <c r="B34" s="96" t="s">
        <v>331</v>
      </c>
    </row>
    <row r="35" spans="1:13" ht="26.25" customHeight="1" thickBot="1">
      <c r="A35" s="150"/>
      <c r="B35" s="96" t="s">
        <v>215</v>
      </c>
    </row>
    <row r="36" spans="1:13" ht="26.25" customHeight="1" thickBot="1">
      <c r="A36" s="150"/>
      <c r="B36" s="96" t="s">
        <v>332</v>
      </c>
      <c r="I36" s="94" t="s">
        <v>333</v>
      </c>
      <c r="K36" s="151" t="s">
        <v>334</v>
      </c>
    </row>
    <row r="37" spans="1:13" ht="21.95" customHeight="1" thickBot="1">
      <c r="A37" s="149"/>
      <c r="B37" s="96"/>
      <c r="I37" s="94" t="s">
        <v>216</v>
      </c>
    </row>
    <row r="38" spans="1:13" ht="26.25" customHeight="1" thickBot="1">
      <c r="A38" s="149"/>
      <c r="B38" s="416" t="s">
        <v>217</v>
      </c>
      <c r="C38" s="410"/>
      <c r="D38" s="410"/>
      <c r="E38" s="410"/>
      <c r="F38" s="410"/>
      <c r="G38" s="410"/>
      <c r="H38" s="410"/>
      <c r="I38" s="410"/>
      <c r="J38" s="410"/>
      <c r="K38" s="410"/>
      <c r="L38" s="410"/>
      <c r="M38" s="411"/>
    </row>
    <row r="39" spans="1:13" s="151" customFormat="1" ht="26.25" customHeight="1" thickBot="1">
      <c r="A39" s="175"/>
      <c r="B39" s="151" t="s">
        <v>218</v>
      </c>
      <c r="J39" s="95" t="s">
        <v>77</v>
      </c>
    </row>
    <row r="40" spans="1:13" ht="26.25" customHeight="1" thickBot="1">
      <c r="A40" s="150"/>
      <c r="B40" s="96" t="s">
        <v>219</v>
      </c>
      <c r="J40" s="95" t="s">
        <v>78</v>
      </c>
    </row>
    <row r="41" spans="1:13" ht="35.1" customHeight="1" thickBot="1">
      <c r="A41" s="150"/>
      <c r="B41" s="386" t="s">
        <v>220</v>
      </c>
      <c r="C41" s="407"/>
      <c r="D41" s="407"/>
      <c r="E41" s="407"/>
      <c r="F41" s="407"/>
      <c r="G41" s="96" t="s">
        <v>221</v>
      </c>
      <c r="J41" s="176" t="s">
        <v>71</v>
      </c>
      <c r="K41" s="98" t="str">
        <f>CONCATENATE(" Volume for ",$E$11," samples")</f>
        <v xml:space="preserve"> Volume for  samples</v>
      </c>
    </row>
    <row r="42" spans="1:13" s="142" customFormat="1" ht="23.1" customHeight="1">
      <c r="A42" s="99"/>
      <c r="B42" s="99"/>
      <c r="C42" s="177"/>
      <c r="D42" s="177"/>
      <c r="E42" s="177"/>
      <c r="F42" s="177"/>
      <c r="G42" s="388" t="s">
        <v>222</v>
      </c>
      <c r="H42" s="404"/>
      <c r="I42" s="405"/>
      <c r="J42" s="155">
        <v>182</v>
      </c>
      <c r="K42" s="156">
        <f>J42*$E$11*1.1</f>
        <v>0</v>
      </c>
      <c r="L42" s="156" t="s">
        <v>73</v>
      </c>
    </row>
    <row r="43" spans="1:13" s="142" customFormat="1" ht="23.1" customHeight="1">
      <c r="B43" s="99"/>
      <c r="C43" s="389" t="s">
        <v>223</v>
      </c>
      <c r="D43" s="310"/>
      <c r="E43" s="310"/>
      <c r="F43" s="99"/>
      <c r="G43" s="388" t="s">
        <v>224</v>
      </c>
      <c r="H43" s="404"/>
      <c r="I43" s="405"/>
      <c r="J43" s="155">
        <v>8</v>
      </c>
      <c r="K43" s="156">
        <f>J43*$E$11*1.1</f>
        <v>0</v>
      </c>
      <c r="L43" s="156" t="s">
        <v>73</v>
      </c>
    </row>
    <row r="44" spans="1:13" s="142" customFormat="1" ht="23.1" customHeight="1">
      <c r="B44" s="99"/>
      <c r="C44" s="310"/>
      <c r="D44" s="310"/>
      <c r="E44" s="310"/>
      <c r="F44" s="99"/>
      <c r="G44" s="390" t="s">
        <v>225</v>
      </c>
      <c r="H44" s="404"/>
      <c r="I44" s="405"/>
      <c r="J44" s="155">
        <v>5</v>
      </c>
      <c r="K44" s="156">
        <f>J44*$E$11*1.1</f>
        <v>0</v>
      </c>
      <c r="L44" s="156" t="s">
        <v>73</v>
      </c>
    </row>
    <row r="45" spans="1:13" s="142" customFormat="1" ht="23.1" customHeight="1" thickBot="1">
      <c r="B45" s="99"/>
      <c r="C45" s="99"/>
      <c r="D45" s="99"/>
      <c r="E45" s="99"/>
      <c r="F45" s="99"/>
      <c r="G45" s="385" t="s">
        <v>79</v>
      </c>
      <c r="H45" s="417"/>
      <c r="I45" s="298"/>
      <c r="J45" s="178">
        <v>5</v>
      </c>
      <c r="K45" s="163">
        <f>J45*$E$11*1.1</f>
        <v>0</v>
      </c>
      <c r="L45" s="163" t="s">
        <v>73</v>
      </c>
    </row>
    <row r="46" spans="1:13" s="142" customFormat="1" ht="23.1" customHeight="1" thickBot="1">
      <c r="B46" s="99"/>
      <c r="C46" s="99"/>
      <c r="D46" s="99"/>
      <c r="E46" s="99"/>
      <c r="F46" s="99"/>
      <c r="G46" s="99"/>
      <c r="H46" s="99"/>
      <c r="I46" s="99"/>
      <c r="J46" s="172">
        <f>SUM(J42:J45)</f>
        <v>200</v>
      </c>
      <c r="K46" s="172">
        <f>SUM(K42:K45)</f>
        <v>0</v>
      </c>
      <c r="L46" s="172" t="s">
        <v>73</v>
      </c>
      <c r="M46" s="179" t="s">
        <v>75</v>
      </c>
    </row>
    <row r="47" spans="1:13" ht="33" customHeight="1" thickBot="1">
      <c r="A47" s="150"/>
      <c r="B47" s="96" t="s">
        <v>80</v>
      </c>
      <c r="E47" s="176" t="s">
        <v>71</v>
      </c>
      <c r="F47" s="176" t="str">
        <f>CONCATENATE(" Volume for ",$E$11," samples")</f>
        <v xml:space="preserve"> Volume for  samples</v>
      </c>
      <c r="L47" s="146"/>
      <c r="M47" s="179"/>
    </row>
    <row r="48" spans="1:13" ht="26.25" customHeight="1">
      <c r="A48" s="149"/>
      <c r="B48" s="96"/>
      <c r="C48" s="388" t="s">
        <v>81</v>
      </c>
      <c r="D48" s="405"/>
      <c r="E48" s="180">
        <v>98</v>
      </c>
      <c r="F48" s="173">
        <f>IF($E$11&lt;2, E48,E48*0.5*$E$11)</f>
        <v>98</v>
      </c>
      <c r="G48" s="143" t="s">
        <v>73</v>
      </c>
      <c r="L48" s="146"/>
      <c r="M48" s="179"/>
    </row>
    <row r="49" spans="1:14" ht="26.25" customHeight="1">
      <c r="A49" s="149"/>
      <c r="B49" s="96"/>
      <c r="C49" s="388" t="s">
        <v>82</v>
      </c>
      <c r="D49" s="405"/>
      <c r="E49" s="180">
        <v>1</v>
      </c>
      <c r="F49" s="173">
        <f>IF($E$11&lt;2, E49,E49*0.5*$E$11)</f>
        <v>1</v>
      </c>
      <c r="G49" s="143" t="s">
        <v>73</v>
      </c>
      <c r="L49" s="146"/>
      <c r="M49" s="179"/>
    </row>
    <row r="50" spans="1:14" ht="26.25" customHeight="1" thickBot="1">
      <c r="A50" s="149"/>
      <c r="B50" s="96"/>
      <c r="C50" s="385" t="s">
        <v>74</v>
      </c>
      <c r="D50" s="298"/>
      <c r="E50" s="182">
        <v>1</v>
      </c>
      <c r="F50" s="183">
        <f>IF($E$11&lt;2, E50,E50*0.5*$E$11)</f>
        <v>1</v>
      </c>
      <c r="G50" s="164" t="s">
        <v>73</v>
      </c>
      <c r="L50" s="146"/>
      <c r="M50" s="179"/>
    </row>
    <row r="51" spans="1:14" ht="26.25" customHeight="1" thickBot="1">
      <c r="A51" s="149"/>
      <c r="E51" s="171">
        <f>SUM(E48:E50)</f>
        <v>100</v>
      </c>
      <c r="F51" s="171">
        <f>SUM(F48:F50)</f>
        <v>100</v>
      </c>
      <c r="G51" s="167" t="s">
        <v>73</v>
      </c>
      <c r="H51" s="179" t="s">
        <v>75</v>
      </c>
    </row>
    <row r="52" spans="1:14" ht="23.1" customHeight="1" thickBot="1">
      <c r="A52" s="150"/>
      <c r="B52" s="96" t="s">
        <v>226</v>
      </c>
      <c r="L52" s="146"/>
      <c r="M52" s="179"/>
    </row>
    <row r="53" spans="1:14" ht="30.95" customHeight="1" thickBot="1">
      <c r="A53" s="150"/>
      <c r="B53" s="96" t="s">
        <v>227</v>
      </c>
      <c r="H53" s="184" t="s">
        <v>228</v>
      </c>
      <c r="J53" s="176" t="s">
        <v>71</v>
      </c>
      <c r="K53" s="176" t="str">
        <f>CONCATENATE(" Volume for ",$E$11," samples")</f>
        <v xml:space="preserve"> Volume for  samples</v>
      </c>
    </row>
    <row r="54" spans="1:14" ht="21.6" customHeight="1">
      <c r="A54" s="149"/>
      <c r="B54" s="96"/>
      <c r="G54" s="390" t="s">
        <v>229</v>
      </c>
      <c r="H54" s="404"/>
      <c r="I54" s="405"/>
      <c r="J54" s="155">
        <v>50</v>
      </c>
      <c r="K54" s="156">
        <f>J54*$E$11*1.1</f>
        <v>0</v>
      </c>
      <c r="L54" s="143" t="s">
        <v>73</v>
      </c>
    </row>
    <row r="55" spans="1:14" ht="21.95" customHeight="1" thickBot="1">
      <c r="G55" s="385" t="s">
        <v>230</v>
      </c>
      <c r="H55" s="417"/>
      <c r="I55" s="298"/>
      <c r="J55" s="178">
        <v>15</v>
      </c>
      <c r="K55" s="163">
        <f>J55*$E$11*1.1</f>
        <v>0</v>
      </c>
      <c r="L55" s="164" t="s">
        <v>73</v>
      </c>
      <c r="N55" s="97" t="s">
        <v>431</v>
      </c>
    </row>
    <row r="56" spans="1:14" ht="21.6" customHeight="1" thickBot="1">
      <c r="J56" s="172">
        <f>SUM(J54:J55)</f>
        <v>65</v>
      </c>
      <c r="K56" s="172">
        <f>SUM(K54:K55)</f>
        <v>0</v>
      </c>
      <c r="L56" s="167" t="s">
        <v>73</v>
      </c>
      <c r="M56" s="179" t="s">
        <v>75</v>
      </c>
    </row>
    <row r="57" spans="1:14" ht="20.100000000000001" customHeight="1" thickBot="1">
      <c r="A57" s="150"/>
      <c r="B57" s="96" t="s">
        <v>83</v>
      </c>
      <c r="D57" s="100" t="s">
        <v>99</v>
      </c>
      <c r="L57" s="146"/>
      <c r="M57" s="179"/>
    </row>
    <row r="58" spans="1:14" ht="20.100000000000001" customHeight="1">
      <c r="D58" s="101" t="s">
        <v>100</v>
      </c>
      <c r="E58" s="283" t="s">
        <v>231</v>
      </c>
      <c r="L58" s="248" t="s">
        <v>437</v>
      </c>
      <c r="M58" s="143" t="s">
        <v>436</v>
      </c>
    </row>
    <row r="59" spans="1:14" ht="20.100000000000001" customHeight="1">
      <c r="D59" s="246" t="s">
        <v>335</v>
      </c>
      <c r="E59" s="420"/>
      <c r="L59" s="247" t="s">
        <v>432</v>
      </c>
      <c r="M59" s="247">
        <v>17</v>
      </c>
    </row>
    <row r="60" spans="1:14" ht="20.100000000000001" customHeight="1">
      <c r="D60" s="101" t="s">
        <v>87</v>
      </c>
      <c r="E60" s="421"/>
      <c r="G60" s="142" t="s">
        <v>88</v>
      </c>
      <c r="H60" s="185"/>
      <c r="L60" s="247" t="s">
        <v>433</v>
      </c>
      <c r="M60" s="247">
        <v>15</v>
      </c>
    </row>
    <row r="61" spans="1:14" ht="20.100000000000001" customHeight="1" thickBot="1">
      <c r="D61" s="100" t="s">
        <v>87</v>
      </c>
      <c r="L61" s="247" t="s">
        <v>435</v>
      </c>
      <c r="M61" s="247">
        <v>13</v>
      </c>
    </row>
    <row r="62" spans="1:14" ht="24.95" customHeight="1" thickBot="1">
      <c r="A62" s="150"/>
      <c r="B62" s="96" t="s">
        <v>232</v>
      </c>
      <c r="L62" s="247" t="s">
        <v>434</v>
      </c>
      <c r="M62" s="247">
        <v>12</v>
      </c>
    </row>
    <row r="63" spans="1:14" ht="24.95" customHeight="1" thickBot="1">
      <c r="A63"/>
      <c r="B63" s="324" t="s">
        <v>266</v>
      </c>
      <c r="C63" s="325"/>
      <c r="D63" s="325"/>
      <c r="E63" s="325"/>
      <c r="F63" s="325"/>
      <c r="G63" s="325"/>
      <c r="H63" s="325"/>
      <c r="I63" s="325"/>
      <c r="J63" s="325"/>
      <c r="K63" s="325"/>
      <c r="L63" s="325"/>
      <c r="M63" s="326"/>
    </row>
    <row r="64" spans="1:14" ht="20.100000000000001" customHeight="1" thickBot="1">
      <c r="A64" s="150"/>
      <c r="B64" s="437" t="s">
        <v>359</v>
      </c>
      <c r="C64" s="438"/>
      <c r="D64" s="438"/>
      <c r="E64" s="438"/>
      <c r="F64" s="438"/>
      <c r="G64" s="438"/>
      <c r="H64" s="438"/>
      <c r="I64" s="438"/>
      <c r="J64" s="438"/>
      <c r="K64" s="438"/>
      <c r="L64" s="438"/>
      <c r="M64" s="439"/>
    </row>
    <row r="65" spans="1:14" ht="20.100000000000001" customHeight="1">
      <c r="A65"/>
      <c r="B65" s="440" t="s">
        <v>267</v>
      </c>
      <c r="C65" s="440"/>
      <c r="D65" s="440"/>
      <c r="E65" s="440"/>
      <c r="F65" s="440"/>
      <c r="G65"/>
      <c r="H65" s="457" t="s">
        <v>438</v>
      </c>
      <c r="I65" s="457"/>
      <c r="J65" s="457"/>
      <c r="K65" s="457"/>
      <c r="L65" s="457"/>
      <c r="M65" s="457"/>
    </row>
    <row r="66" spans="1:14" ht="20.100000000000001" customHeight="1">
      <c r="A66"/>
      <c r="B66" s="436" t="s">
        <v>269</v>
      </c>
      <c r="C66" s="436"/>
      <c r="D66" s="436"/>
      <c r="E66" s="436"/>
      <c r="F66" s="436"/>
      <c r="G66"/>
      <c r="H66" s="458" t="s">
        <v>360</v>
      </c>
      <c r="I66" s="458"/>
      <c r="J66" s="458"/>
      <c r="K66" s="458"/>
      <c r="L66" s="458"/>
      <c r="M66" s="458"/>
    </row>
    <row r="67" spans="1:14" ht="20.100000000000001" customHeight="1">
      <c r="A67"/>
      <c r="B67" s="436" t="s">
        <v>270</v>
      </c>
      <c r="C67" s="436"/>
      <c r="D67" s="436"/>
      <c r="E67" s="436"/>
      <c r="F67" s="436"/>
      <c r="G67"/>
      <c r="H67" s="448" t="s">
        <v>271</v>
      </c>
      <c r="I67" s="448"/>
      <c r="J67" s="448"/>
      <c r="K67" s="448"/>
      <c r="L67" s="448"/>
      <c r="M67" s="448"/>
    </row>
    <row r="68" spans="1:14" ht="20.100000000000001" customHeight="1">
      <c r="A68"/>
      <c r="B68" s="436" t="s">
        <v>272</v>
      </c>
      <c r="C68" s="436"/>
      <c r="D68" s="436"/>
      <c r="E68" s="436"/>
      <c r="F68" s="436"/>
      <c r="G68"/>
      <c r="H68" s="448" t="s">
        <v>273</v>
      </c>
      <c r="I68" s="448"/>
      <c r="J68" s="448"/>
      <c r="K68" s="448"/>
      <c r="L68" s="448"/>
      <c r="M68" s="448"/>
    </row>
    <row r="69" spans="1:14" ht="20.100000000000001" customHeight="1">
      <c r="A69"/>
      <c r="B69" s="436" t="s">
        <v>361</v>
      </c>
      <c r="C69" s="436"/>
      <c r="D69" s="436"/>
      <c r="E69" s="436"/>
      <c r="F69" s="436"/>
      <c r="G69"/>
      <c r="H69" s="448" t="s">
        <v>270</v>
      </c>
      <c r="I69" s="448"/>
      <c r="J69" s="448"/>
      <c r="K69" s="448"/>
      <c r="L69" s="448"/>
      <c r="M69" s="448"/>
    </row>
    <row r="70" spans="1:14" ht="20.100000000000001" customHeight="1">
      <c r="A70"/>
      <c r="B70" s="442" t="s">
        <v>362</v>
      </c>
      <c r="C70" s="442"/>
      <c r="D70" s="442"/>
      <c r="E70" s="442"/>
      <c r="F70" s="442"/>
      <c r="G70"/>
      <c r="H70" s="448" t="s">
        <v>272</v>
      </c>
      <c r="I70" s="448"/>
      <c r="J70" s="448"/>
      <c r="K70" s="448"/>
      <c r="L70" s="448"/>
      <c r="M70" s="448"/>
    </row>
    <row r="71" spans="1:14" ht="26.1" customHeight="1" thickBot="1">
      <c r="H71" s="448" t="s">
        <v>274</v>
      </c>
      <c r="I71" s="448"/>
      <c r="J71" s="448"/>
      <c r="K71" s="448"/>
      <c r="L71" s="448"/>
      <c r="M71" s="448"/>
    </row>
    <row r="72" spans="1:14" ht="26.25" customHeight="1" thickBot="1">
      <c r="A72"/>
      <c r="B72" s="443" t="s">
        <v>363</v>
      </c>
      <c r="C72" s="444"/>
      <c r="D72" s="444"/>
      <c r="E72" s="444"/>
      <c r="F72" s="444"/>
      <c r="G72" s="444"/>
      <c r="H72" s="444"/>
      <c r="I72" s="444"/>
      <c r="J72" s="444"/>
      <c r="K72" s="444"/>
      <c r="L72" s="444"/>
      <c r="M72" s="444"/>
      <c r="N72" s="445"/>
    </row>
    <row r="73" spans="1:14" ht="24.95" customHeight="1" thickBot="1">
      <c r="A73" s="150"/>
      <c r="B73" s="96" t="s">
        <v>275</v>
      </c>
      <c r="C73"/>
      <c r="D73"/>
      <c r="E73"/>
      <c r="F73"/>
      <c r="G73"/>
      <c r="H73"/>
      <c r="I73"/>
      <c r="J73"/>
    </row>
    <row r="74" spans="1:14" ht="24.95" customHeight="1">
      <c r="A74" s="149"/>
      <c r="B74" s="96"/>
      <c r="C74"/>
      <c r="D74"/>
      <c r="E74" s="207" t="s">
        <v>71</v>
      </c>
      <c r="F74" s="98" t="str">
        <f>CONCATENATE(" Volume for ",$E$12," samples")</f>
        <v xml:space="preserve"> Volume for  samples</v>
      </c>
      <c r="G74"/>
      <c r="H74"/>
      <c r="I74"/>
      <c r="J74"/>
    </row>
    <row r="75" spans="1:14" ht="36" customHeight="1">
      <c r="A75"/>
      <c r="B75"/>
      <c r="C75"/>
      <c r="D75" s="108" t="s">
        <v>364</v>
      </c>
      <c r="E75" s="108">
        <v>50</v>
      </c>
      <c r="F75" s="108">
        <f>E75*1.1*$E$12</f>
        <v>0</v>
      </c>
      <c r="G75" s="108" t="s">
        <v>73</v>
      </c>
      <c r="H75"/>
      <c r="I75"/>
      <c r="K75" s="208"/>
      <c r="L75" s="209"/>
    </row>
    <row r="76" spans="1:14" ht="26.1" customHeight="1">
      <c r="A76"/>
      <c r="B76"/>
      <c r="C76"/>
      <c r="D76" s="203" t="s">
        <v>365</v>
      </c>
      <c r="E76" s="108">
        <v>48</v>
      </c>
      <c r="F76" s="108">
        <f>E76*1.1*$E$12</f>
        <v>0</v>
      </c>
      <c r="G76" s="203" t="s">
        <v>73</v>
      </c>
      <c r="H76"/>
      <c r="I76"/>
      <c r="K76" s="208"/>
      <c r="L76" s="209"/>
      <c r="M76" s="97"/>
      <c r="N76" s="210"/>
    </row>
    <row r="77" spans="1:14" ht="26.1" customHeight="1" thickBot="1">
      <c r="A77"/>
      <c r="B77"/>
      <c r="C77"/>
      <c r="D77" s="102" t="s">
        <v>104</v>
      </c>
      <c r="E77" s="102">
        <f>+SUM(E75:E76)</f>
        <v>98</v>
      </c>
      <c r="F77" s="102">
        <f>SUM(F75:F76)</f>
        <v>0</v>
      </c>
      <c r="G77" s="102" t="s">
        <v>73</v>
      </c>
      <c r="H77"/>
      <c r="I77"/>
      <c r="J77"/>
    </row>
    <row r="78" spans="1:14" ht="21.6" customHeight="1" thickBot="1">
      <c r="A78" s="150"/>
      <c r="B78" s="96" t="s">
        <v>366</v>
      </c>
      <c r="C78"/>
      <c r="D78"/>
      <c r="E78"/>
      <c r="F78" s="99"/>
      <c r="G78" s="99"/>
      <c r="H78"/>
      <c r="I78"/>
      <c r="J78"/>
    </row>
    <row r="79" spans="1:14" ht="21.6" customHeight="1" thickBot="1">
      <c r="A79" s="150"/>
      <c r="B79" s="96" t="s">
        <v>83</v>
      </c>
      <c r="C79"/>
      <c r="D79" s="100" t="s">
        <v>99</v>
      </c>
      <c r="E79"/>
      <c r="F79"/>
      <c r="G79"/>
      <c r="H79"/>
      <c r="I79" s="1"/>
      <c r="J79" s="139" t="s">
        <v>367</v>
      </c>
    </row>
    <row r="80" spans="1:14" ht="21.6" customHeight="1">
      <c r="A80"/>
      <c r="B80"/>
      <c r="C80"/>
      <c r="D80" s="101" t="s">
        <v>100</v>
      </c>
      <c r="E80" s="348" t="s">
        <v>368</v>
      </c>
      <c r="F80"/>
      <c r="G80"/>
      <c r="H80"/>
      <c r="I80" s="1" t="s">
        <v>369</v>
      </c>
      <c r="J80" s="1">
        <v>12</v>
      </c>
    </row>
    <row r="81" spans="1:14" ht="24.95" customHeight="1">
      <c r="A81"/>
      <c r="B81"/>
      <c r="C81"/>
      <c r="D81" s="101" t="s">
        <v>370</v>
      </c>
      <c r="E81" s="349"/>
      <c r="F81"/>
      <c r="G81"/>
      <c r="H81"/>
      <c r="I81" s="1" t="s">
        <v>371</v>
      </c>
      <c r="J81" s="1">
        <v>8</v>
      </c>
    </row>
    <row r="82" spans="1:14" ht="24.95" customHeight="1">
      <c r="A82"/>
      <c r="B82"/>
      <c r="C82"/>
      <c r="D82" s="211" t="s">
        <v>87</v>
      </c>
      <c r="E82" s="350"/>
      <c r="F82"/>
      <c r="G82" s="125"/>
      <c r="H82"/>
      <c r="I82"/>
      <c r="J82"/>
    </row>
    <row r="83" spans="1:14" ht="29.45" customHeight="1" thickBot="1">
      <c r="A83"/>
      <c r="B83"/>
      <c r="C83"/>
      <c r="D83" s="100" t="s">
        <v>87</v>
      </c>
      <c r="E83"/>
      <c r="F83"/>
      <c r="G83"/>
      <c r="H83"/>
      <c r="I83"/>
      <c r="J83"/>
    </row>
    <row r="84" spans="1:14" ht="24.95" customHeight="1" thickBot="1">
      <c r="A84" s="150"/>
      <c r="B84" s="96" t="s">
        <v>372</v>
      </c>
      <c r="C84"/>
      <c r="D84"/>
      <c r="E84"/>
      <c r="F84"/>
      <c r="G84"/>
      <c r="H84"/>
      <c r="I84"/>
      <c r="J84"/>
    </row>
    <row r="85" spans="1:14" ht="24.95" customHeight="1" thickBot="1">
      <c r="A85"/>
      <c r="B85" s="443" t="s">
        <v>373</v>
      </c>
      <c r="C85" s="444"/>
      <c r="D85" s="444"/>
      <c r="E85" s="444"/>
      <c r="F85" s="444"/>
      <c r="G85" s="444"/>
      <c r="H85" s="444"/>
      <c r="I85" s="444"/>
      <c r="J85" s="444"/>
      <c r="K85" s="444"/>
      <c r="L85" s="444"/>
      <c r="M85" s="444"/>
      <c r="N85" s="445"/>
    </row>
    <row r="86" spans="1:14" ht="24.6" customHeight="1" thickBot="1">
      <c r="A86" s="150"/>
      <c r="B86" s="96" t="s">
        <v>275</v>
      </c>
      <c r="C86"/>
      <c r="D86"/>
      <c r="E86"/>
      <c r="F86"/>
      <c r="G86"/>
      <c r="H86"/>
      <c r="I86"/>
      <c r="J86"/>
    </row>
    <row r="87" spans="1:14" ht="24.6" customHeight="1">
      <c r="A87" s="149"/>
      <c r="B87" s="96"/>
      <c r="C87"/>
      <c r="D87"/>
      <c r="E87" s="207" t="s">
        <v>71</v>
      </c>
      <c r="F87" s="98" t="str">
        <f>CONCATENATE(" Volume for ",$E$12," samples")</f>
        <v xml:space="preserve"> Volume for  samples</v>
      </c>
      <c r="G87"/>
      <c r="H87"/>
      <c r="I87"/>
      <c r="J87"/>
    </row>
    <row r="88" spans="1:14" ht="24.95" customHeight="1">
      <c r="A88"/>
      <c r="B88"/>
      <c r="C88"/>
      <c r="D88" s="108" t="s">
        <v>364</v>
      </c>
      <c r="E88" s="108">
        <v>50</v>
      </c>
      <c r="F88" s="108">
        <f>E88*1.1*$E$12</f>
        <v>0</v>
      </c>
      <c r="G88" s="108" t="s">
        <v>73</v>
      </c>
      <c r="H88"/>
      <c r="I88"/>
      <c r="K88" s="208"/>
      <c r="L88" s="209"/>
    </row>
    <row r="89" spans="1:14" ht="24.95" customHeight="1">
      <c r="A89"/>
      <c r="B89"/>
      <c r="C89"/>
      <c r="D89" s="203" t="s">
        <v>374</v>
      </c>
      <c r="E89" s="108">
        <v>15</v>
      </c>
      <c r="F89" s="108">
        <f>E89*1.1*$E$12</f>
        <v>0</v>
      </c>
      <c r="G89" s="203" t="s">
        <v>73</v>
      </c>
      <c r="H89"/>
      <c r="I89"/>
      <c r="K89" s="208"/>
      <c r="L89" s="209"/>
      <c r="M89" s="97"/>
      <c r="N89" s="210"/>
    </row>
    <row r="90" spans="1:14" ht="24.95" customHeight="1" thickBot="1">
      <c r="A90"/>
      <c r="B90"/>
      <c r="C90"/>
      <c r="D90" s="102" t="s">
        <v>104</v>
      </c>
      <c r="E90" s="102">
        <f>+SUM(E88:E89)</f>
        <v>65</v>
      </c>
      <c r="F90" s="102">
        <f>SUM(F88:F89)</f>
        <v>0</v>
      </c>
      <c r="G90" s="102" t="s">
        <v>73</v>
      </c>
      <c r="H90"/>
      <c r="I90"/>
      <c r="J90"/>
    </row>
    <row r="91" spans="1:14" ht="24.95" customHeight="1" thickBot="1">
      <c r="A91" s="150"/>
      <c r="B91" s="96" t="s">
        <v>375</v>
      </c>
      <c r="C91"/>
      <c r="D91"/>
      <c r="E91"/>
      <c r="F91" s="99"/>
      <c r="G91" s="99"/>
      <c r="H91"/>
      <c r="I91"/>
      <c r="J91"/>
    </row>
    <row r="92" spans="1:14" ht="24.95" customHeight="1" thickBot="1">
      <c r="A92" s="150"/>
      <c r="B92" s="96" t="s">
        <v>83</v>
      </c>
      <c r="C92"/>
      <c r="D92" s="100" t="s">
        <v>99</v>
      </c>
      <c r="E92"/>
      <c r="F92"/>
      <c r="G92"/>
      <c r="H92"/>
      <c r="I92" s="1"/>
      <c r="J92" s="139" t="s">
        <v>367</v>
      </c>
    </row>
    <row r="93" spans="1:14" ht="24.95" customHeight="1">
      <c r="A93"/>
      <c r="B93"/>
      <c r="C93"/>
      <c r="D93" s="101" t="s">
        <v>100</v>
      </c>
      <c r="E93" s="348" t="s">
        <v>276</v>
      </c>
      <c r="F93"/>
      <c r="G93"/>
      <c r="H93"/>
      <c r="I93" s="1" t="s">
        <v>369</v>
      </c>
      <c r="J93" s="1">
        <v>10</v>
      </c>
    </row>
    <row r="94" spans="1:14" ht="24.95" customHeight="1">
      <c r="A94"/>
      <c r="B94"/>
      <c r="C94"/>
      <c r="D94" s="101" t="s">
        <v>370</v>
      </c>
      <c r="E94" s="349"/>
      <c r="F94"/>
      <c r="G94"/>
      <c r="H94"/>
      <c r="I94" s="1" t="s">
        <v>371</v>
      </c>
      <c r="J94" s="1">
        <v>8</v>
      </c>
    </row>
    <row r="95" spans="1:14" ht="24.95" customHeight="1">
      <c r="A95"/>
      <c r="B95"/>
      <c r="C95"/>
      <c r="D95" s="211" t="s">
        <v>87</v>
      </c>
      <c r="E95" s="350"/>
      <c r="F95"/>
      <c r="G95" s="125"/>
      <c r="H95"/>
      <c r="I95"/>
      <c r="J95"/>
    </row>
    <row r="96" spans="1:14" ht="29.45" customHeight="1" thickBot="1">
      <c r="A96"/>
      <c r="B96"/>
      <c r="C96"/>
      <c r="D96" s="100" t="s">
        <v>87</v>
      </c>
      <c r="E96"/>
      <c r="F96"/>
      <c r="G96"/>
      <c r="H96"/>
      <c r="I96"/>
      <c r="J96"/>
    </row>
    <row r="97" spans="1:16" ht="24.95" customHeight="1" thickBot="1">
      <c r="A97" s="150"/>
      <c r="B97" s="96" t="s">
        <v>376</v>
      </c>
      <c r="C97"/>
      <c r="D97"/>
      <c r="E97"/>
      <c r="F97"/>
      <c r="G97"/>
      <c r="H97"/>
      <c r="I97"/>
      <c r="J97"/>
    </row>
    <row r="98" spans="1:16" ht="24.95" customHeight="1" thickBot="1">
      <c r="A98"/>
      <c r="B98" s="324" t="s">
        <v>377</v>
      </c>
      <c r="C98" s="325"/>
      <c r="D98" s="325"/>
      <c r="E98" s="325"/>
      <c r="F98" s="325"/>
      <c r="G98" s="325"/>
      <c r="H98" s="325"/>
      <c r="I98" s="325"/>
      <c r="J98" s="325"/>
      <c r="K98" s="325"/>
      <c r="L98" s="325"/>
      <c r="M98" s="326"/>
      <c r="N98"/>
    </row>
    <row r="99" spans="1:16" ht="24.6" customHeight="1" thickBot="1">
      <c r="A99" s="150"/>
      <c r="B99" s="96" t="s">
        <v>378</v>
      </c>
      <c r="C99"/>
      <c r="D99"/>
      <c r="E99"/>
      <c r="F99"/>
      <c r="G99"/>
      <c r="H99"/>
      <c r="I99"/>
      <c r="J99"/>
    </row>
    <row r="100" spans="1:16" ht="24.6" customHeight="1" thickBot="1">
      <c r="A100" s="150"/>
      <c r="B100" s="96" t="s">
        <v>235</v>
      </c>
      <c r="C100"/>
      <c r="D100"/>
      <c r="E100"/>
      <c r="F100"/>
      <c r="G100"/>
      <c r="H100"/>
      <c r="I100"/>
      <c r="J100"/>
    </row>
    <row r="101" spans="1:16" ht="24.95" customHeight="1" thickBot="1">
      <c r="A101"/>
      <c r="B101"/>
      <c r="C101"/>
      <c r="D101"/>
      <c r="E101" s="176" t="s">
        <v>71</v>
      </c>
      <c r="F101" s="98" t="str">
        <f>CONCATENATE(" Volume for ",$E$12," samples")</f>
        <v xml:space="preserve"> Volume for  samples</v>
      </c>
      <c r="J101"/>
      <c r="K101"/>
      <c r="L101"/>
      <c r="M101"/>
      <c r="N101"/>
    </row>
    <row r="102" spans="1:16" ht="24.95" customHeight="1" thickBot="1">
      <c r="A102" s="150"/>
      <c r="B102" s="151" t="s">
        <v>72</v>
      </c>
      <c r="C102" s="186"/>
      <c r="D102" s="133" t="s">
        <v>236</v>
      </c>
      <c r="E102" s="155">
        <v>5</v>
      </c>
      <c r="F102" s="156">
        <f>E102*$E$12*1.1</f>
        <v>0</v>
      </c>
      <c r="G102" s="143" t="s">
        <v>73</v>
      </c>
      <c r="J102"/>
      <c r="K102"/>
      <c r="L102"/>
      <c r="M102"/>
      <c r="N102"/>
    </row>
    <row r="103" spans="1:16" ht="24.95" customHeight="1" thickBot="1">
      <c r="A103"/>
      <c r="B103"/>
      <c r="C103" s="187"/>
      <c r="D103" s="181" t="s">
        <v>237</v>
      </c>
      <c r="E103" s="178">
        <v>10</v>
      </c>
      <c r="F103" s="163">
        <f>E103*$E$12*1.1</f>
        <v>0</v>
      </c>
      <c r="G103" s="164" t="s">
        <v>73</v>
      </c>
      <c r="J103"/>
      <c r="K103"/>
      <c r="L103"/>
      <c r="M103"/>
      <c r="N103"/>
    </row>
    <row r="104" spans="1:16" ht="24.95" customHeight="1" thickBot="1">
      <c r="A104"/>
      <c r="B104"/>
      <c r="C104"/>
      <c r="D104"/>
      <c r="E104" s="172">
        <f>SUM(E102:E103)</f>
        <v>15</v>
      </c>
      <c r="F104" s="172">
        <f>SUM(F102:F103)</f>
        <v>0</v>
      </c>
      <c r="G104" s="167" t="s">
        <v>73</v>
      </c>
      <c r="H104" s="179" t="s">
        <v>75</v>
      </c>
      <c r="I104" s="179"/>
      <c r="J104"/>
      <c r="K104"/>
      <c r="L104"/>
      <c r="M104"/>
      <c r="N104"/>
    </row>
    <row r="105" spans="1:16" ht="24.95" customHeight="1" thickBot="1">
      <c r="A105" s="150"/>
      <c r="B105" s="96" t="s">
        <v>83</v>
      </c>
      <c r="C105"/>
      <c r="D105" s="94" t="s">
        <v>238</v>
      </c>
      <c r="E105"/>
      <c r="F105"/>
      <c r="G105"/>
      <c r="H105"/>
      <c r="I105"/>
      <c r="J105"/>
      <c r="K105"/>
      <c r="L105"/>
      <c r="M105"/>
      <c r="N105"/>
    </row>
    <row r="106" spans="1:16" ht="24.95" customHeight="1">
      <c r="A106"/>
      <c r="B106"/>
      <c r="C106"/>
      <c r="D106" s="94" t="s">
        <v>379</v>
      </c>
      <c r="E106"/>
      <c r="F106"/>
      <c r="G106"/>
      <c r="H106"/>
      <c r="I106"/>
      <c r="J106"/>
      <c r="K106"/>
      <c r="L106"/>
      <c r="M106"/>
      <c r="N106"/>
    </row>
    <row r="107" spans="1:16" ht="26.1" customHeight="1">
      <c r="A107"/>
      <c r="B107"/>
      <c r="C107"/>
      <c r="D107" s="94" t="s">
        <v>240</v>
      </c>
      <c r="E107"/>
      <c r="F107"/>
      <c r="G107"/>
      <c r="H107"/>
      <c r="I107"/>
      <c r="J107"/>
      <c r="K107"/>
      <c r="L107"/>
      <c r="M107"/>
      <c r="N107"/>
      <c r="O107"/>
      <c r="P107"/>
    </row>
    <row r="108" spans="1:16" ht="24.95" customHeight="1" thickBot="1">
      <c r="A108"/>
      <c r="B108"/>
      <c r="C108"/>
      <c r="D108" s="94" t="s">
        <v>241</v>
      </c>
      <c r="E108"/>
      <c r="F108"/>
      <c r="G108"/>
      <c r="H108"/>
      <c r="I108"/>
      <c r="J108"/>
      <c r="K108"/>
      <c r="L108"/>
      <c r="M108"/>
      <c r="N108"/>
    </row>
    <row r="109" spans="1:16" ht="24.95" customHeight="1" thickBot="1">
      <c r="A109" s="150"/>
      <c r="B109" s="96" t="s">
        <v>244</v>
      </c>
      <c r="C109"/>
      <c r="D109"/>
      <c r="E109"/>
      <c r="F109"/>
      <c r="G109"/>
      <c r="H109"/>
      <c r="I109"/>
      <c r="J109"/>
    </row>
    <row r="110" spans="1:16" ht="36" customHeight="1" thickBot="1">
      <c r="A110"/>
      <c r="B110"/>
      <c r="C110"/>
      <c r="D110"/>
      <c r="E110" s="176" t="s">
        <v>71</v>
      </c>
      <c r="F110" s="98" t="str">
        <f>CONCATENATE(" Volume for ",$E$12," samples")</f>
        <v xml:space="preserve"> Volume for  samples</v>
      </c>
      <c r="I110"/>
      <c r="J110"/>
      <c r="K110"/>
      <c r="L110"/>
      <c r="M110"/>
      <c r="N110"/>
      <c r="O110"/>
      <c r="P110"/>
    </row>
    <row r="111" spans="1:16" ht="26.1" customHeight="1" thickBot="1">
      <c r="A111" s="150"/>
      <c r="B111" s="96" t="s">
        <v>245</v>
      </c>
      <c r="C111" s="186"/>
      <c r="D111" s="133" t="s">
        <v>340</v>
      </c>
      <c r="E111" s="155">
        <v>40</v>
      </c>
      <c r="F111" s="156">
        <f>E111*$E$12*1.1</f>
        <v>0</v>
      </c>
      <c r="G111" s="143" t="s">
        <v>73</v>
      </c>
      <c r="I111"/>
      <c r="J111"/>
      <c r="K111"/>
      <c r="L111"/>
      <c r="M111"/>
      <c r="N111"/>
      <c r="O111"/>
      <c r="P111"/>
    </row>
    <row r="112" spans="1:16" ht="26.1" customHeight="1">
      <c r="A112" s="149"/>
      <c r="B112" s="151"/>
      <c r="C112" s="186"/>
      <c r="D112" s="133" t="s">
        <v>246</v>
      </c>
      <c r="E112" s="159">
        <v>10</v>
      </c>
      <c r="F112" s="156">
        <f>E112*$E$12*1.1</f>
        <v>0</v>
      </c>
      <c r="G112" s="143" t="s">
        <v>73</v>
      </c>
      <c r="I112"/>
      <c r="J112"/>
      <c r="K112"/>
      <c r="L112"/>
      <c r="M112"/>
      <c r="N112"/>
      <c r="O112"/>
      <c r="P112"/>
    </row>
    <row r="113" spans="1:16" ht="21.6" customHeight="1" thickBot="1">
      <c r="A113"/>
      <c r="B113"/>
      <c r="C113"/>
      <c r="D113"/>
      <c r="E113" s="172">
        <f>SUM(E111:E112)</f>
        <v>50</v>
      </c>
      <c r="F113" s="172">
        <f>SUM(F111:F112)</f>
        <v>0</v>
      </c>
      <c r="G113" s="167" t="s">
        <v>73</v>
      </c>
      <c r="H113" s="179" t="s">
        <v>75</v>
      </c>
      <c r="O113"/>
      <c r="P113"/>
    </row>
    <row r="114" spans="1:16" ht="21.6" customHeight="1" thickBot="1">
      <c r="A114" s="150"/>
      <c r="B114" s="96" t="s">
        <v>83</v>
      </c>
      <c r="C114"/>
      <c r="D114" s="94" t="s">
        <v>247</v>
      </c>
      <c r="G114" s="146"/>
      <c r="H114" s="179"/>
      <c r="O114"/>
      <c r="P114"/>
    </row>
    <row r="115" spans="1:16" ht="21.6" customHeight="1" thickBot="1">
      <c r="A115"/>
      <c r="B115"/>
      <c r="C115"/>
      <c r="D115" s="94" t="s">
        <v>238</v>
      </c>
      <c r="G115" s="146"/>
      <c r="H115" s="179"/>
      <c r="O115"/>
      <c r="P115"/>
    </row>
    <row r="116" spans="1:16" ht="21.6" customHeight="1" thickBot="1">
      <c r="A116" s="150"/>
      <c r="B116" s="96" t="s">
        <v>248</v>
      </c>
      <c r="C116"/>
      <c r="D116"/>
      <c r="E116"/>
      <c r="F116"/>
      <c r="G116"/>
      <c r="H116"/>
      <c r="I116"/>
      <c r="J116"/>
      <c r="O116"/>
      <c r="P116"/>
    </row>
    <row r="117" spans="1:16" ht="21.6" customHeight="1" thickBot="1">
      <c r="A117" s="150"/>
      <c r="B117" s="96" t="s">
        <v>249</v>
      </c>
      <c r="C117"/>
      <c r="D117"/>
      <c r="E117"/>
      <c r="F117"/>
      <c r="G117"/>
      <c r="H117"/>
      <c r="I117"/>
      <c r="J117"/>
      <c r="O117"/>
      <c r="P117"/>
    </row>
    <row r="118" spans="1:16" ht="24.95" customHeight="1" thickBot="1">
      <c r="A118" s="150"/>
      <c r="B118" s="96" t="str">
        <f xml:space="preserve"> CONCATENATE("Add 20 µL of indexes of the plate ",L2)</f>
        <v xml:space="preserve">Add 20 µL of indexes of the plate </v>
      </c>
      <c r="C118"/>
      <c r="D118"/>
      <c r="E118"/>
      <c r="F118"/>
      <c r="G118"/>
      <c r="H118"/>
      <c r="I118"/>
      <c r="J118"/>
    </row>
    <row r="119" spans="1:16" ht="33" customHeight="1" thickBot="1">
      <c r="A119" s="188"/>
      <c r="B119" s="179" t="s">
        <v>89</v>
      </c>
      <c r="G119" s="141" t="s">
        <v>90</v>
      </c>
      <c r="H119" s="185"/>
      <c r="O119"/>
      <c r="P119"/>
    </row>
    <row r="120" spans="1:16" ht="26.1" customHeight="1">
      <c r="A120" s="149"/>
      <c r="B120" s="189"/>
      <c r="C120" s="104">
        <v>1</v>
      </c>
      <c r="D120" s="104">
        <v>2</v>
      </c>
      <c r="E120" s="104">
        <v>3</v>
      </c>
      <c r="F120" s="104">
        <v>4</v>
      </c>
      <c r="G120" s="104">
        <v>5</v>
      </c>
      <c r="H120" s="104">
        <v>6</v>
      </c>
      <c r="I120" s="104">
        <v>7</v>
      </c>
      <c r="J120" s="104">
        <v>8</v>
      </c>
      <c r="K120" s="104">
        <v>9</v>
      </c>
      <c r="L120" s="104">
        <v>10</v>
      </c>
      <c r="M120" s="104">
        <v>11</v>
      </c>
      <c r="N120" s="104">
        <v>12</v>
      </c>
      <c r="O120"/>
      <c r="P120"/>
    </row>
    <row r="121" spans="1:16" ht="26.1" customHeight="1">
      <c r="A121" s="149"/>
      <c r="B121" s="105" t="s">
        <v>91</v>
      </c>
      <c r="C121" s="106" t="str">
        <f>IF(ISNUMBER(#REF!),#REF!, " ")</f>
        <v xml:space="preserve"> </v>
      </c>
      <c r="D121" s="106" t="str">
        <f>IF(ISNUMBER(#REF!),#REF!, " ")</f>
        <v xml:space="preserve"> </v>
      </c>
      <c r="E121" s="106" t="str">
        <f>IF(ISNUMBER(#REF!),#REF!, " ")</f>
        <v xml:space="preserve"> </v>
      </c>
      <c r="F121" s="106" t="str">
        <f>IF(ISNUMBER(#REF!),#REF!, " ")</f>
        <v xml:space="preserve"> </v>
      </c>
      <c r="G121" s="106" t="str">
        <f>IF(ISNUMBER(#REF!),#REF!, " ")</f>
        <v xml:space="preserve"> </v>
      </c>
      <c r="H121" s="106" t="str">
        <f>IF(ISNUMBER(#REF!),#REF!, " ")</f>
        <v xml:space="preserve"> </v>
      </c>
      <c r="I121" s="106" t="str">
        <f>IF(ISNUMBER(#REF!),#REF!, " ")</f>
        <v xml:space="preserve"> </v>
      </c>
      <c r="J121" s="106" t="str">
        <f>IF(ISNUMBER(#REF!),#REF!, " ")</f>
        <v xml:space="preserve"> </v>
      </c>
      <c r="K121" s="106" t="str">
        <f>IF(ISNUMBER(#REF!),#REF!, " ")</f>
        <v xml:space="preserve"> </v>
      </c>
      <c r="L121" s="106" t="str">
        <f>IF(ISNUMBER(#REF!),#REF!, " ")</f>
        <v xml:space="preserve"> </v>
      </c>
      <c r="M121" s="106" t="str">
        <f>IF(ISNUMBER(#REF!),#REF!, " ")</f>
        <v xml:space="preserve"> </v>
      </c>
      <c r="N121" s="106" t="str">
        <f>IF(ISNUMBER(#REF!),#REF!, " ")</f>
        <v xml:space="preserve"> </v>
      </c>
      <c r="O121"/>
      <c r="P121"/>
    </row>
    <row r="122" spans="1:16" ht="26.25" customHeight="1">
      <c r="B122" s="105" t="s">
        <v>92</v>
      </c>
      <c r="C122" s="106" t="str">
        <f>IF(ISNUMBER(#REF!),#REF!, " ")</f>
        <v xml:space="preserve"> </v>
      </c>
      <c r="D122" s="106" t="str">
        <f>IF(ISNUMBER(#REF!),#REF!, " ")</f>
        <v xml:space="preserve"> </v>
      </c>
      <c r="E122" s="106" t="str">
        <f>IF(ISNUMBER(#REF!),#REF!, " ")</f>
        <v xml:space="preserve"> </v>
      </c>
      <c r="F122" s="106" t="str">
        <f>IF(ISNUMBER(#REF!),#REF!, " ")</f>
        <v xml:space="preserve"> </v>
      </c>
      <c r="G122" s="106" t="str">
        <f>IF(ISNUMBER(#REF!),#REF!, " ")</f>
        <v xml:space="preserve"> </v>
      </c>
      <c r="H122" s="106" t="str">
        <f>IF(ISNUMBER(#REF!),#REF!, " ")</f>
        <v xml:space="preserve"> </v>
      </c>
      <c r="I122" s="106" t="str">
        <f>IF(ISNUMBER(#REF!),#REF!, " ")</f>
        <v xml:space="preserve"> </v>
      </c>
      <c r="J122" s="106" t="str">
        <f>IF(ISNUMBER(#REF!),#REF!, " ")</f>
        <v xml:space="preserve"> </v>
      </c>
      <c r="K122" s="106" t="str">
        <f>IF(ISNUMBER(#REF!),#REF!, " ")</f>
        <v xml:space="preserve"> </v>
      </c>
      <c r="L122" s="106" t="str">
        <f>IF(ISNUMBER(#REF!),#REF!, " ")</f>
        <v xml:space="preserve"> </v>
      </c>
      <c r="M122" s="106" t="str">
        <f>IF(ISNUMBER(#REF!),#REF!, " ")</f>
        <v xml:space="preserve"> </v>
      </c>
      <c r="N122" s="106" t="str">
        <f>IF(ISNUMBER(#REF!),#REF!, " ")</f>
        <v xml:space="preserve"> </v>
      </c>
    </row>
    <row r="123" spans="1:16" ht="20.45" customHeight="1">
      <c r="B123" s="105" t="s">
        <v>93</v>
      </c>
      <c r="C123" s="106" t="str">
        <f>IF(ISNUMBER(#REF!),#REF!, " ")</f>
        <v xml:space="preserve"> </v>
      </c>
      <c r="D123" s="106" t="str">
        <f>IF(ISNUMBER(#REF!),#REF!, " ")</f>
        <v xml:space="preserve"> </v>
      </c>
      <c r="E123" s="106" t="str">
        <f>IF(ISNUMBER(#REF!),#REF!, " ")</f>
        <v xml:space="preserve"> </v>
      </c>
      <c r="F123" s="106" t="str">
        <f>IF(ISNUMBER(#REF!),#REF!, " ")</f>
        <v xml:space="preserve"> </v>
      </c>
      <c r="G123" s="106" t="str">
        <f>IF(ISNUMBER(#REF!),#REF!, " ")</f>
        <v xml:space="preserve"> </v>
      </c>
      <c r="H123" s="106" t="str">
        <f>IF(ISNUMBER(#REF!),#REF!, " ")</f>
        <v xml:space="preserve"> </v>
      </c>
      <c r="I123" s="106" t="str">
        <f>IF(ISNUMBER(#REF!),#REF!, " ")</f>
        <v xml:space="preserve"> </v>
      </c>
      <c r="J123" s="106" t="str">
        <f>IF(ISNUMBER(#REF!),#REF!, " ")</f>
        <v xml:space="preserve"> </v>
      </c>
      <c r="K123" s="106" t="str">
        <f>IF(ISNUMBER(#REF!),#REF!, " ")</f>
        <v xml:space="preserve"> </v>
      </c>
      <c r="L123" s="106" t="str">
        <f>IF(ISNUMBER(#REF!),#REF!, " ")</f>
        <v xml:space="preserve"> </v>
      </c>
      <c r="M123" s="106" t="str">
        <f>IF(ISNUMBER(#REF!),#REF!, " ")</f>
        <v xml:space="preserve"> </v>
      </c>
      <c r="N123" s="106" t="str">
        <f>IF(ISNUMBER(#REF!),#REF!, " ")</f>
        <v xml:space="preserve"> </v>
      </c>
    </row>
    <row r="124" spans="1:16" ht="20.45" customHeight="1">
      <c r="B124" s="105" t="s">
        <v>94</v>
      </c>
      <c r="C124" s="106" t="str">
        <f>IF(ISNUMBER(#REF!),#REF!, " ")</f>
        <v xml:space="preserve"> </v>
      </c>
      <c r="D124" s="106" t="str">
        <f>IF(ISNUMBER(#REF!),#REF!, " ")</f>
        <v xml:space="preserve"> </v>
      </c>
      <c r="E124" s="106" t="str">
        <f>IF(ISNUMBER(#REF!),#REF!, " ")</f>
        <v xml:space="preserve"> </v>
      </c>
      <c r="F124" s="106" t="str">
        <f>IF(ISNUMBER(#REF!),#REF!, " ")</f>
        <v xml:space="preserve"> </v>
      </c>
      <c r="G124" s="106" t="str">
        <f>IF(ISNUMBER(#REF!),#REF!, " ")</f>
        <v xml:space="preserve"> </v>
      </c>
      <c r="H124" s="106" t="str">
        <f>IF(ISNUMBER(#REF!),#REF!, " ")</f>
        <v xml:space="preserve"> </v>
      </c>
      <c r="I124" s="106" t="str">
        <f>IF(ISNUMBER(#REF!),#REF!, " ")</f>
        <v xml:space="preserve"> </v>
      </c>
      <c r="J124" s="106" t="str">
        <f>IF(ISNUMBER(#REF!),#REF!, " ")</f>
        <v xml:space="preserve"> </v>
      </c>
      <c r="K124" s="106" t="str">
        <f>IF(ISNUMBER(#REF!),#REF!, " ")</f>
        <v xml:space="preserve"> </v>
      </c>
      <c r="L124" s="106" t="str">
        <f>IF(ISNUMBER(#REF!),#REF!, " ")</f>
        <v xml:space="preserve"> </v>
      </c>
      <c r="M124" s="106" t="str">
        <f>IF(ISNUMBER(#REF!),#REF!, " ")</f>
        <v xml:space="preserve"> </v>
      </c>
      <c r="N124" s="106" t="str">
        <f>IF(ISNUMBER(#REF!),#REF!, " ")</f>
        <v xml:space="preserve"> </v>
      </c>
    </row>
    <row r="125" spans="1:16" ht="24.95" customHeight="1">
      <c r="B125" s="105" t="s">
        <v>95</v>
      </c>
      <c r="C125" s="106" t="str">
        <f>IF(ISNUMBER(#REF!),#REF!, " ")</f>
        <v xml:space="preserve"> </v>
      </c>
      <c r="D125" s="106" t="str">
        <f>IF(ISNUMBER(#REF!),#REF!, " ")</f>
        <v xml:space="preserve"> </v>
      </c>
      <c r="E125" s="106" t="str">
        <f>IF(ISNUMBER(#REF!),#REF!, " ")</f>
        <v xml:space="preserve"> </v>
      </c>
      <c r="F125" s="106" t="str">
        <f>IF(ISNUMBER(#REF!),#REF!, " ")</f>
        <v xml:space="preserve"> </v>
      </c>
      <c r="G125" s="106" t="str">
        <f>IF(ISNUMBER(#REF!),#REF!, " ")</f>
        <v xml:space="preserve"> </v>
      </c>
      <c r="H125" s="106" t="str">
        <f>IF(ISNUMBER(#REF!),#REF!, " ")</f>
        <v xml:space="preserve"> </v>
      </c>
      <c r="I125" s="106" t="str">
        <f>IF(ISNUMBER(#REF!),#REF!, " ")</f>
        <v xml:space="preserve"> </v>
      </c>
      <c r="J125" s="106" t="str">
        <f>IF(ISNUMBER(#REF!),#REF!, " ")</f>
        <v xml:space="preserve"> </v>
      </c>
      <c r="K125" s="106" t="str">
        <f>IF(ISNUMBER(#REF!),#REF!, " ")</f>
        <v xml:space="preserve"> </v>
      </c>
      <c r="L125" s="106" t="str">
        <f>IF(ISNUMBER(#REF!),#REF!, " ")</f>
        <v xml:space="preserve"> </v>
      </c>
      <c r="M125" s="106" t="str">
        <f>IF(ISNUMBER(#REF!),#REF!, " ")</f>
        <v xml:space="preserve"> </v>
      </c>
      <c r="N125" s="106" t="str">
        <f>IF(ISNUMBER(#REF!),#REF!, " ")</f>
        <v xml:space="preserve"> </v>
      </c>
    </row>
    <row r="126" spans="1:16" ht="24.95" customHeight="1">
      <c r="B126" s="105" t="s">
        <v>96</v>
      </c>
      <c r="C126" s="106" t="str">
        <f>IF(ISNUMBER(#REF!),#REF!, " ")</f>
        <v xml:space="preserve"> </v>
      </c>
      <c r="D126" s="106" t="str">
        <f>IF(ISNUMBER(#REF!),#REF!, " ")</f>
        <v xml:space="preserve"> </v>
      </c>
      <c r="E126" s="106" t="str">
        <f>IF(ISNUMBER(#REF!),#REF!, " ")</f>
        <v xml:space="preserve"> </v>
      </c>
      <c r="F126" s="106" t="str">
        <f>IF(ISNUMBER(#REF!),#REF!, " ")</f>
        <v xml:space="preserve"> </v>
      </c>
      <c r="G126" s="106" t="str">
        <f>IF(ISNUMBER(#REF!),#REF!, " ")</f>
        <v xml:space="preserve"> </v>
      </c>
      <c r="H126" s="106" t="str">
        <f>IF(ISNUMBER(#REF!),#REF!, " ")</f>
        <v xml:space="preserve"> </v>
      </c>
      <c r="I126" s="106" t="str">
        <f>IF(ISNUMBER(#REF!),#REF!, " ")</f>
        <v xml:space="preserve"> </v>
      </c>
      <c r="J126" s="106" t="str">
        <f>IF(ISNUMBER(#REF!),#REF!, " ")</f>
        <v xml:space="preserve"> </v>
      </c>
      <c r="K126" s="106" t="str">
        <f>IF(ISNUMBER(#REF!),#REF!, " ")</f>
        <v xml:space="preserve"> </v>
      </c>
      <c r="L126" s="106" t="str">
        <f>IF(ISNUMBER(#REF!),#REF!, " ")</f>
        <v xml:space="preserve"> </v>
      </c>
      <c r="M126" s="106" t="str">
        <f>IF(ISNUMBER(#REF!),#REF!, " ")</f>
        <v xml:space="preserve"> </v>
      </c>
      <c r="N126" s="106" t="str">
        <f>IF(ISNUMBER(#REF!),#REF!, " ")</f>
        <v xml:space="preserve"> </v>
      </c>
    </row>
    <row r="127" spans="1:16" ht="24.95" customHeight="1">
      <c r="B127" s="105" t="s">
        <v>97</v>
      </c>
      <c r="C127" s="106" t="str">
        <f>IF(ISNUMBER(#REF!),#REF!, " ")</f>
        <v xml:space="preserve"> </v>
      </c>
      <c r="D127" s="106" t="str">
        <f>IF(ISNUMBER(#REF!),#REF!, " ")</f>
        <v xml:space="preserve"> </v>
      </c>
      <c r="E127" s="106" t="str">
        <f>IF(ISNUMBER(#REF!),#REF!, " ")</f>
        <v xml:space="preserve"> </v>
      </c>
      <c r="F127" s="106" t="str">
        <f>IF(ISNUMBER(#REF!),#REF!, " ")</f>
        <v xml:space="preserve"> </v>
      </c>
      <c r="G127" s="106" t="str">
        <f>IF(ISNUMBER(#REF!),#REF!, " ")</f>
        <v xml:space="preserve"> </v>
      </c>
      <c r="H127" s="106" t="str">
        <f>IF(ISNUMBER(#REF!),#REF!, " ")</f>
        <v xml:space="preserve"> </v>
      </c>
      <c r="I127" s="106" t="str">
        <f>IF(ISNUMBER(#REF!),#REF!, " ")</f>
        <v xml:space="preserve"> </v>
      </c>
      <c r="J127" s="106" t="str">
        <f>IF(ISNUMBER(#REF!),#REF!, " ")</f>
        <v xml:space="preserve"> </v>
      </c>
      <c r="K127" s="106" t="str">
        <f>IF(ISNUMBER(#REF!),#REF!, " ")</f>
        <v xml:space="preserve"> </v>
      </c>
      <c r="L127" s="106" t="str">
        <f>IF(ISNUMBER(#REF!),#REF!, " ")</f>
        <v xml:space="preserve"> </v>
      </c>
      <c r="M127" s="106" t="str">
        <f>IF(ISNUMBER(#REF!),#REF!, " ")</f>
        <v xml:space="preserve"> </v>
      </c>
      <c r="N127" s="106" t="str">
        <f>IF(ISNUMBER(#REF!),#REF!, " ")</f>
        <v xml:space="preserve"> </v>
      </c>
    </row>
    <row r="128" spans="1:16" ht="24.95" customHeight="1" thickBot="1">
      <c r="B128" s="105" t="s">
        <v>98</v>
      </c>
      <c r="C128" s="106" t="str">
        <f>IF(ISNUMBER(#REF!),#REF!, " ")</f>
        <v xml:space="preserve"> </v>
      </c>
      <c r="D128" s="106" t="str">
        <f>IF(ISNUMBER(#REF!),#REF!, " ")</f>
        <v xml:space="preserve"> </v>
      </c>
      <c r="E128" s="106" t="str">
        <f>IF(ISNUMBER(#REF!),#REF!, " ")</f>
        <v xml:space="preserve"> </v>
      </c>
      <c r="F128" s="106" t="str">
        <f>IF(ISNUMBER(#REF!),#REF!, " ")</f>
        <v xml:space="preserve"> </v>
      </c>
      <c r="G128" s="106" t="str">
        <f>IF(ISNUMBER(#REF!),#REF!, " ")</f>
        <v xml:space="preserve"> </v>
      </c>
      <c r="H128" s="106" t="str">
        <f>IF(ISNUMBER(#REF!),#REF!, " ")</f>
        <v xml:space="preserve"> </v>
      </c>
      <c r="I128" s="106" t="str">
        <f>IF(ISNUMBER(#REF!),#REF!, " ")</f>
        <v xml:space="preserve"> </v>
      </c>
      <c r="J128" s="106" t="str">
        <f>IF(ISNUMBER(#REF!),#REF!, " ")</f>
        <v xml:space="preserve"> </v>
      </c>
      <c r="K128" s="106" t="str">
        <f>IF(ISNUMBER(#REF!),#REF!, " ")</f>
        <v xml:space="preserve"> </v>
      </c>
      <c r="L128" s="106" t="str">
        <f>IF(ISNUMBER(#REF!),#REF!, " ")</f>
        <v xml:space="preserve"> </v>
      </c>
      <c r="M128" s="106" t="str">
        <f>IF(ISNUMBER(#REF!),#REF!, " ")</f>
        <v xml:space="preserve"> </v>
      </c>
      <c r="N128" s="106" t="str">
        <f>IF(ISNUMBER(#REF!),#REF!, " ")</f>
        <v xml:space="preserve"> </v>
      </c>
    </row>
    <row r="129" spans="1:16" ht="24.95" customHeight="1" thickBot="1">
      <c r="A129" s="150"/>
      <c r="B129" s="96" t="s">
        <v>83</v>
      </c>
      <c r="C129"/>
      <c r="D129" s="94" t="s">
        <v>99</v>
      </c>
      <c r="E129"/>
      <c r="F129"/>
      <c r="G129" s="142" t="s">
        <v>88</v>
      </c>
      <c r="H129" s="185"/>
      <c r="I129"/>
      <c r="J129"/>
    </row>
    <row r="130" spans="1:16" ht="17.45" customHeight="1">
      <c r="A130"/>
      <c r="B130"/>
      <c r="C130"/>
      <c r="D130" s="107" t="s">
        <v>100</v>
      </c>
      <c r="E130" s="348" t="str">
        <f>IF($H$168&gt;0,CONCATENATE($H$168," cycles"),"___cycles")</f>
        <v>___cycles</v>
      </c>
      <c r="F130"/>
      <c r="G130"/>
      <c r="H130"/>
      <c r="I130"/>
      <c r="J130"/>
    </row>
    <row r="131" spans="1:16" ht="17.45" customHeight="1">
      <c r="A131"/>
      <c r="B131"/>
      <c r="C131"/>
      <c r="D131" s="107" t="s">
        <v>101</v>
      </c>
      <c r="E131" s="349"/>
      <c r="F131"/>
      <c r="G131"/>
      <c r="H131"/>
      <c r="I131"/>
      <c r="J131"/>
    </row>
    <row r="132" spans="1:16" ht="17.45" customHeight="1">
      <c r="A132"/>
      <c r="B132"/>
      <c r="C132"/>
      <c r="D132" s="107" t="s">
        <v>102</v>
      </c>
      <c r="E132" s="350"/>
      <c r="F132"/>
      <c r="G132"/>
      <c r="H132"/>
      <c r="I132"/>
      <c r="J132"/>
    </row>
    <row r="133" spans="1:16" ht="17.45" customHeight="1" thickBot="1">
      <c r="A133"/>
      <c r="B133"/>
      <c r="C133"/>
      <c r="D133" s="94" t="s">
        <v>103</v>
      </c>
      <c r="E133"/>
      <c r="F133"/>
      <c r="G133"/>
      <c r="H133"/>
      <c r="I133"/>
      <c r="J133"/>
    </row>
    <row r="134" spans="1:16" ht="17.45" customHeight="1" thickBot="1">
      <c r="A134" s="150"/>
      <c r="B134" s="96" t="s">
        <v>380</v>
      </c>
      <c r="C134"/>
      <c r="D134"/>
      <c r="E134"/>
      <c r="F134"/>
      <c r="G134"/>
      <c r="H134"/>
      <c r="I134"/>
      <c r="J134"/>
    </row>
    <row r="135" spans="1:16" ht="17.45" customHeight="1" thickBot="1">
      <c r="A135"/>
      <c r="B135" s="324" t="s">
        <v>381</v>
      </c>
      <c r="C135" s="325"/>
      <c r="D135" s="325"/>
      <c r="E135" s="325"/>
      <c r="F135" s="325"/>
      <c r="G135" s="325"/>
      <c r="H135" s="325"/>
      <c r="I135" s="325"/>
      <c r="J135" s="325"/>
      <c r="K135" s="325"/>
      <c r="L135" s="325"/>
      <c r="M135" s="326"/>
      <c r="N135"/>
    </row>
    <row r="136" spans="1:16" ht="17.45" customHeight="1" thickBot="1">
      <c r="A136" s="150"/>
      <c r="B136" s="96" t="s">
        <v>234</v>
      </c>
      <c r="C136"/>
      <c r="D136"/>
      <c r="E136"/>
      <c r="F136"/>
      <c r="G136"/>
      <c r="H136"/>
      <c r="I136"/>
      <c r="J136"/>
    </row>
    <row r="137" spans="1:16" ht="17.45" customHeight="1" thickBot="1">
      <c r="A137" s="150"/>
      <c r="B137" s="96" t="s">
        <v>235</v>
      </c>
      <c r="C137"/>
      <c r="D137"/>
      <c r="E137"/>
      <c r="F137"/>
      <c r="G137"/>
      <c r="H137"/>
      <c r="I137"/>
      <c r="J137"/>
    </row>
    <row r="138" spans="1:16" ht="24.95" customHeight="1" thickBot="1">
      <c r="A138"/>
      <c r="B138"/>
      <c r="C138"/>
      <c r="D138"/>
      <c r="E138" s="176" t="s">
        <v>71</v>
      </c>
      <c r="F138" s="98" t="str">
        <f>CONCATENATE(" Volume for ",$E$12," samples")</f>
        <v xml:space="preserve"> Volume for  samples</v>
      </c>
      <c r="J138"/>
      <c r="K138"/>
      <c r="L138"/>
      <c r="M138"/>
      <c r="N138"/>
    </row>
    <row r="139" spans="1:16" ht="24.95" customHeight="1" thickBot="1">
      <c r="A139" s="150"/>
      <c r="B139" s="151" t="s">
        <v>72</v>
      </c>
      <c r="C139" s="186"/>
      <c r="D139" s="133" t="s">
        <v>236</v>
      </c>
      <c r="E139" s="155">
        <v>5</v>
      </c>
      <c r="F139" s="156">
        <f>E139*$E$12*1.1</f>
        <v>0</v>
      </c>
      <c r="G139" s="143" t="s">
        <v>73</v>
      </c>
      <c r="J139"/>
      <c r="K139"/>
      <c r="L139"/>
      <c r="M139"/>
      <c r="N139"/>
    </row>
    <row r="140" spans="1:16" ht="24.95" customHeight="1" thickBot="1">
      <c r="A140"/>
      <c r="B140"/>
      <c r="C140" s="187"/>
      <c r="D140" s="181" t="s">
        <v>237</v>
      </c>
      <c r="E140" s="178">
        <v>10</v>
      </c>
      <c r="F140" s="163">
        <f>E140*$E$12*1.1</f>
        <v>0</v>
      </c>
      <c r="G140" s="164" t="s">
        <v>73</v>
      </c>
      <c r="J140"/>
      <c r="K140"/>
      <c r="L140"/>
      <c r="M140"/>
      <c r="N140"/>
    </row>
    <row r="141" spans="1:16" ht="24.95" customHeight="1" thickBot="1">
      <c r="A141"/>
      <c r="B141"/>
      <c r="C141"/>
      <c r="D141"/>
      <c r="E141" s="172">
        <f>SUM(E139:E140)</f>
        <v>15</v>
      </c>
      <c r="F141" s="172">
        <f>SUM(F139:F140)</f>
        <v>0</v>
      </c>
      <c r="G141" s="167" t="s">
        <v>73</v>
      </c>
      <c r="H141" s="179" t="s">
        <v>75</v>
      </c>
      <c r="I141" s="179"/>
      <c r="J141"/>
      <c r="K141"/>
      <c r="L141"/>
      <c r="M141"/>
      <c r="N141"/>
    </row>
    <row r="142" spans="1:16" ht="24.95" customHeight="1" thickBot="1">
      <c r="A142" s="150"/>
      <c r="B142" s="96" t="s">
        <v>83</v>
      </c>
      <c r="C142"/>
      <c r="D142" s="94" t="s">
        <v>238</v>
      </c>
      <c r="E142"/>
      <c r="F142"/>
      <c r="G142"/>
      <c r="H142"/>
      <c r="I142"/>
      <c r="J142"/>
      <c r="K142"/>
      <c r="L142"/>
      <c r="M142"/>
      <c r="N142"/>
    </row>
    <row r="143" spans="1:16" ht="24.95" customHeight="1">
      <c r="A143"/>
      <c r="B143"/>
      <c r="C143"/>
      <c r="D143" s="94" t="s">
        <v>239</v>
      </c>
      <c r="E143"/>
      <c r="F143"/>
      <c r="G143"/>
      <c r="H143"/>
      <c r="I143"/>
      <c r="J143"/>
      <c r="K143"/>
      <c r="L143"/>
      <c r="M143"/>
      <c r="N143"/>
    </row>
    <row r="144" spans="1:16" ht="26.1" customHeight="1">
      <c r="A144"/>
      <c r="B144"/>
      <c r="C144"/>
      <c r="D144" s="94" t="s">
        <v>240</v>
      </c>
      <c r="E144"/>
      <c r="F144"/>
      <c r="G144"/>
      <c r="H144"/>
      <c r="I144"/>
      <c r="J144"/>
      <c r="K144"/>
      <c r="L144"/>
      <c r="M144"/>
      <c r="N144"/>
      <c r="O144"/>
      <c r="P144"/>
    </row>
    <row r="145" spans="1:16" ht="24.95" customHeight="1" thickBot="1">
      <c r="A145"/>
      <c r="B145"/>
      <c r="C145"/>
      <c r="D145" s="94" t="s">
        <v>241</v>
      </c>
      <c r="E145"/>
      <c r="F145"/>
      <c r="G145"/>
      <c r="H145"/>
      <c r="I145"/>
      <c r="J145"/>
      <c r="K145"/>
      <c r="L145"/>
      <c r="M145"/>
      <c r="N145"/>
    </row>
    <row r="146" spans="1:16" ht="24.95" customHeight="1" thickBot="1">
      <c r="A146" s="150"/>
      <c r="B146" s="387" t="s">
        <v>242</v>
      </c>
      <c r="C146" s="387"/>
      <c r="D146" s="387"/>
      <c r="E146" s="387"/>
      <c r="F146" s="387"/>
      <c r="G146" s="387"/>
      <c r="H146" s="387"/>
      <c r="I146" s="387"/>
      <c r="J146"/>
      <c r="K146" s="103" t="s">
        <v>243</v>
      </c>
    </row>
    <row r="147" spans="1:16" ht="36" customHeight="1" thickBot="1">
      <c r="A147"/>
      <c r="B147" s="387"/>
      <c r="C147" s="387"/>
      <c r="D147" s="387"/>
      <c r="E147" s="387"/>
      <c r="F147" s="387"/>
      <c r="G147" s="387"/>
      <c r="H147" s="387"/>
      <c r="I147" s="387"/>
      <c r="J147"/>
      <c r="K147"/>
      <c r="L147"/>
      <c r="M147"/>
      <c r="N147"/>
      <c r="O147"/>
      <c r="P147"/>
    </row>
    <row r="148" spans="1:16" ht="26.1" customHeight="1" thickBot="1">
      <c r="A148" s="150"/>
      <c r="B148" s="96" t="s">
        <v>244</v>
      </c>
      <c r="C148"/>
      <c r="D148"/>
      <c r="E148"/>
      <c r="F148"/>
      <c r="G148"/>
      <c r="H148"/>
      <c r="I148"/>
      <c r="J148"/>
      <c r="O148"/>
      <c r="P148"/>
    </row>
    <row r="149" spans="1:16" ht="26.1" customHeight="1" thickBot="1">
      <c r="A149"/>
      <c r="B149"/>
      <c r="C149"/>
      <c r="D149"/>
      <c r="E149" s="176" t="s">
        <v>71</v>
      </c>
      <c r="F149" s="98" t="str">
        <f>CONCATENATE(" Volume for ",$E$12," samples")</f>
        <v xml:space="preserve"> Volume for  samples</v>
      </c>
      <c r="I149"/>
      <c r="J149"/>
      <c r="K149"/>
      <c r="L149"/>
      <c r="M149"/>
      <c r="N149"/>
      <c r="O149"/>
      <c r="P149"/>
    </row>
    <row r="150" spans="1:16" ht="21.6" customHeight="1" thickBot="1">
      <c r="A150" s="150"/>
      <c r="B150" s="96" t="s">
        <v>245</v>
      </c>
      <c r="C150" s="186"/>
      <c r="D150" s="133" t="s">
        <v>340</v>
      </c>
      <c r="E150" s="155">
        <v>40</v>
      </c>
      <c r="F150" s="156">
        <f>E150*$E$12*1.1</f>
        <v>0</v>
      </c>
      <c r="G150" s="143" t="s">
        <v>73</v>
      </c>
      <c r="I150"/>
      <c r="J150"/>
      <c r="K150"/>
      <c r="L150"/>
      <c r="M150"/>
      <c r="N150"/>
      <c r="O150"/>
      <c r="P150"/>
    </row>
    <row r="151" spans="1:16" ht="21.6" customHeight="1">
      <c r="A151" s="149"/>
      <c r="B151" s="151"/>
      <c r="C151" s="186"/>
      <c r="D151" s="133" t="s">
        <v>246</v>
      </c>
      <c r="E151" s="159">
        <v>10</v>
      </c>
      <c r="F151" s="156">
        <f>E151*$E$12*1.1</f>
        <v>0</v>
      </c>
      <c r="G151" s="143" t="s">
        <v>73</v>
      </c>
      <c r="I151"/>
      <c r="J151"/>
      <c r="K151"/>
      <c r="L151"/>
      <c r="M151"/>
      <c r="N151"/>
      <c r="O151"/>
      <c r="P151"/>
    </row>
    <row r="152" spans="1:16" ht="21.6" customHeight="1" thickBot="1">
      <c r="A152"/>
      <c r="B152"/>
      <c r="C152"/>
      <c r="D152"/>
      <c r="E152" s="172">
        <f>SUM(E150:E151)</f>
        <v>50</v>
      </c>
      <c r="F152" s="172">
        <f>SUM(F150:F151)</f>
        <v>0</v>
      </c>
      <c r="G152" s="167" t="s">
        <v>73</v>
      </c>
      <c r="H152" s="179" t="s">
        <v>75</v>
      </c>
      <c r="O152"/>
      <c r="P152"/>
    </row>
    <row r="153" spans="1:16" ht="21.6" customHeight="1" thickBot="1">
      <c r="A153" s="150"/>
      <c r="B153" s="96" t="s">
        <v>83</v>
      </c>
      <c r="C153"/>
      <c r="D153" s="94" t="s">
        <v>247</v>
      </c>
      <c r="G153" s="146"/>
      <c r="H153" s="179"/>
      <c r="O153"/>
      <c r="P153"/>
    </row>
    <row r="154" spans="1:16" ht="21.6" customHeight="1" thickBot="1">
      <c r="A154"/>
      <c r="B154"/>
      <c r="C154"/>
      <c r="D154" s="94" t="s">
        <v>238</v>
      </c>
      <c r="G154" s="146"/>
      <c r="H154" s="179"/>
      <c r="O154"/>
      <c r="P154"/>
    </row>
    <row r="155" spans="1:16" ht="24.95" customHeight="1" thickBot="1">
      <c r="A155" s="150"/>
      <c r="B155" s="96" t="s">
        <v>248</v>
      </c>
      <c r="C155"/>
      <c r="D155"/>
      <c r="E155"/>
      <c r="F155"/>
      <c r="G155"/>
      <c r="H155"/>
      <c r="I155"/>
      <c r="J155"/>
    </row>
    <row r="156" spans="1:16" ht="17.45" customHeight="1" thickBot="1">
      <c r="A156" s="150"/>
      <c r="B156" s="96" t="s">
        <v>249</v>
      </c>
      <c r="C156"/>
      <c r="D156"/>
      <c r="E156"/>
      <c r="F156"/>
      <c r="G156"/>
      <c r="H156"/>
      <c r="I156"/>
      <c r="J156"/>
      <c r="O156"/>
      <c r="P156"/>
    </row>
    <row r="157" spans="1:16" ht="24.95" customHeight="1" thickBot="1">
      <c r="A157" s="150"/>
      <c r="B157" s="96" t="str">
        <f>CONCATENATE("Add 20 µL of indexes of the plate ", L2)</f>
        <v xml:space="preserve">Add 20 µL of indexes of the plate </v>
      </c>
      <c r="C157"/>
      <c r="D157"/>
      <c r="E157"/>
      <c r="F157"/>
      <c r="G157"/>
      <c r="H157"/>
      <c r="I157"/>
      <c r="J157"/>
    </row>
    <row r="158" spans="1:16" ht="33" customHeight="1" thickBot="1">
      <c r="A158" s="188"/>
      <c r="B158" s="179" t="s">
        <v>89</v>
      </c>
      <c r="G158" s="141" t="s">
        <v>90</v>
      </c>
      <c r="H158" s="185"/>
      <c r="O158"/>
      <c r="P158"/>
    </row>
    <row r="159" spans="1:16" ht="26.1" customHeight="1">
      <c r="A159" s="149"/>
      <c r="B159" s="189"/>
      <c r="C159" s="104">
        <v>1</v>
      </c>
      <c r="D159" s="104">
        <v>2</v>
      </c>
      <c r="E159" s="104">
        <v>3</v>
      </c>
      <c r="F159" s="104">
        <v>4</v>
      </c>
      <c r="G159" s="104">
        <v>5</v>
      </c>
      <c r="H159" s="104">
        <v>6</v>
      </c>
      <c r="I159" s="104">
        <v>7</v>
      </c>
      <c r="J159" s="104">
        <v>8</v>
      </c>
      <c r="K159" s="104">
        <v>9</v>
      </c>
      <c r="L159" s="104">
        <v>10</v>
      </c>
      <c r="M159" s="104">
        <v>11</v>
      </c>
      <c r="N159" s="104">
        <v>12</v>
      </c>
      <c r="O159"/>
      <c r="P159"/>
    </row>
    <row r="160" spans="1:16" ht="26.1" customHeight="1">
      <c r="A160" s="149"/>
      <c r="B160" s="105" t="s">
        <v>91</v>
      </c>
      <c r="C160" s="106" t="str">
        <f>IF(ISNUMBER(#REF!),#REF!, " ")</f>
        <v xml:space="preserve"> </v>
      </c>
      <c r="D160" s="106" t="str">
        <f>IF(ISNUMBER(#REF!),#REF!, " ")</f>
        <v xml:space="preserve"> </v>
      </c>
      <c r="E160" s="106" t="str">
        <f>IF(ISNUMBER(#REF!),#REF!, " ")</f>
        <v xml:space="preserve"> </v>
      </c>
      <c r="F160" s="106" t="str">
        <f>IF(ISNUMBER(#REF!),#REF!, " ")</f>
        <v xml:space="preserve"> </v>
      </c>
      <c r="G160" s="106" t="str">
        <f>IF(ISNUMBER(#REF!),#REF!, " ")</f>
        <v xml:space="preserve"> </v>
      </c>
      <c r="H160" s="106" t="str">
        <f>IF(ISNUMBER(#REF!),#REF!, " ")</f>
        <v xml:space="preserve"> </v>
      </c>
      <c r="I160" s="106" t="str">
        <f>IF(ISNUMBER(#REF!),#REF!, " ")</f>
        <v xml:space="preserve"> </v>
      </c>
      <c r="J160" s="106" t="str">
        <f>IF(ISNUMBER(#REF!),#REF!, " ")</f>
        <v xml:space="preserve"> </v>
      </c>
      <c r="K160" s="106" t="str">
        <f>IF(ISNUMBER(#REF!),#REF!, " ")</f>
        <v xml:space="preserve"> </v>
      </c>
      <c r="L160" s="106" t="str">
        <f>IF(ISNUMBER(#REF!),#REF!, " ")</f>
        <v xml:space="preserve"> </v>
      </c>
      <c r="M160" s="106" t="str">
        <f>IF(ISNUMBER(#REF!),#REF!, " ")</f>
        <v xml:space="preserve"> </v>
      </c>
      <c r="N160" s="106" t="str">
        <f>IF(ISNUMBER(#REF!),#REF!, " ")</f>
        <v xml:space="preserve"> </v>
      </c>
      <c r="O160"/>
      <c r="P160"/>
    </row>
    <row r="161" spans="1:14" ht="26.25" customHeight="1">
      <c r="B161" s="105" t="s">
        <v>92</v>
      </c>
      <c r="C161" s="106" t="str">
        <f>IF(ISNUMBER(#REF!),#REF!, " ")</f>
        <v xml:space="preserve"> </v>
      </c>
      <c r="D161" s="106" t="str">
        <f>IF(ISNUMBER(#REF!),#REF!, " ")</f>
        <v xml:space="preserve"> </v>
      </c>
      <c r="E161" s="106" t="str">
        <f>IF(ISNUMBER(#REF!),#REF!, " ")</f>
        <v xml:space="preserve"> </v>
      </c>
      <c r="F161" s="106" t="str">
        <f>IF(ISNUMBER(#REF!),#REF!, " ")</f>
        <v xml:space="preserve"> </v>
      </c>
      <c r="G161" s="106" t="str">
        <f>IF(ISNUMBER(#REF!),#REF!, " ")</f>
        <v xml:space="preserve"> </v>
      </c>
      <c r="H161" s="106" t="str">
        <f>IF(ISNUMBER(#REF!),#REF!, " ")</f>
        <v xml:space="preserve"> </v>
      </c>
      <c r="I161" s="106" t="str">
        <f>IF(ISNUMBER(#REF!),#REF!, " ")</f>
        <v xml:space="preserve"> </v>
      </c>
      <c r="J161" s="106" t="str">
        <f>IF(ISNUMBER(#REF!),#REF!, " ")</f>
        <v xml:space="preserve"> </v>
      </c>
      <c r="K161" s="106" t="str">
        <f>IF(ISNUMBER(#REF!),#REF!, " ")</f>
        <v xml:space="preserve"> </v>
      </c>
      <c r="L161" s="106" t="str">
        <f>IF(ISNUMBER(#REF!),#REF!, " ")</f>
        <v xml:space="preserve"> </v>
      </c>
      <c r="M161" s="106" t="str">
        <f>IF(ISNUMBER(#REF!),#REF!, " ")</f>
        <v xml:space="preserve"> </v>
      </c>
      <c r="N161" s="106" t="str">
        <f>IF(ISNUMBER(#REF!),#REF!, " ")</f>
        <v xml:space="preserve"> </v>
      </c>
    </row>
    <row r="162" spans="1:14" ht="20.45" customHeight="1">
      <c r="B162" s="105" t="s">
        <v>93</v>
      </c>
      <c r="C162" s="106" t="str">
        <f>IF(ISNUMBER(#REF!),#REF!, " ")</f>
        <v xml:space="preserve"> </v>
      </c>
      <c r="D162" s="106" t="str">
        <f>IF(ISNUMBER(#REF!),#REF!, " ")</f>
        <v xml:space="preserve"> </v>
      </c>
      <c r="E162" s="106" t="str">
        <f>IF(ISNUMBER(#REF!),#REF!, " ")</f>
        <v xml:space="preserve"> </v>
      </c>
      <c r="F162" s="106" t="str">
        <f>IF(ISNUMBER(#REF!),#REF!, " ")</f>
        <v xml:space="preserve"> </v>
      </c>
      <c r="G162" s="106" t="str">
        <f>IF(ISNUMBER(#REF!),#REF!, " ")</f>
        <v xml:space="preserve"> </v>
      </c>
      <c r="H162" s="106" t="str">
        <f>IF(ISNUMBER(#REF!),#REF!, " ")</f>
        <v xml:space="preserve"> </v>
      </c>
      <c r="I162" s="106" t="str">
        <f>IF(ISNUMBER(#REF!),#REF!, " ")</f>
        <v xml:space="preserve"> </v>
      </c>
      <c r="J162" s="106" t="str">
        <f>IF(ISNUMBER(#REF!),#REF!, " ")</f>
        <v xml:space="preserve"> </v>
      </c>
      <c r="K162" s="106" t="str">
        <f>IF(ISNUMBER(#REF!),#REF!, " ")</f>
        <v xml:space="preserve"> </v>
      </c>
      <c r="L162" s="106" t="str">
        <f>IF(ISNUMBER(#REF!),#REF!, " ")</f>
        <v xml:space="preserve"> </v>
      </c>
      <c r="M162" s="106" t="str">
        <f>IF(ISNUMBER(#REF!),#REF!, " ")</f>
        <v xml:space="preserve"> </v>
      </c>
      <c r="N162" s="106" t="str">
        <f>IF(ISNUMBER(#REF!),#REF!, " ")</f>
        <v xml:space="preserve"> </v>
      </c>
    </row>
    <row r="163" spans="1:14" ht="20.45" customHeight="1">
      <c r="B163" s="105" t="s">
        <v>94</v>
      </c>
      <c r="C163" s="106" t="str">
        <f>IF(ISNUMBER(#REF!),#REF!, " ")</f>
        <v xml:space="preserve"> </v>
      </c>
      <c r="D163" s="106" t="str">
        <f>IF(ISNUMBER(#REF!),#REF!, " ")</f>
        <v xml:space="preserve"> </v>
      </c>
      <c r="E163" s="106" t="str">
        <f>IF(ISNUMBER(#REF!),#REF!, " ")</f>
        <v xml:space="preserve"> </v>
      </c>
      <c r="F163" s="106" t="str">
        <f>IF(ISNUMBER(#REF!),#REF!, " ")</f>
        <v xml:space="preserve"> </v>
      </c>
      <c r="G163" s="106" t="str">
        <f>IF(ISNUMBER(#REF!),#REF!, " ")</f>
        <v xml:space="preserve"> </v>
      </c>
      <c r="H163" s="106" t="str">
        <f>IF(ISNUMBER(#REF!),#REF!, " ")</f>
        <v xml:space="preserve"> </v>
      </c>
      <c r="I163" s="106" t="str">
        <f>IF(ISNUMBER(#REF!),#REF!, " ")</f>
        <v xml:space="preserve"> </v>
      </c>
      <c r="J163" s="106" t="str">
        <f>IF(ISNUMBER(#REF!),#REF!, " ")</f>
        <v xml:space="preserve"> </v>
      </c>
      <c r="K163" s="106" t="str">
        <f>IF(ISNUMBER(#REF!),#REF!, " ")</f>
        <v xml:space="preserve"> </v>
      </c>
      <c r="L163" s="106" t="str">
        <f>IF(ISNUMBER(#REF!),#REF!, " ")</f>
        <v xml:space="preserve"> </v>
      </c>
      <c r="M163" s="106" t="str">
        <f>IF(ISNUMBER(#REF!),#REF!, " ")</f>
        <v xml:space="preserve"> </v>
      </c>
      <c r="N163" s="106" t="str">
        <f>IF(ISNUMBER(#REF!),#REF!, " ")</f>
        <v xml:space="preserve"> </v>
      </c>
    </row>
    <row r="164" spans="1:14" ht="24.95" customHeight="1">
      <c r="B164" s="105" t="s">
        <v>95</v>
      </c>
      <c r="C164" s="106" t="str">
        <f>IF(ISNUMBER(#REF!),#REF!, " ")</f>
        <v xml:space="preserve"> </v>
      </c>
      <c r="D164" s="106" t="str">
        <f>IF(ISNUMBER(#REF!),#REF!, " ")</f>
        <v xml:space="preserve"> </v>
      </c>
      <c r="E164" s="106" t="str">
        <f>IF(ISNUMBER(#REF!),#REF!, " ")</f>
        <v xml:space="preserve"> </v>
      </c>
      <c r="F164" s="106" t="str">
        <f>IF(ISNUMBER(#REF!),#REF!, " ")</f>
        <v xml:space="preserve"> </v>
      </c>
      <c r="G164" s="106" t="str">
        <f>IF(ISNUMBER(#REF!),#REF!, " ")</f>
        <v xml:space="preserve"> </v>
      </c>
      <c r="H164" s="106" t="str">
        <f>IF(ISNUMBER(#REF!),#REF!, " ")</f>
        <v xml:space="preserve"> </v>
      </c>
      <c r="I164" s="106" t="str">
        <f>IF(ISNUMBER(#REF!),#REF!, " ")</f>
        <v xml:space="preserve"> </v>
      </c>
      <c r="J164" s="106" t="str">
        <f>IF(ISNUMBER(#REF!),#REF!, " ")</f>
        <v xml:space="preserve"> </v>
      </c>
      <c r="K164" s="106" t="str">
        <f>IF(ISNUMBER(#REF!),#REF!, " ")</f>
        <v xml:space="preserve"> </v>
      </c>
      <c r="L164" s="106" t="str">
        <f>IF(ISNUMBER(#REF!),#REF!, " ")</f>
        <v xml:space="preserve"> </v>
      </c>
      <c r="M164" s="106" t="str">
        <f>IF(ISNUMBER(#REF!),#REF!, " ")</f>
        <v xml:space="preserve"> </v>
      </c>
      <c r="N164" s="106" t="str">
        <f>IF(ISNUMBER(#REF!),#REF!, " ")</f>
        <v xml:space="preserve"> </v>
      </c>
    </row>
    <row r="165" spans="1:14" ht="24.95" customHeight="1">
      <c r="B165" s="105" t="s">
        <v>96</v>
      </c>
      <c r="C165" s="106" t="str">
        <f>IF(ISNUMBER(#REF!),#REF!, " ")</f>
        <v xml:space="preserve"> </v>
      </c>
      <c r="D165" s="106" t="str">
        <f>IF(ISNUMBER(#REF!),#REF!, " ")</f>
        <v xml:space="preserve"> </v>
      </c>
      <c r="E165" s="106" t="str">
        <f>IF(ISNUMBER(#REF!),#REF!, " ")</f>
        <v xml:space="preserve"> </v>
      </c>
      <c r="F165" s="106" t="str">
        <f>IF(ISNUMBER(#REF!),#REF!, " ")</f>
        <v xml:space="preserve"> </v>
      </c>
      <c r="G165" s="106" t="str">
        <f>IF(ISNUMBER(#REF!),#REF!, " ")</f>
        <v xml:space="preserve"> </v>
      </c>
      <c r="H165" s="106" t="str">
        <f>IF(ISNUMBER(#REF!),#REF!, " ")</f>
        <v xml:space="preserve"> </v>
      </c>
      <c r="I165" s="106" t="str">
        <f>IF(ISNUMBER(#REF!),#REF!, " ")</f>
        <v xml:space="preserve"> </v>
      </c>
      <c r="J165" s="106" t="str">
        <f>IF(ISNUMBER(#REF!),#REF!, " ")</f>
        <v xml:space="preserve"> </v>
      </c>
      <c r="K165" s="106" t="str">
        <f>IF(ISNUMBER(#REF!),#REF!, " ")</f>
        <v xml:space="preserve"> </v>
      </c>
      <c r="L165" s="106" t="str">
        <f>IF(ISNUMBER(#REF!),#REF!, " ")</f>
        <v xml:space="preserve"> </v>
      </c>
      <c r="M165" s="106" t="str">
        <f>IF(ISNUMBER(#REF!),#REF!, " ")</f>
        <v xml:space="preserve"> </v>
      </c>
      <c r="N165" s="106" t="str">
        <f>IF(ISNUMBER(#REF!),#REF!, " ")</f>
        <v xml:space="preserve"> </v>
      </c>
    </row>
    <row r="166" spans="1:14" ht="24.95" customHeight="1">
      <c r="B166" s="105" t="s">
        <v>97</v>
      </c>
      <c r="C166" s="106" t="str">
        <f>IF(ISNUMBER(#REF!),#REF!, " ")</f>
        <v xml:space="preserve"> </v>
      </c>
      <c r="D166" s="106" t="str">
        <f>IF(ISNUMBER(#REF!),#REF!, " ")</f>
        <v xml:space="preserve"> </v>
      </c>
      <c r="E166" s="106" t="str">
        <f>IF(ISNUMBER(#REF!),#REF!, " ")</f>
        <v xml:space="preserve"> </v>
      </c>
      <c r="F166" s="106" t="str">
        <f>IF(ISNUMBER(#REF!),#REF!, " ")</f>
        <v xml:space="preserve"> </v>
      </c>
      <c r="G166" s="106" t="str">
        <f>IF(ISNUMBER(#REF!),#REF!, " ")</f>
        <v xml:space="preserve"> </v>
      </c>
      <c r="H166" s="106" t="str">
        <f>IF(ISNUMBER(#REF!),#REF!, " ")</f>
        <v xml:space="preserve"> </v>
      </c>
      <c r="I166" s="106" t="str">
        <f>IF(ISNUMBER(#REF!),#REF!, " ")</f>
        <v xml:space="preserve"> </v>
      </c>
      <c r="J166" s="106" t="str">
        <f>IF(ISNUMBER(#REF!),#REF!, " ")</f>
        <v xml:space="preserve"> </v>
      </c>
      <c r="K166" s="106" t="str">
        <f>IF(ISNUMBER(#REF!),#REF!, " ")</f>
        <v xml:space="preserve"> </v>
      </c>
      <c r="L166" s="106" t="str">
        <f>IF(ISNUMBER(#REF!),#REF!, " ")</f>
        <v xml:space="preserve"> </v>
      </c>
      <c r="M166" s="106" t="str">
        <f>IF(ISNUMBER(#REF!),#REF!, " ")</f>
        <v xml:space="preserve"> </v>
      </c>
      <c r="N166" s="106" t="str">
        <f>IF(ISNUMBER(#REF!),#REF!, " ")</f>
        <v xml:space="preserve"> </v>
      </c>
    </row>
    <row r="167" spans="1:14" ht="24.95" customHeight="1" thickBot="1">
      <c r="B167" s="105" t="s">
        <v>98</v>
      </c>
      <c r="C167" s="106" t="str">
        <f>IF(ISNUMBER(#REF!),#REF!, " ")</f>
        <v xml:space="preserve"> </v>
      </c>
      <c r="D167" s="106" t="str">
        <f>IF(ISNUMBER(#REF!),#REF!, " ")</f>
        <v xml:space="preserve"> </v>
      </c>
      <c r="E167" s="106" t="str">
        <f>IF(ISNUMBER(#REF!),#REF!, " ")</f>
        <v xml:space="preserve"> </v>
      </c>
      <c r="F167" s="106" t="str">
        <f>IF(ISNUMBER(#REF!),#REF!, " ")</f>
        <v xml:space="preserve"> </v>
      </c>
      <c r="G167" s="106" t="str">
        <f>IF(ISNUMBER(#REF!),#REF!, " ")</f>
        <v xml:space="preserve"> </v>
      </c>
      <c r="H167" s="106" t="str">
        <f>IF(ISNUMBER(#REF!),#REF!, " ")</f>
        <v xml:space="preserve"> </v>
      </c>
      <c r="I167" s="106" t="str">
        <f>IF(ISNUMBER(#REF!),#REF!, " ")</f>
        <v xml:space="preserve"> </v>
      </c>
      <c r="J167" s="106" t="str">
        <f>IF(ISNUMBER(#REF!),#REF!, " ")</f>
        <v xml:space="preserve"> </v>
      </c>
      <c r="K167" s="106" t="str">
        <f>IF(ISNUMBER(#REF!),#REF!, " ")</f>
        <v xml:space="preserve"> </v>
      </c>
      <c r="L167" s="106" t="str">
        <f>IF(ISNUMBER(#REF!),#REF!, " ")</f>
        <v xml:space="preserve"> </v>
      </c>
      <c r="M167" s="106" t="str">
        <f>IF(ISNUMBER(#REF!),#REF!, " ")</f>
        <v xml:space="preserve"> </v>
      </c>
      <c r="N167" s="106" t="str">
        <f>IF(ISNUMBER(#REF!),#REF!, " ")</f>
        <v xml:space="preserve"> </v>
      </c>
    </row>
    <row r="168" spans="1:14" ht="24.95" customHeight="1" thickBot="1">
      <c r="A168" s="150"/>
      <c r="B168" s="96" t="s">
        <v>83</v>
      </c>
      <c r="C168"/>
      <c r="D168" s="94" t="s">
        <v>99</v>
      </c>
      <c r="E168"/>
      <c r="F168"/>
      <c r="G168" s="142" t="s">
        <v>88</v>
      </c>
      <c r="H168" s="185"/>
      <c r="I168"/>
      <c r="J168"/>
    </row>
    <row r="169" spans="1:14" ht="17.45" customHeight="1">
      <c r="A169"/>
      <c r="B169"/>
      <c r="C169"/>
      <c r="D169" s="107" t="s">
        <v>100</v>
      </c>
      <c r="E169" s="348" t="str">
        <f>IF($H$168&gt;0,CONCATENATE($H$168," cycles"),"___cycles")</f>
        <v>___cycles</v>
      </c>
      <c r="F169"/>
      <c r="G169"/>
      <c r="H169"/>
      <c r="I169"/>
      <c r="J169"/>
    </row>
    <row r="170" spans="1:14" ht="17.45" customHeight="1">
      <c r="A170"/>
      <c r="B170"/>
      <c r="C170"/>
      <c r="D170" s="107" t="s">
        <v>101</v>
      </c>
      <c r="E170" s="349"/>
      <c r="F170"/>
      <c r="G170"/>
      <c r="H170"/>
      <c r="I170"/>
      <c r="J170"/>
    </row>
    <row r="171" spans="1:14" ht="17.45" customHeight="1">
      <c r="A171"/>
      <c r="B171"/>
      <c r="C171"/>
      <c r="D171" s="107" t="s">
        <v>102</v>
      </c>
      <c r="E171" s="350"/>
      <c r="F171"/>
      <c r="G171"/>
      <c r="H171"/>
      <c r="I171"/>
      <c r="J171"/>
    </row>
    <row r="172" spans="1:14" ht="17.45" customHeight="1" thickBot="1">
      <c r="A172"/>
      <c r="B172"/>
      <c r="C172"/>
      <c r="D172" s="94" t="s">
        <v>103</v>
      </c>
      <c r="E172"/>
      <c r="F172"/>
      <c r="G172"/>
      <c r="H172"/>
      <c r="I172"/>
      <c r="J172"/>
    </row>
    <row r="173" spans="1:14" ht="17.45" customHeight="1" thickBot="1">
      <c r="A173" s="150"/>
      <c r="B173" s="386" t="s">
        <v>250</v>
      </c>
      <c r="C173" s="387"/>
      <c r="D173" s="387"/>
      <c r="E173" s="387"/>
      <c r="F173" s="387"/>
      <c r="G173" s="387"/>
      <c r="H173" s="387"/>
      <c r="I173" s="387"/>
      <c r="J173"/>
      <c r="K173" s="103" t="s">
        <v>243</v>
      </c>
    </row>
    <row r="174" spans="1:14" ht="17.45" customHeight="1" thickBot="1">
      <c r="A174"/>
      <c r="B174" s="387"/>
      <c r="C174" s="387"/>
      <c r="D174" s="387"/>
      <c r="E174" s="387"/>
      <c r="F174" s="387"/>
      <c r="G174" s="387"/>
      <c r="H174" s="387"/>
      <c r="I174" s="387"/>
      <c r="J174"/>
      <c r="K174" s="103"/>
    </row>
    <row r="175" spans="1:14" ht="23.25" customHeight="1" thickBot="1">
      <c r="A175" s="150"/>
      <c r="B175" s="96" t="s">
        <v>251</v>
      </c>
      <c r="C175"/>
      <c r="D175"/>
      <c r="E175"/>
      <c r="F175"/>
      <c r="G175"/>
      <c r="H175"/>
      <c r="I175"/>
      <c r="J175"/>
    </row>
    <row r="176" spans="1:14" ht="17.45" customHeight="1" thickBot="1">
      <c r="A176"/>
      <c r="B176" s="443" t="s">
        <v>382</v>
      </c>
      <c r="C176" s="444"/>
      <c r="D176" s="444"/>
      <c r="E176" s="444"/>
      <c r="F176" s="444"/>
      <c r="G176" s="444"/>
      <c r="H176" s="444"/>
      <c r="I176" s="444"/>
      <c r="J176" s="444"/>
      <c r="K176" s="444"/>
      <c r="L176" s="444"/>
      <c r="M176" s="444"/>
      <c r="N176" s="445"/>
    </row>
    <row r="177" spans="1:14" ht="24.95" customHeight="1" thickBot="1">
      <c r="A177" s="150"/>
      <c r="B177" s="96" t="s">
        <v>275</v>
      </c>
      <c r="C177"/>
      <c r="D177"/>
      <c r="E177"/>
      <c r="F177"/>
      <c r="G177"/>
      <c r="H177"/>
      <c r="I177"/>
      <c r="J177"/>
    </row>
    <row r="178" spans="1:14" ht="24.95" customHeight="1">
      <c r="A178" s="149"/>
      <c r="B178" s="96"/>
      <c r="C178"/>
      <c r="D178"/>
      <c r="E178" s="207" t="s">
        <v>71</v>
      </c>
      <c r="F178" s="98" t="str">
        <f>CONCATENATE(" Volume for ",$E$12," samples")</f>
        <v xml:space="preserve"> Volume for  samples</v>
      </c>
      <c r="G178"/>
      <c r="H178"/>
      <c r="I178"/>
      <c r="J178"/>
    </row>
    <row r="179" spans="1:14" ht="24.95" customHeight="1">
      <c r="A179"/>
      <c r="B179"/>
      <c r="C179"/>
      <c r="D179" s="108" t="s">
        <v>364</v>
      </c>
      <c r="E179" s="108">
        <v>50</v>
      </c>
      <c r="F179" s="108">
        <f>E179*1.1*$E$12</f>
        <v>0</v>
      </c>
      <c r="G179" s="108" t="s">
        <v>73</v>
      </c>
      <c r="H179"/>
      <c r="I179"/>
      <c r="K179" s="208"/>
      <c r="L179" s="209"/>
    </row>
    <row r="180" spans="1:14" ht="24.95" customHeight="1">
      <c r="A180"/>
      <c r="B180"/>
      <c r="C180"/>
      <c r="D180" s="203" t="s">
        <v>81</v>
      </c>
      <c r="E180" s="108">
        <v>25</v>
      </c>
      <c r="F180" s="108">
        <f>E180*1.1*$E$12</f>
        <v>0</v>
      </c>
      <c r="G180" s="203" t="s">
        <v>73</v>
      </c>
      <c r="H180"/>
      <c r="I180"/>
      <c r="K180" s="208"/>
      <c r="L180" s="209"/>
      <c r="M180" s="97"/>
      <c r="N180" s="210"/>
    </row>
    <row r="181" spans="1:14" ht="24.95" customHeight="1" thickBot="1">
      <c r="A181"/>
      <c r="B181"/>
      <c r="C181"/>
      <c r="D181" s="102" t="s">
        <v>104</v>
      </c>
      <c r="E181" s="102">
        <f>+SUM(E179:E180)</f>
        <v>75</v>
      </c>
      <c r="F181" s="102">
        <f>SUM(F179:F180)</f>
        <v>0</v>
      </c>
      <c r="G181" s="102" t="s">
        <v>73</v>
      </c>
      <c r="H181"/>
      <c r="I181"/>
      <c r="J181"/>
    </row>
    <row r="182" spans="1:14" ht="24.95" customHeight="1" thickBot="1">
      <c r="A182" s="150"/>
      <c r="B182" s="96" t="s">
        <v>383</v>
      </c>
      <c r="C182"/>
      <c r="D182"/>
      <c r="E182"/>
      <c r="F182" s="99"/>
      <c r="G182" s="99"/>
      <c r="H182"/>
      <c r="I182"/>
      <c r="J182"/>
    </row>
    <row r="183" spans="1:14" ht="23.25" customHeight="1" thickBot="1">
      <c r="A183" s="188"/>
      <c r="B183" s="179" t="s">
        <v>89</v>
      </c>
      <c r="G183" s="141" t="s">
        <v>90</v>
      </c>
      <c r="H183" s="185"/>
    </row>
    <row r="184" spans="1:14" ht="24.95" customHeight="1">
      <c r="A184" s="149"/>
      <c r="B184" s="189"/>
      <c r="C184" s="104">
        <v>1</v>
      </c>
      <c r="D184" s="104">
        <v>2</v>
      </c>
      <c r="E184" s="104">
        <v>3</v>
      </c>
      <c r="F184" s="104">
        <v>4</v>
      </c>
      <c r="G184" s="104">
        <v>5</v>
      </c>
      <c r="H184" s="104">
        <v>6</v>
      </c>
      <c r="I184" s="104">
        <v>7</v>
      </c>
      <c r="J184" s="104">
        <v>8</v>
      </c>
      <c r="K184" s="104">
        <v>9</v>
      </c>
      <c r="L184" s="104">
        <v>10</v>
      </c>
      <c r="M184" s="104">
        <v>11</v>
      </c>
      <c r="N184" s="104">
        <v>12</v>
      </c>
    </row>
    <row r="185" spans="1:14" ht="24.95" customHeight="1">
      <c r="A185" s="149"/>
      <c r="B185" s="105" t="s">
        <v>91</v>
      </c>
      <c r="C185" s="106" t="str">
        <f>IF(ISNUMBER(#REF!),#REF!, " ")</f>
        <v xml:space="preserve"> </v>
      </c>
      <c r="D185" s="106" t="str">
        <f>IF(ISNUMBER(#REF!),#REF!, " ")</f>
        <v xml:space="preserve"> </v>
      </c>
      <c r="E185" s="106" t="str">
        <f>IF(ISNUMBER(#REF!),#REF!, " ")</f>
        <v xml:space="preserve"> </v>
      </c>
      <c r="F185" s="106" t="str">
        <f>IF(ISNUMBER(#REF!),#REF!, " ")</f>
        <v xml:space="preserve"> </v>
      </c>
      <c r="G185" s="106" t="str">
        <f>IF(ISNUMBER(#REF!),#REF!, " ")</f>
        <v xml:space="preserve"> </v>
      </c>
      <c r="H185" s="106" t="str">
        <f>IF(ISNUMBER(#REF!),#REF!, " ")</f>
        <v xml:space="preserve"> </v>
      </c>
      <c r="I185" s="106" t="str">
        <f>IF(ISNUMBER(#REF!),#REF!, " ")</f>
        <v xml:space="preserve"> </v>
      </c>
      <c r="J185" s="106" t="str">
        <f>IF(ISNUMBER(#REF!),#REF!, " ")</f>
        <v xml:space="preserve"> </v>
      </c>
      <c r="K185" s="106" t="str">
        <f>IF(ISNUMBER(#REF!),#REF!, " ")</f>
        <v xml:space="preserve"> </v>
      </c>
      <c r="L185" s="106" t="str">
        <f>IF(ISNUMBER(#REF!),#REF!, " ")</f>
        <v xml:space="preserve"> </v>
      </c>
      <c r="M185" s="106" t="str">
        <f>IF(ISNUMBER(#REF!),#REF!, " ")</f>
        <v xml:space="preserve"> </v>
      </c>
      <c r="N185" s="106" t="str">
        <f>IF(ISNUMBER(#REF!),#REF!, " ")</f>
        <v xml:space="preserve"> </v>
      </c>
    </row>
    <row r="186" spans="1:14" ht="24.95" customHeight="1">
      <c r="B186" s="105" t="s">
        <v>92</v>
      </c>
      <c r="C186" s="106" t="str">
        <f>IF(ISNUMBER(#REF!),#REF!, " ")</f>
        <v xml:space="preserve"> </v>
      </c>
      <c r="D186" s="106" t="str">
        <f>IF(ISNUMBER(#REF!),#REF!, " ")</f>
        <v xml:space="preserve"> </v>
      </c>
      <c r="E186" s="106" t="str">
        <f>IF(ISNUMBER(#REF!),#REF!, " ")</f>
        <v xml:space="preserve"> </v>
      </c>
      <c r="F186" s="106" t="str">
        <f>IF(ISNUMBER(#REF!),#REF!, " ")</f>
        <v xml:space="preserve"> </v>
      </c>
      <c r="G186" s="106" t="str">
        <f>IF(ISNUMBER(#REF!),#REF!, " ")</f>
        <v xml:space="preserve"> </v>
      </c>
      <c r="H186" s="106" t="str">
        <f>IF(ISNUMBER(#REF!),#REF!, " ")</f>
        <v xml:space="preserve"> </v>
      </c>
      <c r="I186" s="106" t="str">
        <f>IF(ISNUMBER(#REF!),#REF!, " ")</f>
        <v xml:space="preserve"> </v>
      </c>
      <c r="J186" s="106" t="str">
        <f>IF(ISNUMBER(#REF!),#REF!, " ")</f>
        <v xml:space="preserve"> </v>
      </c>
      <c r="K186" s="106" t="str">
        <f>IF(ISNUMBER(#REF!),#REF!, " ")</f>
        <v xml:space="preserve"> </v>
      </c>
      <c r="L186" s="106" t="str">
        <f>IF(ISNUMBER(#REF!),#REF!, " ")</f>
        <v xml:space="preserve"> </v>
      </c>
      <c r="M186" s="106" t="str">
        <f>IF(ISNUMBER(#REF!),#REF!, " ")</f>
        <v xml:space="preserve"> </v>
      </c>
      <c r="N186" s="106" t="str">
        <f>IF(ISNUMBER(#REF!),#REF!, " ")</f>
        <v xml:space="preserve"> </v>
      </c>
    </row>
    <row r="187" spans="1:14" ht="29.45" customHeight="1">
      <c r="B187" s="105" t="s">
        <v>93</v>
      </c>
      <c r="C187" s="106" t="str">
        <f>IF(ISNUMBER(#REF!),#REF!, " ")</f>
        <v xml:space="preserve"> </v>
      </c>
      <c r="D187" s="106" t="str">
        <f>IF(ISNUMBER(#REF!),#REF!, " ")</f>
        <v xml:space="preserve"> </v>
      </c>
      <c r="E187" s="106" t="str">
        <f>IF(ISNUMBER(#REF!),#REF!, " ")</f>
        <v xml:space="preserve"> </v>
      </c>
      <c r="F187" s="106" t="str">
        <f>IF(ISNUMBER(#REF!),#REF!, " ")</f>
        <v xml:space="preserve"> </v>
      </c>
      <c r="G187" s="106" t="str">
        <f>IF(ISNUMBER(#REF!),#REF!, " ")</f>
        <v xml:space="preserve"> </v>
      </c>
      <c r="H187" s="106" t="str">
        <f>IF(ISNUMBER(#REF!),#REF!, " ")</f>
        <v xml:space="preserve"> </v>
      </c>
      <c r="I187" s="106" t="str">
        <f>IF(ISNUMBER(#REF!),#REF!, " ")</f>
        <v xml:space="preserve"> </v>
      </c>
      <c r="J187" s="106" t="str">
        <f>IF(ISNUMBER(#REF!),#REF!, " ")</f>
        <v xml:space="preserve"> </v>
      </c>
      <c r="K187" s="106" t="str">
        <f>IF(ISNUMBER(#REF!),#REF!, " ")</f>
        <v xml:space="preserve"> </v>
      </c>
      <c r="L187" s="106" t="str">
        <f>IF(ISNUMBER(#REF!),#REF!, " ")</f>
        <v xml:space="preserve"> </v>
      </c>
      <c r="M187" s="106" t="str">
        <f>IF(ISNUMBER(#REF!),#REF!, " ")</f>
        <v xml:space="preserve"> </v>
      </c>
      <c r="N187" s="106" t="str">
        <f>IF(ISNUMBER(#REF!),#REF!, " ")</f>
        <v xml:space="preserve"> </v>
      </c>
    </row>
    <row r="188" spans="1:14" ht="24.95" customHeight="1">
      <c r="B188" s="105" t="s">
        <v>94</v>
      </c>
      <c r="C188" s="106" t="str">
        <f>IF(ISNUMBER(#REF!),#REF!, " ")</f>
        <v xml:space="preserve"> </v>
      </c>
      <c r="D188" s="106" t="str">
        <f>IF(ISNUMBER(#REF!),#REF!, " ")</f>
        <v xml:space="preserve"> </v>
      </c>
      <c r="E188" s="106" t="str">
        <f>IF(ISNUMBER(#REF!),#REF!, " ")</f>
        <v xml:space="preserve"> </v>
      </c>
      <c r="F188" s="106" t="str">
        <f>IF(ISNUMBER(#REF!),#REF!, " ")</f>
        <v xml:space="preserve"> </v>
      </c>
      <c r="G188" s="106" t="str">
        <f>IF(ISNUMBER(#REF!),#REF!, " ")</f>
        <v xml:space="preserve"> </v>
      </c>
      <c r="H188" s="106" t="str">
        <f>IF(ISNUMBER(#REF!),#REF!, " ")</f>
        <v xml:space="preserve"> </v>
      </c>
      <c r="I188" s="106" t="str">
        <f>IF(ISNUMBER(#REF!),#REF!, " ")</f>
        <v xml:space="preserve"> </v>
      </c>
      <c r="J188" s="106" t="str">
        <f>IF(ISNUMBER(#REF!),#REF!, " ")</f>
        <v xml:space="preserve"> </v>
      </c>
      <c r="K188" s="106" t="str">
        <f>IF(ISNUMBER(#REF!),#REF!, " ")</f>
        <v xml:space="preserve"> </v>
      </c>
      <c r="L188" s="106" t="str">
        <f>IF(ISNUMBER(#REF!),#REF!, " ")</f>
        <v xml:space="preserve"> </v>
      </c>
      <c r="M188" s="106" t="str">
        <f>IF(ISNUMBER(#REF!),#REF!, " ")</f>
        <v xml:space="preserve"> </v>
      </c>
      <c r="N188" s="106" t="str">
        <f>IF(ISNUMBER(#REF!),#REF!, " ")</f>
        <v xml:space="preserve"> </v>
      </c>
    </row>
    <row r="189" spans="1:14" ht="24.95" customHeight="1">
      <c r="B189" s="105" t="s">
        <v>95</v>
      </c>
      <c r="C189" s="106" t="str">
        <f>IF(ISNUMBER(#REF!),#REF!, " ")</f>
        <v xml:space="preserve"> </v>
      </c>
      <c r="D189" s="106" t="str">
        <f>IF(ISNUMBER(#REF!),#REF!, " ")</f>
        <v xml:space="preserve"> </v>
      </c>
      <c r="E189" s="106" t="str">
        <f>IF(ISNUMBER(#REF!),#REF!, " ")</f>
        <v xml:space="preserve"> </v>
      </c>
      <c r="F189" s="106" t="str">
        <f>IF(ISNUMBER(#REF!),#REF!, " ")</f>
        <v xml:space="preserve"> </v>
      </c>
      <c r="G189" s="106" t="str">
        <f>IF(ISNUMBER(#REF!),#REF!, " ")</f>
        <v xml:space="preserve"> </v>
      </c>
      <c r="H189" s="106" t="str">
        <f>IF(ISNUMBER(#REF!),#REF!, " ")</f>
        <v xml:space="preserve"> </v>
      </c>
      <c r="I189" s="106" t="str">
        <f>IF(ISNUMBER(#REF!),#REF!, " ")</f>
        <v xml:space="preserve"> </v>
      </c>
      <c r="J189" s="106" t="str">
        <f>IF(ISNUMBER(#REF!),#REF!, " ")</f>
        <v xml:space="preserve"> </v>
      </c>
      <c r="K189" s="106" t="str">
        <f>IF(ISNUMBER(#REF!),#REF!, " ")</f>
        <v xml:space="preserve"> </v>
      </c>
      <c r="L189" s="106" t="str">
        <f>IF(ISNUMBER(#REF!),#REF!, " ")</f>
        <v xml:space="preserve"> </v>
      </c>
      <c r="M189" s="106" t="str">
        <f>IF(ISNUMBER(#REF!),#REF!, " ")</f>
        <v xml:space="preserve"> </v>
      </c>
      <c r="N189" s="106" t="str">
        <f>IF(ISNUMBER(#REF!),#REF!, " ")</f>
        <v xml:space="preserve"> </v>
      </c>
    </row>
    <row r="190" spans="1:14" ht="24.6" customHeight="1">
      <c r="B190" s="105" t="s">
        <v>96</v>
      </c>
      <c r="C190" s="106" t="str">
        <f>IF(ISNUMBER(#REF!),#REF!, " ")</f>
        <v xml:space="preserve"> </v>
      </c>
      <c r="D190" s="106" t="str">
        <f>IF(ISNUMBER(#REF!),#REF!, " ")</f>
        <v xml:space="preserve"> </v>
      </c>
      <c r="E190" s="106" t="str">
        <f>IF(ISNUMBER(#REF!),#REF!, " ")</f>
        <v xml:space="preserve"> </v>
      </c>
      <c r="F190" s="106" t="str">
        <f>IF(ISNUMBER(#REF!),#REF!, " ")</f>
        <v xml:space="preserve"> </v>
      </c>
      <c r="G190" s="106" t="str">
        <f>IF(ISNUMBER(#REF!),#REF!, " ")</f>
        <v xml:space="preserve"> </v>
      </c>
      <c r="H190" s="106" t="str">
        <f>IF(ISNUMBER(#REF!),#REF!, " ")</f>
        <v xml:space="preserve"> </v>
      </c>
      <c r="I190" s="106" t="str">
        <f>IF(ISNUMBER(#REF!),#REF!, " ")</f>
        <v xml:space="preserve"> </v>
      </c>
      <c r="J190" s="106" t="str">
        <f>IF(ISNUMBER(#REF!),#REF!, " ")</f>
        <v xml:space="preserve"> </v>
      </c>
      <c r="K190" s="106" t="str">
        <f>IF(ISNUMBER(#REF!),#REF!, " ")</f>
        <v xml:space="preserve"> </v>
      </c>
      <c r="L190" s="106" t="str">
        <f>IF(ISNUMBER(#REF!),#REF!, " ")</f>
        <v xml:space="preserve"> </v>
      </c>
      <c r="M190" s="106" t="str">
        <f>IF(ISNUMBER(#REF!),#REF!, " ")</f>
        <v xml:space="preserve"> </v>
      </c>
      <c r="N190" s="106" t="str">
        <f>IF(ISNUMBER(#REF!),#REF!, " ")</f>
        <v xml:space="preserve"> </v>
      </c>
    </row>
    <row r="191" spans="1:14" ht="24.6" customHeight="1">
      <c r="B191" s="105" t="s">
        <v>97</v>
      </c>
      <c r="C191" s="106" t="str">
        <f>IF(ISNUMBER(#REF!),#REF!, " ")</f>
        <v xml:space="preserve"> </v>
      </c>
      <c r="D191" s="106" t="str">
        <f>IF(ISNUMBER(#REF!),#REF!, " ")</f>
        <v xml:space="preserve"> </v>
      </c>
      <c r="E191" s="106" t="str">
        <f>IF(ISNUMBER(#REF!),#REF!, " ")</f>
        <v xml:space="preserve"> </v>
      </c>
      <c r="F191" s="106" t="str">
        <f>IF(ISNUMBER(#REF!),#REF!, " ")</f>
        <v xml:space="preserve"> </v>
      </c>
      <c r="G191" s="106" t="str">
        <f>IF(ISNUMBER(#REF!),#REF!, " ")</f>
        <v xml:space="preserve"> </v>
      </c>
      <c r="H191" s="106" t="str">
        <f>IF(ISNUMBER(#REF!),#REF!, " ")</f>
        <v xml:space="preserve"> </v>
      </c>
      <c r="I191" s="106" t="str">
        <f>IF(ISNUMBER(#REF!),#REF!, " ")</f>
        <v xml:space="preserve"> </v>
      </c>
      <c r="J191" s="106" t="str">
        <f>IF(ISNUMBER(#REF!),#REF!, " ")</f>
        <v xml:space="preserve"> </v>
      </c>
      <c r="K191" s="106" t="str">
        <f>IF(ISNUMBER(#REF!),#REF!, " ")</f>
        <v xml:space="preserve"> </v>
      </c>
      <c r="L191" s="106" t="str">
        <f>IF(ISNUMBER(#REF!),#REF!, " ")</f>
        <v xml:space="preserve"> </v>
      </c>
      <c r="M191" s="106" t="str">
        <f>IF(ISNUMBER(#REF!),#REF!, " ")</f>
        <v xml:space="preserve"> </v>
      </c>
      <c r="N191" s="106" t="str">
        <f>IF(ISNUMBER(#REF!),#REF!, " ")</f>
        <v xml:space="preserve"> </v>
      </c>
    </row>
    <row r="192" spans="1:14" ht="24.95" customHeight="1" thickBot="1">
      <c r="B192" s="105" t="s">
        <v>98</v>
      </c>
      <c r="C192" s="106" t="str">
        <f>IF(ISNUMBER(#REF!),#REF!, " ")</f>
        <v xml:space="preserve"> </v>
      </c>
      <c r="D192" s="106" t="str">
        <f>IF(ISNUMBER(#REF!),#REF!, " ")</f>
        <v xml:space="preserve"> </v>
      </c>
      <c r="E192" s="106" t="str">
        <f>IF(ISNUMBER(#REF!),#REF!, " ")</f>
        <v xml:space="preserve"> </v>
      </c>
      <c r="F192" s="106" t="str">
        <f>IF(ISNUMBER(#REF!),#REF!, " ")</f>
        <v xml:space="preserve"> </v>
      </c>
      <c r="G192" s="106" t="str">
        <f>IF(ISNUMBER(#REF!),#REF!, " ")</f>
        <v xml:space="preserve"> </v>
      </c>
      <c r="H192" s="106" t="str">
        <f>IF(ISNUMBER(#REF!),#REF!, " ")</f>
        <v xml:space="preserve"> </v>
      </c>
      <c r="I192" s="106" t="str">
        <f>IF(ISNUMBER(#REF!),#REF!, " ")</f>
        <v xml:space="preserve"> </v>
      </c>
      <c r="J192" s="106" t="str">
        <f>IF(ISNUMBER(#REF!),#REF!, " ")</f>
        <v xml:space="preserve"> </v>
      </c>
      <c r="K192" s="106" t="str">
        <f>IF(ISNUMBER(#REF!),#REF!, " ")</f>
        <v xml:space="preserve"> </v>
      </c>
      <c r="L192" s="106" t="str">
        <f>IF(ISNUMBER(#REF!),#REF!, " ")</f>
        <v xml:space="preserve"> </v>
      </c>
      <c r="M192" s="106" t="str">
        <f>IF(ISNUMBER(#REF!),#REF!, " ")</f>
        <v xml:space="preserve"> </v>
      </c>
      <c r="N192" s="106" t="str">
        <f>IF(ISNUMBER(#REF!),#REF!, " ")</f>
        <v xml:space="preserve"> </v>
      </c>
    </row>
    <row r="193" spans="1:13" ht="24.95" customHeight="1" thickBot="1">
      <c r="A193" s="150"/>
      <c r="B193" s="96" t="s">
        <v>83</v>
      </c>
      <c r="C193"/>
      <c r="D193" s="100" t="s">
        <v>99</v>
      </c>
      <c r="E193"/>
      <c r="F193"/>
      <c r="G193"/>
      <c r="H193"/>
      <c r="I193"/>
      <c r="J193"/>
    </row>
    <row r="194" spans="1:13" ht="17.45" customHeight="1">
      <c r="A194"/>
      <c r="B194"/>
      <c r="C194"/>
      <c r="D194" s="101" t="s">
        <v>100</v>
      </c>
      <c r="E194" s="348" t="s">
        <v>276</v>
      </c>
      <c r="F194"/>
      <c r="G194"/>
      <c r="H194"/>
      <c r="I194"/>
      <c r="J194"/>
    </row>
    <row r="195" spans="1:13" ht="17.45" customHeight="1">
      <c r="A195"/>
      <c r="B195"/>
      <c r="C195"/>
      <c r="D195" s="101" t="s">
        <v>101</v>
      </c>
      <c r="E195" s="349"/>
      <c r="F195"/>
      <c r="G195"/>
      <c r="H195"/>
      <c r="I195"/>
      <c r="J195"/>
    </row>
    <row r="196" spans="1:13" ht="17.45" customHeight="1">
      <c r="A196"/>
      <c r="B196"/>
      <c r="C196"/>
      <c r="D196" s="211" t="s">
        <v>102</v>
      </c>
      <c r="E196" s="350"/>
      <c r="F196"/>
      <c r="G196" s="125"/>
      <c r="H196"/>
      <c r="I196"/>
      <c r="J196"/>
    </row>
    <row r="197" spans="1:13" ht="17.45" customHeight="1" thickBot="1">
      <c r="A197"/>
      <c r="B197"/>
      <c r="C197"/>
      <c r="D197" s="100" t="s">
        <v>87</v>
      </c>
      <c r="E197"/>
      <c r="F197"/>
      <c r="G197"/>
      <c r="H197"/>
      <c r="I197"/>
      <c r="J197"/>
    </row>
    <row r="198" spans="1:13" ht="30" customHeight="1" thickBot="1">
      <c r="A198" s="150"/>
      <c r="B198" s="96" t="s">
        <v>384</v>
      </c>
      <c r="C198"/>
      <c r="D198"/>
      <c r="E198"/>
      <c r="F198"/>
      <c r="G198"/>
      <c r="H198"/>
      <c r="I198"/>
      <c r="J198"/>
    </row>
    <row r="199" spans="1:13" ht="17.45" customHeight="1" thickBot="1">
      <c r="A199" s="188"/>
      <c r="B199" s="418" t="s">
        <v>252</v>
      </c>
      <c r="C199" s="410"/>
      <c r="D199" s="410"/>
      <c r="E199" s="410"/>
      <c r="F199" s="410"/>
      <c r="G199" s="410"/>
      <c r="H199" s="410"/>
      <c r="I199" s="410"/>
      <c r="J199" s="410"/>
      <c r="K199" s="410"/>
      <c r="L199" s="410"/>
      <c r="M199" s="411"/>
    </row>
    <row r="200" spans="1:13" ht="28.5" customHeight="1" thickBot="1">
      <c r="A200" s="175"/>
      <c r="B200" s="96" t="s">
        <v>253</v>
      </c>
      <c r="C200" s="151"/>
      <c r="E200" s="192"/>
    </row>
    <row r="201" spans="1:13" ht="24.75" customHeight="1" thickBot="1">
      <c r="A201" s="175"/>
      <c r="B201" s="151" t="s">
        <v>254</v>
      </c>
    </row>
    <row r="202" spans="1:13" ht="24.95" customHeight="1">
      <c r="A202" s="179"/>
      <c r="C202" s="96" t="s">
        <v>110</v>
      </c>
      <c r="D202" s="96"/>
      <c r="E202" s="96"/>
      <c r="F202" s="96" t="s">
        <v>439</v>
      </c>
      <c r="G202" s="151"/>
    </row>
    <row r="203" spans="1:13" ht="24.95" customHeight="1">
      <c r="A203" s="179"/>
      <c r="C203" s="242" t="s">
        <v>424</v>
      </c>
      <c r="D203" s="96"/>
      <c r="E203" s="96"/>
      <c r="G203" s="242" t="s">
        <v>423</v>
      </c>
    </row>
    <row r="204" spans="1:13" ht="24.95" customHeight="1">
      <c r="A204" s="179"/>
      <c r="C204" s="242" t="s">
        <v>425</v>
      </c>
      <c r="E204" s="96"/>
      <c r="G204" s="242" t="s">
        <v>421</v>
      </c>
    </row>
    <row r="205" spans="1:13" ht="24.95" customHeight="1">
      <c r="A205" s="179"/>
      <c r="C205" s="242" t="s">
        <v>426</v>
      </c>
      <c r="E205" s="96"/>
      <c r="G205" s="242" t="s">
        <v>422</v>
      </c>
    </row>
    <row r="206" spans="1:13" ht="24.95" customHeight="1"/>
    <row r="207" spans="1:13" ht="24.95" customHeight="1"/>
    <row r="208" spans="1:13" ht="26.25" customHeight="1">
      <c r="C208" s="395" t="s">
        <v>113</v>
      </c>
      <c r="D208" s="404"/>
      <c r="E208" s="405"/>
      <c r="F208" s="399" t="s">
        <v>519</v>
      </c>
      <c r="G208" s="404"/>
      <c r="H208" s="404"/>
      <c r="I208" s="405"/>
    </row>
    <row r="209" spans="3:9" ht="26.25" customHeight="1">
      <c r="C209" s="399" t="s">
        <v>114</v>
      </c>
      <c r="D209" s="404"/>
      <c r="E209" s="405"/>
      <c r="F209" s="399" t="s">
        <v>115</v>
      </c>
      <c r="G209" s="404"/>
      <c r="H209" s="404"/>
      <c r="I209" s="405"/>
    </row>
    <row r="210" spans="3:9" ht="26.25" customHeight="1">
      <c r="C210" s="399" t="s">
        <v>116</v>
      </c>
      <c r="D210" s="404"/>
      <c r="E210" s="405"/>
      <c r="F210" s="399" t="s">
        <v>117</v>
      </c>
      <c r="G210" s="404"/>
      <c r="H210" s="404"/>
      <c r="I210" s="405"/>
    </row>
    <row r="211" spans="3:9" ht="26.25" customHeight="1">
      <c r="C211" s="399" t="s">
        <v>118</v>
      </c>
      <c r="D211" s="404"/>
      <c r="E211" s="405"/>
      <c r="F211" s="399" t="s">
        <v>440</v>
      </c>
      <c r="G211" s="404"/>
      <c r="H211" s="404"/>
      <c r="I211" s="405"/>
    </row>
    <row r="212" spans="3:9" ht="26.25" customHeight="1">
      <c r="C212" s="399" t="s">
        <v>119</v>
      </c>
      <c r="D212" s="404"/>
      <c r="E212" s="405"/>
      <c r="F212" s="399" t="s">
        <v>120</v>
      </c>
      <c r="G212" s="404"/>
      <c r="H212" s="404"/>
      <c r="I212" s="405"/>
    </row>
    <row r="213" spans="3:9" ht="26.25" customHeight="1">
      <c r="C213" s="399" t="s">
        <v>121</v>
      </c>
      <c r="D213" s="404"/>
      <c r="E213" s="405"/>
      <c r="F213" s="399"/>
      <c r="G213" s="404"/>
      <c r="H213" s="404"/>
      <c r="I213" s="405"/>
    </row>
    <row r="214" spans="3:9" ht="26.25" customHeight="1">
      <c r="C214" s="399" t="s">
        <v>122</v>
      </c>
      <c r="D214" s="404"/>
      <c r="E214" s="405"/>
      <c r="F214" s="423"/>
      <c r="G214" s="404"/>
      <c r="H214" s="404"/>
      <c r="I214" s="405"/>
    </row>
    <row r="215" spans="3:9" ht="26.25" customHeight="1">
      <c r="C215" s="399" t="s">
        <v>123</v>
      </c>
      <c r="D215" s="404"/>
      <c r="E215" s="405"/>
      <c r="F215" s="424">
        <v>20260318</v>
      </c>
      <c r="G215" s="404"/>
      <c r="H215" s="404"/>
      <c r="I215" s="405"/>
    </row>
    <row r="220" spans="3:9" ht="30.6" customHeight="1"/>
  </sheetData>
  <mergeCells count="93">
    <mergeCell ref="F213:I213"/>
    <mergeCell ref="B176:N176"/>
    <mergeCell ref="E194:E196"/>
    <mergeCell ref="B135:M135"/>
    <mergeCell ref="B146:I147"/>
    <mergeCell ref="E169:E171"/>
    <mergeCell ref="B173:I174"/>
    <mergeCell ref="F209:I209"/>
    <mergeCell ref="C210:E210"/>
    <mergeCell ref="F210:I210"/>
    <mergeCell ref="B64:M64"/>
    <mergeCell ref="B65:F65"/>
    <mergeCell ref="H65:M65"/>
    <mergeCell ref="B66:F66"/>
    <mergeCell ref="H66:M66"/>
    <mergeCell ref="B85:N85"/>
    <mergeCell ref="E93:E95"/>
    <mergeCell ref="H68:M68"/>
    <mergeCell ref="B69:F69"/>
    <mergeCell ref="H69:M69"/>
    <mergeCell ref="B70:F70"/>
    <mergeCell ref="H70:M70"/>
    <mergeCell ref="H71:M71"/>
    <mergeCell ref="C214:E214"/>
    <mergeCell ref="F214:I214"/>
    <mergeCell ref="C215:E215"/>
    <mergeCell ref="F215:I215"/>
    <mergeCell ref="C16:D16"/>
    <mergeCell ref="C17:D17"/>
    <mergeCell ref="C18:D18"/>
    <mergeCell ref="C19:D19"/>
    <mergeCell ref="C211:E211"/>
    <mergeCell ref="F211:I211"/>
    <mergeCell ref="C212:E212"/>
    <mergeCell ref="C213:E213"/>
    <mergeCell ref="F212:I212"/>
    <mergeCell ref="C208:E208"/>
    <mergeCell ref="F208:I208"/>
    <mergeCell ref="C209:E209"/>
    <mergeCell ref="E58:E60"/>
    <mergeCell ref="B63:M63"/>
    <mergeCell ref="B199:M199"/>
    <mergeCell ref="G45:I45"/>
    <mergeCell ref="C48:D48"/>
    <mergeCell ref="C49:D49"/>
    <mergeCell ref="C50:D50"/>
    <mergeCell ref="G54:I54"/>
    <mergeCell ref="G55:I55"/>
    <mergeCell ref="B67:F67"/>
    <mergeCell ref="H67:M67"/>
    <mergeCell ref="B68:F68"/>
    <mergeCell ref="B98:M98"/>
    <mergeCell ref="E130:E132"/>
    <mergeCell ref="B72:N72"/>
    <mergeCell ref="E80:E82"/>
    <mergeCell ref="B38:M38"/>
    <mergeCell ref="B41:F41"/>
    <mergeCell ref="G42:I42"/>
    <mergeCell ref="C43:E44"/>
    <mergeCell ref="G43:I43"/>
    <mergeCell ref="G44:I44"/>
    <mergeCell ref="G31:H31"/>
    <mergeCell ref="A11:D11"/>
    <mergeCell ref="B12:M12"/>
    <mergeCell ref="G23:H23"/>
    <mergeCell ref="J23:L23"/>
    <mergeCell ref="G24:H24"/>
    <mergeCell ref="G25:H25"/>
    <mergeCell ref="G26:H26"/>
    <mergeCell ref="G27:H27"/>
    <mergeCell ref="G28:H28"/>
    <mergeCell ref="G29:H29"/>
    <mergeCell ref="G30:H30"/>
    <mergeCell ref="A8:D8"/>
    <mergeCell ref="E8:G8"/>
    <mergeCell ref="A9:D9"/>
    <mergeCell ref="E9:G9"/>
    <mergeCell ref="A10:D10"/>
    <mergeCell ref="E10:G10"/>
    <mergeCell ref="A5:D5"/>
    <mergeCell ref="E5:G5"/>
    <mergeCell ref="A6:D6"/>
    <mergeCell ref="E6:G6"/>
    <mergeCell ref="A7:D7"/>
    <mergeCell ref="E7:G7"/>
    <mergeCell ref="A4:D4"/>
    <mergeCell ref="E4:G4"/>
    <mergeCell ref="J4:K4"/>
    <mergeCell ref="C1:J1"/>
    <mergeCell ref="A2:D2"/>
    <mergeCell ref="E2:G2"/>
    <mergeCell ref="A3:D3"/>
    <mergeCell ref="E3:G3"/>
  </mergeCells>
  <conditionalFormatting sqref="C16:C19">
    <cfRule type="iconSet" priority="1">
      <iconSet>
        <cfvo type="percent" val="0"/>
        <cfvo type="percent" val="33"/>
        <cfvo type="percent" val="67"/>
      </iconSet>
    </cfRule>
  </conditionalFormatting>
  <pageMargins left="0.25" right="0" top="0.25" bottom="0.25" header="0" footer="0"/>
  <pageSetup paperSize="9" scale="60" fitToWidth="2" orientation="portrait"/>
  <drawing r:id="rId1"/>
  <legacyDrawing r:id="rId2"/>
  <mc:AlternateContent xmlns:mc="http://schemas.openxmlformats.org/markup-compatibility/2006">
    <mc:Choice Requires="x14">
      <controls>
        <mc:AlternateContent xmlns:mc="http://schemas.openxmlformats.org/markup-compatibility/2006">
          <mc:Choice Requires="x14">
            <control shapeId="25610" r:id="rId3" name="Check Box 10">
              <controlPr defaultSize="0" autoFill="0" autoLine="0" autoPict="0">
                <anchor moveWithCells="1">
                  <from>
                    <xdr:col>0</xdr:col>
                    <xdr:colOff>28575</xdr:colOff>
                    <xdr:row>135</xdr:row>
                    <xdr:rowOff>47625</xdr:rowOff>
                  </from>
                  <to>
                    <xdr:col>1</xdr:col>
                    <xdr:colOff>85725</xdr:colOff>
                    <xdr:row>136</xdr:row>
                    <xdr:rowOff>57150</xdr:rowOff>
                  </to>
                </anchor>
              </controlPr>
            </control>
          </mc:Choice>
        </mc:AlternateContent>
        <mc:AlternateContent xmlns:mc="http://schemas.openxmlformats.org/markup-compatibility/2006">
          <mc:Choice Requires="x14">
            <control shapeId="25611" r:id="rId4" name="Check Box 11">
              <controlPr defaultSize="0" autoFill="0" autoLine="0" autoPict="0">
                <anchor moveWithCells="1">
                  <from>
                    <xdr:col>0</xdr:col>
                    <xdr:colOff>28575</xdr:colOff>
                    <xdr:row>136</xdr:row>
                    <xdr:rowOff>47625</xdr:rowOff>
                  </from>
                  <to>
                    <xdr:col>1</xdr:col>
                    <xdr:colOff>85725</xdr:colOff>
                    <xdr:row>137</xdr:row>
                    <xdr:rowOff>57150</xdr:rowOff>
                  </to>
                </anchor>
              </controlPr>
            </control>
          </mc:Choice>
        </mc:AlternateContent>
        <mc:AlternateContent xmlns:mc="http://schemas.openxmlformats.org/markup-compatibility/2006">
          <mc:Choice Requires="x14">
            <control shapeId="25612" r:id="rId5" name="Check Box 12">
              <controlPr defaultSize="0" autoFill="0" autoLine="0" autoPict="0">
                <anchor moveWithCells="1">
                  <from>
                    <xdr:col>0</xdr:col>
                    <xdr:colOff>28575</xdr:colOff>
                    <xdr:row>138</xdr:row>
                    <xdr:rowOff>47625</xdr:rowOff>
                  </from>
                  <to>
                    <xdr:col>1</xdr:col>
                    <xdr:colOff>85725</xdr:colOff>
                    <xdr:row>138</xdr:row>
                    <xdr:rowOff>276225</xdr:rowOff>
                  </to>
                </anchor>
              </controlPr>
            </control>
          </mc:Choice>
        </mc:AlternateContent>
        <mc:AlternateContent xmlns:mc="http://schemas.openxmlformats.org/markup-compatibility/2006">
          <mc:Choice Requires="x14">
            <control shapeId="25613" r:id="rId6" name="Check Box 13">
              <controlPr defaultSize="0" autoFill="0" autoLine="0" autoPict="0">
                <anchor moveWithCells="1">
                  <from>
                    <xdr:col>0</xdr:col>
                    <xdr:colOff>28575</xdr:colOff>
                    <xdr:row>141</xdr:row>
                    <xdr:rowOff>47625</xdr:rowOff>
                  </from>
                  <to>
                    <xdr:col>1</xdr:col>
                    <xdr:colOff>85725</xdr:colOff>
                    <xdr:row>141</xdr:row>
                    <xdr:rowOff>276225</xdr:rowOff>
                  </to>
                </anchor>
              </controlPr>
            </control>
          </mc:Choice>
        </mc:AlternateContent>
        <mc:AlternateContent xmlns:mc="http://schemas.openxmlformats.org/markup-compatibility/2006">
          <mc:Choice Requires="x14">
            <control shapeId="25614" r:id="rId7" name="Check Box 14">
              <controlPr defaultSize="0" autoFill="0" autoLine="0" autoPict="0">
                <anchor moveWithCells="1">
                  <from>
                    <xdr:col>0</xdr:col>
                    <xdr:colOff>28575</xdr:colOff>
                    <xdr:row>145</xdr:row>
                    <xdr:rowOff>47625</xdr:rowOff>
                  </from>
                  <to>
                    <xdr:col>1</xdr:col>
                    <xdr:colOff>85725</xdr:colOff>
                    <xdr:row>145</xdr:row>
                    <xdr:rowOff>276225</xdr:rowOff>
                  </to>
                </anchor>
              </controlPr>
            </control>
          </mc:Choice>
        </mc:AlternateContent>
        <mc:AlternateContent xmlns:mc="http://schemas.openxmlformats.org/markup-compatibility/2006">
          <mc:Choice Requires="x14">
            <control shapeId="25615" r:id="rId8" name="Check Box 15">
              <controlPr defaultSize="0" autoFill="0" autoLine="0" autoPict="0">
                <anchor moveWithCells="1">
                  <from>
                    <xdr:col>0</xdr:col>
                    <xdr:colOff>28575</xdr:colOff>
                    <xdr:row>147</xdr:row>
                    <xdr:rowOff>47625</xdr:rowOff>
                  </from>
                  <to>
                    <xdr:col>1</xdr:col>
                    <xdr:colOff>85725</xdr:colOff>
                    <xdr:row>147</xdr:row>
                    <xdr:rowOff>276225</xdr:rowOff>
                  </to>
                </anchor>
              </controlPr>
            </control>
          </mc:Choice>
        </mc:AlternateContent>
        <mc:AlternateContent xmlns:mc="http://schemas.openxmlformats.org/markup-compatibility/2006">
          <mc:Choice Requires="x14">
            <control shapeId="25616" r:id="rId9" name="Check Box 16">
              <controlPr defaultSize="0" autoFill="0" autoLine="0" autoPict="0">
                <anchor moveWithCells="1">
                  <from>
                    <xdr:col>0</xdr:col>
                    <xdr:colOff>28575</xdr:colOff>
                    <xdr:row>149</xdr:row>
                    <xdr:rowOff>47625</xdr:rowOff>
                  </from>
                  <to>
                    <xdr:col>1</xdr:col>
                    <xdr:colOff>85725</xdr:colOff>
                    <xdr:row>150</xdr:row>
                    <xdr:rowOff>9525</xdr:rowOff>
                  </to>
                </anchor>
              </controlPr>
            </control>
          </mc:Choice>
        </mc:AlternateContent>
        <mc:AlternateContent xmlns:mc="http://schemas.openxmlformats.org/markup-compatibility/2006">
          <mc:Choice Requires="x14">
            <control shapeId="25617" r:id="rId10" name="Check Box 17">
              <controlPr defaultSize="0" autoFill="0" autoLine="0" autoPict="0">
                <anchor moveWithCells="1">
                  <from>
                    <xdr:col>0</xdr:col>
                    <xdr:colOff>28575</xdr:colOff>
                    <xdr:row>152</xdr:row>
                    <xdr:rowOff>47625</xdr:rowOff>
                  </from>
                  <to>
                    <xdr:col>1</xdr:col>
                    <xdr:colOff>85725</xdr:colOff>
                    <xdr:row>153</xdr:row>
                    <xdr:rowOff>19050</xdr:rowOff>
                  </to>
                </anchor>
              </controlPr>
            </control>
          </mc:Choice>
        </mc:AlternateContent>
        <mc:AlternateContent xmlns:mc="http://schemas.openxmlformats.org/markup-compatibility/2006">
          <mc:Choice Requires="x14">
            <control shapeId="25618" r:id="rId11" name="Check Box 18">
              <controlPr defaultSize="0" autoFill="0" autoLine="0" autoPict="0">
                <anchor moveWithCells="1">
                  <from>
                    <xdr:col>0</xdr:col>
                    <xdr:colOff>28575</xdr:colOff>
                    <xdr:row>154</xdr:row>
                    <xdr:rowOff>47625</xdr:rowOff>
                  </from>
                  <to>
                    <xdr:col>1</xdr:col>
                    <xdr:colOff>85725</xdr:colOff>
                    <xdr:row>154</xdr:row>
                    <xdr:rowOff>276225</xdr:rowOff>
                  </to>
                </anchor>
              </controlPr>
            </control>
          </mc:Choice>
        </mc:AlternateContent>
        <mc:AlternateContent xmlns:mc="http://schemas.openxmlformats.org/markup-compatibility/2006">
          <mc:Choice Requires="x14">
            <control shapeId="25619" r:id="rId12" name="Check Box 19">
              <controlPr defaultSize="0" autoFill="0" autoLine="0" autoPict="0">
                <anchor moveWithCells="1">
                  <from>
                    <xdr:col>0</xdr:col>
                    <xdr:colOff>28575</xdr:colOff>
                    <xdr:row>156</xdr:row>
                    <xdr:rowOff>47625</xdr:rowOff>
                  </from>
                  <to>
                    <xdr:col>1</xdr:col>
                    <xdr:colOff>85725</xdr:colOff>
                    <xdr:row>156</xdr:row>
                    <xdr:rowOff>276225</xdr:rowOff>
                  </to>
                </anchor>
              </controlPr>
            </control>
          </mc:Choice>
        </mc:AlternateContent>
        <mc:AlternateContent xmlns:mc="http://schemas.openxmlformats.org/markup-compatibility/2006">
          <mc:Choice Requires="x14">
            <control shapeId="25620" r:id="rId13" name="Check Box 20">
              <controlPr defaultSize="0" autoFill="0" autoLine="0" autoPict="0">
                <anchor moveWithCells="1">
                  <from>
                    <xdr:col>0</xdr:col>
                    <xdr:colOff>28575</xdr:colOff>
                    <xdr:row>155</xdr:row>
                    <xdr:rowOff>47625</xdr:rowOff>
                  </from>
                  <to>
                    <xdr:col>1</xdr:col>
                    <xdr:colOff>85725</xdr:colOff>
                    <xdr:row>156</xdr:row>
                    <xdr:rowOff>57150</xdr:rowOff>
                  </to>
                </anchor>
              </controlPr>
            </control>
          </mc:Choice>
        </mc:AlternateContent>
        <mc:AlternateContent xmlns:mc="http://schemas.openxmlformats.org/markup-compatibility/2006">
          <mc:Choice Requires="x14">
            <control shapeId="25625" r:id="rId14" name="Check Box 25">
              <controlPr defaultSize="0" autoFill="0" autoLine="0" autoPict="0">
                <anchor moveWithCells="1">
                  <from>
                    <xdr:col>0</xdr:col>
                    <xdr:colOff>28575</xdr:colOff>
                    <xdr:row>157</xdr:row>
                    <xdr:rowOff>47625</xdr:rowOff>
                  </from>
                  <to>
                    <xdr:col>1</xdr:col>
                    <xdr:colOff>85725</xdr:colOff>
                    <xdr:row>157</xdr:row>
                    <xdr:rowOff>295275</xdr:rowOff>
                  </to>
                </anchor>
              </controlPr>
            </control>
          </mc:Choice>
        </mc:AlternateContent>
        <mc:AlternateContent xmlns:mc="http://schemas.openxmlformats.org/markup-compatibility/2006">
          <mc:Choice Requires="x14">
            <control shapeId="25629" r:id="rId15" name="Check Box 29">
              <controlPr defaultSize="0" autoFill="0" autoLine="0" autoPict="0">
                <anchor moveWithCells="1">
                  <from>
                    <xdr:col>0</xdr:col>
                    <xdr:colOff>28575</xdr:colOff>
                    <xdr:row>72</xdr:row>
                    <xdr:rowOff>47625</xdr:rowOff>
                  </from>
                  <to>
                    <xdr:col>1</xdr:col>
                    <xdr:colOff>85725</xdr:colOff>
                    <xdr:row>72</xdr:row>
                    <xdr:rowOff>276225</xdr:rowOff>
                  </to>
                </anchor>
              </controlPr>
            </control>
          </mc:Choice>
        </mc:AlternateContent>
        <mc:AlternateContent xmlns:mc="http://schemas.openxmlformats.org/markup-compatibility/2006">
          <mc:Choice Requires="x14">
            <control shapeId="25630" r:id="rId16" name="Check Box 30">
              <controlPr defaultSize="0" autoFill="0" autoLine="0" autoPict="0">
                <anchor moveWithCells="1">
                  <from>
                    <xdr:col>0</xdr:col>
                    <xdr:colOff>28575</xdr:colOff>
                    <xdr:row>78</xdr:row>
                    <xdr:rowOff>47625</xdr:rowOff>
                  </from>
                  <to>
                    <xdr:col>1</xdr:col>
                    <xdr:colOff>85725</xdr:colOff>
                    <xdr:row>79</xdr:row>
                    <xdr:rowOff>19050</xdr:rowOff>
                  </to>
                </anchor>
              </controlPr>
            </control>
          </mc:Choice>
        </mc:AlternateContent>
        <mc:AlternateContent xmlns:mc="http://schemas.openxmlformats.org/markup-compatibility/2006">
          <mc:Choice Requires="x14">
            <control shapeId="25631" r:id="rId17" name="Check Box 31">
              <controlPr defaultSize="0" autoFill="0" autoLine="0" autoPict="0">
                <anchor moveWithCells="1">
                  <from>
                    <xdr:col>0</xdr:col>
                    <xdr:colOff>28575</xdr:colOff>
                    <xdr:row>83</xdr:row>
                    <xdr:rowOff>47625</xdr:rowOff>
                  </from>
                  <to>
                    <xdr:col>1</xdr:col>
                    <xdr:colOff>85725</xdr:colOff>
                    <xdr:row>83</xdr:row>
                    <xdr:rowOff>276225</xdr:rowOff>
                  </to>
                </anchor>
              </controlPr>
            </control>
          </mc:Choice>
        </mc:AlternateContent>
        <mc:AlternateContent xmlns:mc="http://schemas.openxmlformats.org/markup-compatibility/2006">
          <mc:Choice Requires="x14">
            <control shapeId="25632" r:id="rId18" name="Check Box 32">
              <controlPr defaultSize="0" autoFill="0" autoLine="0" autoPict="0">
                <anchor moveWithCells="1">
                  <from>
                    <xdr:col>0</xdr:col>
                    <xdr:colOff>28575</xdr:colOff>
                    <xdr:row>77</xdr:row>
                    <xdr:rowOff>47625</xdr:rowOff>
                  </from>
                  <to>
                    <xdr:col>1</xdr:col>
                    <xdr:colOff>85725</xdr:colOff>
                    <xdr:row>78</xdr:row>
                    <xdr:rowOff>9525</xdr:rowOff>
                  </to>
                </anchor>
              </controlPr>
            </control>
          </mc:Choice>
        </mc:AlternateContent>
        <mc:AlternateContent xmlns:mc="http://schemas.openxmlformats.org/markup-compatibility/2006">
          <mc:Choice Requires="x14">
            <control shapeId="25633" r:id="rId19" name="Check Box 33">
              <controlPr defaultSize="0" autoFill="0" autoLine="0" autoPict="0">
                <anchor moveWithCells="1">
                  <from>
                    <xdr:col>0</xdr:col>
                    <xdr:colOff>28575</xdr:colOff>
                    <xdr:row>85</xdr:row>
                    <xdr:rowOff>47625</xdr:rowOff>
                  </from>
                  <to>
                    <xdr:col>1</xdr:col>
                    <xdr:colOff>85725</xdr:colOff>
                    <xdr:row>85</xdr:row>
                    <xdr:rowOff>276225</xdr:rowOff>
                  </to>
                </anchor>
              </controlPr>
            </control>
          </mc:Choice>
        </mc:AlternateContent>
        <mc:AlternateContent xmlns:mc="http://schemas.openxmlformats.org/markup-compatibility/2006">
          <mc:Choice Requires="x14">
            <control shapeId="25634" r:id="rId20" name="Check Box 34">
              <controlPr defaultSize="0" autoFill="0" autoLine="0" autoPict="0">
                <anchor moveWithCells="1">
                  <from>
                    <xdr:col>0</xdr:col>
                    <xdr:colOff>28575</xdr:colOff>
                    <xdr:row>91</xdr:row>
                    <xdr:rowOff>47625</xdr:rowOff>
                  </from>
                  <to>
                    <xdr:col>1</xdr:col>
                    <xdr:colOff>85725</xdr:colOff>
                    <xdr:row>91</xdr:row>
                    <xdr:rowOff>285750</xdr:rowOff>
                  </to>
                </anchor>
              </controlPr>
            </control>
          </mc:Choice>
        </mc:AlternateContent>
        <mc:AlternateContent xmlns:mc="http://schemas.openxmlformats.org/markup-compatibility/2006">
          <mc:Choice Requires="x14">
            <control shapeId="25635" r:id="rId21" name="Check Box 35">
              <controlPr defaultSize="0" autoFill="0" autoLine="0" autoPict="0">
                <anchor moveWithCells="1">
                  <from>
                    <xdr:col>0</xdr:col>
                    <xdr:colOff>28575</xdr:colOff>
                    <xdr:row>96</xdr:row>
                    <xdr:rowOff>47625</xdr:rowOff>
                  </from>
                  <to>
                    <xdr:col>1</xdr:col>
                    <xdr:colOff>85725</xdr:colOff>
                    <xdr:row>96</xdr:row>
                    <xdr:rowOff>276225</xdr:rowOff>
                  </to>
                </anchor>
              </controlPr>
            </control>
          </mc:Choice>
        </mc:AlternateContent>
        <mc:AlternateContent xmlns:mc="http://schemas.openxmlformats.org/markup-compatibility/2006">
          <mc:Choice Requires="x14">
            <control shapeId="25636" r:id="rId22" name="Check Box 36">
              <controlPr defaultSize="0" autoFill="0" autoLine="0" autoPict="0">
                <anchor moveWithCells="1">
                  <from>
                    <xdr:col>0</xdr:col>
                    <xdr:colOff>28575</xdr:colOff>
                    <xdr:row>90</xdr:row>
                    <xdr:rowOff>47625</xdr:rowOff>
                  </from>
                  <to>
                    <xdr:col>1</xdr:col>
                    <xdr:colOff>85725</xdr:colOff>
                    <xdr:row>90</xdr:row>
                    <xdr:rowOff>276225</xdr:rowOff>
                  </to>
                </anchor>
              </controlPr>
            </control>
          </mc:Choice>
        </mc:AlternateContent>
        <mc:AlternateContent xmlns:mc="http://schemas.openxmlformats.org/markup-compatibility/2006">
          <mc:Choice Requires="x14">
            <control shapeId="25637" r:id="rId23" name="Check Box 37">
              <controlPr defaultSize="0" autoFill="0" autoLine="0" autoPict="0">
                <anchor moveWithCells="1">
                  <from>
                    <xdr:col>0</xdr:col>
                    <xdr:colOff>28575</xdr:colOff>
                    <xdr:row>98</xdr:row>
                    <xdr:rowOff>47625</xdr:rowOff>
                  </from>
                  <to>
                    <xdr:col>1</xdr:col>
                    <xdr:colOff>85725</xdr:colOff>
                    <xdr:row>98</xdr:row>
                    <xdr:rowOff>276225</xdr:rowOff>
                  </to>
                </anchor>
              </controlPr>
            </control>
          </mc:Choice>
        </mc:AlternateContent>
        <mc:AlternateContent xmlns:mc="http://schemas.openxmlformats.org/markup-compatibility/2006">
          <mc:Choice Requires="x14">
            <control shapeId="25638" r:id="rId24" name="Check Box 38">
              <controlPr defaultSize="0" autoFill="0" autoLine="0" autoPict="0">
                <anchor moveWithCells="1">
                  <from>
                    <xdr:col>0</xdr:col>
                    <xdr:colOff>28575</xdr:colOff>
                    <xdr:row>99</xdr:row>
                    <xdr:rowOff>47625</xdr:rowOff>
                  </from>
                  <to>
                    <xdr:col>1</xdr:col>
                    <xdr:colOff>85725</xdr:colOff>
                    <xdr:row>99</xdr:row>
                    <xdr:rowOff>276225</xdr:rowOff>
                  </to>
                </anchor>
              </controlPr>
            </control>
          </mc:Choice>
        </mc:AlternateContent>
        <mc:AlternateContent xmlns:mc="http://schemas.openxmlformats.org/markup-compatibility/2006">
          <mc:Choice Requires="x14">
            <control shapeId="25639" r:id="rId25" name="Check Box 39">
              <controlPr defaultSize="0" autoFill="0" autoLine="0" autoPict="0">
                <anchor moveWithCells="1">
                  <from>
                    <xdr:col>0</xdr:col>
                    <xdr:colOff>28575</xdr:colOff>
                    <xdr:row>101</xdr:row>
                    <xdr:rowOff>47625</xdr:rowOff>
                  </from>
                  <to>
                    <xdr:col>1</xdr:col>
                    <xdr:colOff>85725</xdr:colOff>
                    <xdr:row>101</xdr:row>
                    <xdr:rowOff>276225</xdr:rowOff>
                  </to>
                </anchor>
              </controlPr>
            </control>
          </mc:Choice>
        </mc:AlternateContent>
        <mc:AlternateContent xmlns:mc="http://schemas.openxmlformats.org/markup-compatibility/2006">
          <mc:Choice Requires="x14">
            <control shapeId="25640" r:id="rId26" name="Check Box 40">
              <controlPr defaultSize="0" autoFill="0" autoLine="0" autoPict="0">
                <anchor moveWithCells="1">
                  <from>
                    <xdr:col>0</xdr:col>
                    <xdr:colOff>28575</xdr:colOff>
                    <xdr:row>104</xdr:row>
                    <xdr:rowOff>47625</xdr:rowOff>
                  </from>
                  <to>
                    <xdr:col>1</xdr:col>
                    <xdr:colOff>85725</xdr:colOff>
                    <xdr:row>104</xdr:row>
                    <xdr:rowOff>266700</xdr:rowOff>
                  </to>
                </anchor>
              </controlPr>
            </control>
          </mc:Choice>
        </mc:AlternateContent>
        <mc:AlternateContent xmlns:mc="http://schemas.openxmlformats.org/markup-compatibility/2006">
          <mc:Choice Requires="x14">
            <control shapeId="25641" r:id="rId27" name="Check Box 41">
              <controlPr defaultSize="0" autoFill="0" autoLine="0" autoPict="0">
                <anchor moveWithCells="1">
                  <from>
                    <xdr:col>0</xdr:col>
                    <xdr:colOff>28575</xdr:colOff>
                    <xdr:row>108</xdr:row>
                    <xdr:rowOff>0</xdr:rowOff>
                  </from>
                  <to>
                    <xdr:col>1</xdr:col>
                    <xdr:colOff>85725</xdr:colOff>
                    <xdr:row>108</xdr:row>
                    <xdr:rowOff>228600</xdr:rowOff>
                  </to>
                </anchor>
              </controlPr>
            </control>
          </mc:Choice>
        </mc:AlternateContent>
        <mc:AlternateContent xmlns:mc="http://schemas.openxmlformats.org/markup-compatibility/2006">
          <mc:Choice Requires="x14">
            <control shapeId="25642" r:id="rId28" name="Check Box 42">
              <controlPr defaultSize="0" autoFill="0" autoLine="0" autoPict="0">
                <anchor moveWithCells="1">
                  <from>
                    <xdr:col>0</xdr:col>
                    <xdr:colOff>28575</xdr:colOff>
                    <xdr:row>108</xdr:row>
                    <xdr:rowOff>47625</xdr:rowOff>
                  </from>
                  <to>
                    <xdr:col>1</xdr:col>
                    <xdr:colOff>85725</xdr:colOff>
                    <xdr:row>108</xdr:row>
                    <xdr:rowOff>276225</xdr:rowOff>
                  </to>
                </anchor>
              </controlPr>
            </control>
          </mc:Choice>
        </mc:AlternateContent>
        <mc:AlternateContent xmlns:mc="http://schemas.openxmlformats.org/markup-compatibility/2006">
          <mc:Choice Requires="x14">
            <control shapeId="25643" r:id="rId29" name="Check Box 43">
              <controlPr defaultSize="0" autoFill="0" autoLine="0" autoPict="0">
                <anchor moveWithCells="1">
                  <from>
                    <xdr:col>0</xdr:col>
                    <xdr:colOff>28575</xdr:colOff>
                    <xdr:row>110</xdr:row>
                    <xdr:rowOff>47625</xdr:rowOff>
                  </from>
                  <to>
                    <xdr:col>1</xdr:col>
                    <xdr:colOff>85725</xdr:colOff>
                    <xdr:row>110</xdr:row>
                    <xdr:rowOff>276225</xdr:rowOff>
                  </to>
                </anchor>
              </controlPr>
            </control>
          </mc:Choice>
        </mc:AlternateContent>
        <mc:AlternateContent xmlns:mc="http://schemas.openxmlformats.org/markup-compatibility/2006">
          <mc:Choice Requires="x14">
            <control shapeId="25644" r:id="rId30" name="Check Box 44">
              <controlPr defaultSize="0" autoFill="0" autoLine="0" autoPict="0">
                <anchor moveWithCells="1">
                  <from>
                    <xdr:col>0</xdr:col>
                    <xdr:colOff>28575</xdr:colOff>
                    <xdr:row>113</xdr:row>
                    <xdr:rowOff>47625</xdr:rowOff>
                  </from>
                  <to>
                    <xdr:col>1</xdr:col>
                    <xdr:colOff>85725</xdr:colOff>
                    <xdr:row>114</xdr:row>
                    <xdr:rowOff>19050</xdr:rowOff>
                  </to>
                </anchor>
              </controlPr>
            </control>
          </mc:Choice>
        </mc:AlternateContent>
        <mc:AlternateContent xmlns:mc="http://schemas.openxmlformats.org/markup-compatibility/2006">
          <mc:Choice Requires="x14">
            <control shapeId="25645" r:id="rId31" name="Check Box 45">
              <controlPr defaultSize="0" autoFill="0" autoLine="0" autoPict="0">
                <anchor moveWithCells="1">
                  <from>
                    <xdr:col>0</xdr:col>
                    <xdr:colOff>28575</xdr:colOff>
                    <xdr:row>115</xdr:row>
                    <xdr:rowOff>47625</xdr:rowOff>
                  </from>
                  <to>
                    <xdr:col>1</xdr:col>
                    <xdr:colOff>85725</xdr:colOff>
                    <xdr:row>116</xdr:row>
                    <xdr:rowOff>9525</xdr:rowOff>
                  </to>
                </anchor>
              </controlPr>
            </control>
          </mc:Choice>
        </mc:AlternateContent>
        <mc:AlternateContent xmlns:mc="http://schemas.openxmlformats.org/markup-compatibility/2006">
          <mc:Choice Requires="x14">
            <control shapeId="25646" r:id="rId32" name="Check Box 46">
              <controlPr defaultSize="0" autoFill="0" autoLine="0" autoPict="0">
                <anchor moveWithCells="1">
                  <from>
                    <xdr:col>0</xdr:col>
                    <xdr:colOff>28575</xdr:colOff>
                    <xdr:row>117</xdr:row>
                    <xdr:rowOff>47625</xdr:rowOff>
                  </from>
                  <to>
                    <xdr:col>1</xdr:col>
                    <xdr:colOff>85725</xdr:colOff>
                    <xdr:row>117</xdr:row>
                    <xdr:rowOff>276225</xdr:rowOff>
                  </to>
                </anchor>
              </controlPr>
            </control>
          </mc:Choice>
        </mc:AlternateContent>
        <mc:AlternateContent xmlns:mc="http://schemas.openxmlformats.org/markup-compatibility/2006">
          <mc:Choice Requires="x14">
            <control shapeId="25647" r:id="rId33" name="Check Box 47">
              <controlPr defaultSize="0" autoFill="0" autoLine="0" autoPict="0">
                <anchor moveWithCells="1">
                  <from>
                    <xdr:col>0</xdr:col>
                    <xdr:colOff>28575</xdr:colOff>
                    <xdr:row>116</xdr:row>
                    <xdr:rowOff>47625</xdr:rowOff>
                  </from>
                  <to>
                    <xdr:col>1</xdr:col>
                    <xdr:colOff>85725</xdr:colOff>
                    <xdr:row>117</xdr:row>
                    <xdr:rowOff>9525</xdr:rowOff>
                  </to>
                </anchor>
              </controlPr>
            </control>
          </mc:Choice>
        </mc:AlternateContent>
        <mc:AlternateContent xmlns:mc="http://schemas.openxmlformats.org/markup-compatibility/2006">
          <mc:Choice Requires="x14">
            <control shapeId="25648" r:id="rId34" name="Check Box 48">
              <controlPr defaultSize="0" autoFill="0" autoLine="0" autoPict="0">
                <anchor moveWithCells="1">
                  <from>
                    <xdr:col>0</xdr:col>
                    <xdr:colOff>28575</xdr:colOff>
                    <xdr:row>128</xdr:row>
                    <xdr:rowOff>47625</xdr:rowOff>
                  </from>
                  <to>
                    <xdr:col>1</xdr:col>
                    <xdr:colOff>85725</xdr:colOff>
                    <xdr:row>128</xdr:row>
                    <xdr:rowOff>276225</xdr:rowOff>
                  </to>
                </anchor>
              </controlPr>
            </control>
          </mc:Choice>
        </mc:AlternateContent>
        <mc:AlternateContent xmlns:mc="http://schemas.openxmlformats.org/markup-compatibility/2006">
          <mc:Choice Requires="x14">
            <control shapeId="25649" r:id="rId35" name="Check Box 49">
              <controlPr defaultSize="0" autoFill="0" autoLine="0" autoPict="0">
                <anchor moveWithCells="1">
                  <from>
                    <xdr:col>0</xdr:col>
                    <xdr:colOff>28575</xdr:colOff>
                    <xdr:row>133</xdr:row>
                    <xdr:rowOff>0</xdr:rowOff>
                  </from>
                  <to>
                    <xdr:col>1</xdr:col>
                    <xdr:colOff>85725</xdr:colOff>
                    <xdr:row>134</xdr:row>
                    <xdr:rowOff>9525</xdr:rowOff>
                  </to>
                </anchor>
              </controlPr>
            </control>
          </mc:Choice>
        </mc:AlternateContent>
        <mc:AlternateContent xmlns:mc="http://schemas.openxmlformats.org/markup-compatibility/2006">
          <mc:Choice Requires="x14">
            <control shapeId="25650" r:id="rId36" name="Check Box 50">
              <controlPr defaultSize="0" autoFill="0" autoLine="0" autoPict="0">
                <anchor moveWithCells="1">
                  <from>
                    <xdr:col>0</xdr:col>
                    <xdr:colOff>28575</xdr:colOff>
                    <xdr:row>133</xdr:row>
                    <xdr:rowOff>0</xdr:rowOff>
                  </from>
                  <to>
                    <xdr:col>1</xdr:col>
                    <xdr:colOff>85725</xdr:colOff>
                    <xdr:row>134</xdr:row>
                    <xdr:rowOff>9525</xdr:rowOff>
                  </to>
                </anchor>
              </controlPr>
            </control>
          </mc:Choice>
        </mc:AlternateContent>
        <mc:AlternateContent xmlns:mc="http://schemas.openxmlformats.org/markup-compatibility/2006">
          <mc:Choice Requires="x14">
            <control shapeId="25651" r:id="rId37" name="Check Box 51">
              <controlPr defaultSize="0" autoFill="0" autoLine="0" autoPict="0">
                <anchor moveWithCells="1">
                  <from>
                    <xdr:col>0</xdr:col>
                    <xdr:colOff>28575</xdr:colOff>
                    <xdr:row>118</xdr:row>
                    <xdr:rowOff>47625</xdr:rowOff>
                  </from>
                  <to>
                    <xdr:col>1</xdr:col>
                    <xdr:colOff>85725</xdr:colOff>
                    <xdr:row>118</xdr:row>
                    <xdr:rowOff>295275</xdr:rowOff>
                  </to>
                </anchor>
              </controlPr>
            </control>
          </mc:Choice>
        </mc:AlternateContent>
        <mc:AlternateContent xmlns:mc="http://schemas.openxmlformats.org/markup-compatibility/2006">
          <mc:Choice Requires="x14">
            <control shapeId="25654" r:id="rId38" name="Check Box 54">
              <controlPr defaultSize="0" autoFill="0" autoLine="0" autoPict="0">
                <anchor moveWithCells="1">
                  <from>
                    <xdr:col>0</xdr:col>
                    <xdr:colOff>38100</xdr:colOff>
                    <xdr:row>63</xdr:row>
                    <xdr:rowOff>9525</xdr:rowOff>
                  </from>
                  <to>
                    <xdr:col>1</xdr:col>
                    <xdr:colOff>85725</xdr:colOff>
                    <xdr:row>63</xdr:row>
                    <xdr:rowOff>238125</xdr:rowOff>
                  </to>
                </anchor>
              </controlPr>
            </control>
          </mc:Choice>
        </mc:AlternateContent>
        <mc:AlternateContent xmlns:mc="http://schemas.openxmlformats.org/markup-compatibility/2006">
          <mc:Choice Requires="x14">
            <control shapeId="25655" r:id="rId39" name="Check Box 55">
              <controlPr defaultSize="0" autoFill="0" autoLine="0" autoPict="0">
                <anchor moveWithCells="1">
                  <from>
                    <xdr:col>6</xdr:col>
                    <xdr:colOff>95250</xdr:colOff>
                    <xdr:row>65</xdr:row>
                    <xdr:rowOff>9525</xdr:rowOff>
                  </from>
                  <to>
                    <xdr:col>6</xdr:col>
                    <xdr:colOff>428625</xdr:colOff>
                    <xdr:row>65</xdr:row>
                    <xdr:rowOff>238125</xdr:rowOff>
                  </to>
                </anchor>
              </controlPr>
            </control>
          </mc:Choice>
        </mc:AlternateContent>
        <mc:AlternateContent xmlns:mc="http://schemas.openxmlformats.org/markup-compatibility/2006">
          <mc:Choice Requires="x14">
            <control shapeId="25656" r:id="rId40" name="Check Box 56">
              <controlPr defaultSize="0" autoFill="0" autoLine="0" autoPict="0">
                <anchor moveWithCells="1">
                  <from>
                    <xdr:col>6</xdr:col>
                    <xdr:colOff>95250</xdr:colOff>
                    <xdr:row>66</xdr:row>
                    <xdr:rowOff>9525</xdr:rowOff>
                  </from>
                  <to>
                    <xdr:col>6</xdr:col>
                    <xdr:colOff>428625</xdr:colOff>
                    <xdr:row>66</xdr:row>
                    <xdr:rowOff>238125</xdr:rowOff>
                  </to>
                </anchor>
              </controlPr>
            </control>
          </mc:Choice>
        </mc:AlternateContent>
        <mc:AlternateContent xmlns:mc="http://schemas.openxmlformats.org/markup-compatibility/2006">
          <mc:Choice Requires="x14">
            <control shapeId="25657" r:id="rId41" name="Check Box 57">
              <controlPr defaultSize="0" autoFill="0" autoLine="0" autoPict="0">
                <anchor moveWithCells="1">
                  <from>
                    <xdr:col>6</xdr:col>
                    <xdr:colOff>95250</xdr:colOff>
                    <xdr:row>67</xdr:row>
                    <xdr:rowOff>9525</xdr:rowOff>
                  </from>
                  <to>
                    <xdr:col>6</xdr:col>
                    <xdr:colOff>428625</xdr:colOff>
                    <xdr:row>67</xdr:row>
                    <xdr:rowOff>238125</xdr:rowOff>
                  </to>
                </anchor>
              </controlPr>
            </control>
          </mc:Choice>
        </mc:AlternateContent>
        <mc:AlternateContent xmlns:mc="http://schemas.openxmlformats.org/markup-compatibility/2006">
          <mc:Choice Requires="x14">
            <control shapeId="25658" r:id="rId42" name="Check Box 58">
              <controlPr defaultSize="0" autoFill="0" autoLine="0" autoPict="0">
                <anchor moveWithCells="1">
                  <from>
                    <xdr:col>6</xdr:col>
                    <xdr:colOff>95250</xdr:colOff>
                    <xdr:row>68</xdr:row>
                    <xdr:rowOff>9525</xdr:rowOff>
                  </from>
                  <to>
                    <xdr:col>6</xdr:col>
                    <xdr:colOff>428625</xdr:colOff>
                    <xdr:row>68</xdr:row>
                    <xdr:rowOff>238125</xdr:rowOff>
                  </to>
                </anchor>
              </controlPr>
            </control>
          </mc:Choice>
        </mc:AlternateContent>
        <mc:AlternateContent xmlns:mc="http://schemas.openxmlformats.org/markup-compatibility/2006">
          <mc:Choice Requires="x14">
            <control shapeId="25659" r:id="rId43" name="Check Box 59">
              <controlPr defaultSize="0" autoFill="0" autoLine="0" autoPict="0">
                <anchor moveWithCells="1">
                  <from>
                    <xdr:col>6</xdr:col>
                    <xdr:colOff>95250</xdr:colOff>
                    <xdr:row>69</xdr:row>
                    <xdr:rowOff>9525</xdr:rowOff>
                  </from>
                  <to>
                    <xdr:col>6</xdr:col>
                    <xdr:colOff>428625</xdr:colOff>
                    <xdr:row>69</xdr:row>
                    <xdr:rowOff>238125</xdr:rowOff>
                  </to>
                </anchor>
              </controlPr>
            </control>
          </mc:Choice>
        </mc:AlternateContent>
        <mc:AlternateContent xmlns:mc="http://schemas.openxmlformats.org/markup-compatibility/2006">
          <mc:Choice Requires="x14">
            <control shapeId="25660" r:id="rId44" name="Check Box 60">
              <controlPr defaultSize="0" autoFill="0" autoLine="0" autoPict="0">
                <anchor moveWithCells="1">
                  <from>
                    <xdr:col>0</xdr:col>
                    <xdr:colOff>38100</xdr:colOff>
                    <xdr:row>65</xdr:row>
                    <xdr:rowOff>9525</xdr:rowOff>
                  </from>
                  <to>
                    <xdr:col>1</xdr:col>
                    <xdr:colOff>85725</xdr:colOff>
                    <xdr:row>65</xdr:row>
                    <xdr:rowOff>238125</xdr:rowOff>
                  </to>
                </anchor>
              </controlPr>
            </control>
          </mc:Choice>
        </mc:AlternateContent>
        <mc:AlternateContent xmlns:mc="http://schemas.openxmlformats.org/markup-compatibility/2006">
          <mc:Choice Requires="x14">
            <control shapeId="25661" r:id="rId45" name="Check Box 61">
              <controlPr defaultSize="0" autoFill="0" autoLine="0" autoPict="0">
                <anchor moveWithCells="1">
                  <from>
                    <xdr:col>0</xdr:col>
                    <xdr:colOff>38100</xdr:colOff>
                    <xdr:row>66</xdr:row>
                    <xdr:rowOff>9525</xdr:rowOff>
                  </from>
                  <to>
                    <xdr:col>1</xdr:col>
                    <xdr:colOff>85725</xdr:colOff>
                    <xdr:row>66</xdr:row>
                    <xdr:rowOff>238125</xdr:rowOff>
                  </to>
                </anchor>
              </controlPr>
            </control>
          </mc:Choice>
        </mc:AlternateContent>
        <mc:AlternateContent xmlns:mc="http://schemas.openxmlformats.org/markup-compatibility/2006">
          <mc:Choice Requires="x14">
            <control shapeId="25662" r:id="rId46" name="Check Box 62">
              <controlPr defaultSize="0" autoFill="0" autoLine="0" autoPict="0">
                <anchor moveWithCells="1">
                  <from>
                    <xdr:col>0</xdr:col>
                    <xdr:colOff>38100</xdr:colOff>
                    <xdr:row>67</xdr:row>
                    <xdr:rowOff>9525</xdr:rowOff>
                  </from>
                  <to>
                    <xdr:col>1</xdr:col>
                    <xdr:colOff>85725</xdr:colOff>
                    <xdr:row>67</xdr:row>
                    <xdr:rowOff>238125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043D-5D4D-41B1-A7D0-FBE6A36531A6}">
  <sheetPr codeName="Sheet9">
    <outlinePr summaryBelow="0" summaryRight="0"/>
    <pageSetUpPr fitToPage="1"/>
  </sheetPr>
  <dimension ref="A1:AB1007"/>
  <sheetViews>
    <sheetView topLeftCell="B1" zoomScaleNormal="100" workbookViewId="0">
      <selection activeCell="C16" sqref="C16"/>
    </sheetView>
  </sheetViews>
  <sheetFormatPr defaultColWidth="12.42578125" defaultRowHeight="15.75" customHeight="1"/>
  <cols>
    <col min="1" max="1" width="4.42578125" style="6" customWidth="1"/>
    <col min="2" max="2" width="15.42578125" style="6" customWidth="1"/>
    <col min="3" max="5" width="18.42578125" style="6" customWidth="1"/>
    <col min="6" max="6" width="11.42578125" style="6" customWidth="1"/>
    <col min="7" max="7" width="22.42578125" style="6" customWidth="1"/>
    <col min="8" max="8" width="27.42578125" style="6" customWidth="1"/>
    <col min="9" max="9" width="33" style="6" customWidth="1"/>
    <col min="10" max="10" width="16.140625" style="6" customWidth="1"/>
    <col min="11" max="11" width="4.42578125" style="6" customWidth="1"/>
    <col min="12" max="12" width="12.42578125" style="6"/>
    <col min="13" max="13" width="15.42578125" style="6" customWidth="1"/>
    <col min="14" max="16384" width="12.42578125" style="6"/>
  </cols>
  <sheetData>
    <row r="1" spans="1:28" ht="26.25" customHeight="1">
      <c r="A1" s="473"/>
      <c r="B1" s="474" t="s">
        <v>11</v>
      </c>
      <c r="C1" s="474"/>
      <c r="D1" s="474"/>
      <c r="E1" s="474"/>
      <c r="F1" s="474"/>
      <c r="G1" s="474"/>
      <c r="H1" s="474"/>
      <c r="I1" s="474"/>
      <c r="J1" s="474"/>
      <c r="K1" s="473"/>
    </row>
    <row r="2" spans="1:28" ht="26.25" customHeight="1">
      <c r="A2" s="473"/>
      <c r="B2" s="474" t="s">
        <v>12</v>
      </c>
      <c r="C2" s="474"/>
      <c r="D2" s="474"/>
      <c r="E2" s="474"/>
      <c r="F2" s="474"/>
      <c r="G2" s="474"/>
      <c r="H2" s="474"/>
      <c r="I2" s="474"/>
      <c r="J2" s="474"/>
      <c r="K2" s="473"/>
    </row>
    <row r="3" spans="1:28" ht="15" customHeight="1">
      <c r="A3" s="7"/>
      <c r="B3" s="8"/>
      <c r="C3" s="8"/>
      <c r="D3" s="8"/>
      <c r="E3" s="8"/>
      <c r="F3" s="8"/>
      <c r="G3" s="8"/>
      <c r="H3" s="8"/>
      <c r="I3" s="8"/>
      <c r="J3" s="8"/>
      <c r="K3" s="7"/>
    </row>
    <row r="4" spans="1:28" ht="42.75" customHeight="1">
      <c r="A4" s="7"/>
      <c r="B4" s="475" t="s">
        <v>13</v>
      </c>
      <c r="C4" s="475"/>
      <c r="D4" s="475"/>
      <c r="E4" s="475"/>
      <c r="F4" s="475"/>
      <c r="G4" s="475"/>
      <c r="H4" s="475"/>
      <c r="I4" s="475"/>
      <c r="J4" s="475"/>
      <c r="K4" s="7"/>
    </row>
    <row r="5" spans="1:28" ht="15" customHeight="1">
      <c r="A5" s="7"/>
      <c r="B5" s="8"/>
      <c r="C5" s="471"/>
      <c r="D5" s="472"/>
      <c r="E5" s="472"/>
      <c r="F5" s="472"/>
      <c r="G5" s="472"/>
      <c r="H5" s="472"/>
      <c r="I5" s="472"/>
      <c r="J5" s="472"/>
      <c r="K5" s="7"/>
    </row>
    <row r="6" spans="1:28" s="11" customFormat="1" ht="15" customHeight="1">
      <c r="A6" s="460"/>
      <c r="B6" s="461" t="s">
        <v>14</v>
      </c>
      <c r="C6" s="461"/>
      <c r="D6" s="461"/>
      <c r="E6" s="461"/>
      <c r="F6" s="461"/>
      <c r="G6" s="461"/>
      <c r="H6" s="461"/>
      <c r="I6" s="461"/>
      <c r="J6" s="461"/>
      <c r="K6" s="460"/>
      <c r="L6" s="462"/>
      <c r="M6" s="462"/>
      <c r="N6" s="462"/>
      <c r="O6" s="462"/>
      <c r="P6" s="462"/>
      <c r="Q6" s="462"/>
      <c r="R6" s="10"/>
      <c r="S6" s="10"/>
      <c r="T6" s="10"/>
      <c r="U6" s="10"/>
      <c r="V6" s="10"/>
      <c r="W6" s="10"/>
      <c r="X6" s="10"/>
      <c r="Y6" s="10"/>
      <c r="Z6" s="10"/>
      <c r="AA6" s="10"/>
      <c r="AB6" s="10"/>
    </row>
    <row r="7" spans="1:28" ht="15" customHeight="1">
      <c r="A7" s="460"/>
      <c r="B7" s="463" t="s">
        <v>15</v>
      </c>
      <c r="C7" s="463"/>
      <c r="D7" s="463"/>
      <c r="E7" s="463"/>
      <c r="F7" s="463"/>
      <c r="G7" s="463"/>
      <c r="H7" s="463"/>
      <c r="I7" s="463"/>
      <c r="J7" s="463"/>
      <c r="K7" s="460"/>
      <c r="L7" s="462"/>
      <c r="M7" s="462"/>
      <c r="N7" s="462"/>
      <c r="O7" s="462"/>
      <c r="P7" s="462"/>
      <c r="Q7" s="462"/>
      <c r="R7" s="12"/>
      <c r="S7" s="12"/>
      <c r="T7" s="12"/>
      <c r="U7" s="12"/>
      <c r="V7" s="12"/>
      <c r="W7" s="12"/>
      <c r="X7" s="12"/>
      <c r="Y7" s="12"/>
      <c r="Z7" s="12"/>
      <c r="AA7" s="12"/>
      <c r="AB7" s="12"/>
    </row>
    <row r="8" spans="1:28" ht="15" customHeight="1">
      <c r="A8" s="460"/>
      <c r="B8" s="463"/>
      <c r="C8" s="463"/>
      <c r="D8" s="463"/>
      <c r="E8" s="463"/>
      <c r="F8" s="463"/>
      <c r="G8" s="463"/>
      <c r="H8" s="463"/>
      <c r="I8" s="463"/>
      <c r="J8" s="463"/>
      <c r="K8" s="460"/>
      <c r="L8" s="464"/>
      <c r="M8" s="464"/>
      <c r="N8" s="464"/>
      <c r="O8" s="464"/>
      <c r="P8" s="464"/>
      <c r="Q8" s="464"/>
      <c r="R8" s="12"/>
      <c r="S8" s="12"/>
      <c r="T8" s="12"/>
      <c r="U8" s="12"/>
      <c r="V8" s="12"/>
      <c r="W8" s="12"/>
      <c r="X8" s="12"/>
      <c r="Y8" s="12"/>
      <c r="Z8" s="12"/>
      <c r="AA8" s="12"/>
      <c r="AB8" s="12"/>
    </row>
    <row r="9" spans="1:28" s="15" customFormat="1">
      <c r="A9" s="460"/>
      <c r="B9" s="13" t="s">
        <v>16</v>
      </c>
      <c r="C9" s="465" t="s">
        <v>17</v>
      </c>
      <c r="D9" s="466"/>
      <c r="E9" s="466"/>
      <c r="F9" s="466"/>
      <c r="G9" s="466"/>
      <c r="H9" s="466"/>
      <c r="I9" s="466"/>
      <c r="J9" s="466"/>
      <c r="K9" s="460"/>
      <c r="L9" s="467"/>
      <c r="M9" s="467"/>
      <c r="N9" s="467"/>
      <c r="O9" s="467"/>
      <c r="P9" s="467"/>
      <c r="Q9" s="467"/>
      <c r="R9" s="14"/>
      <c r="S9" s="14"/>
      <c r="T9" s="14"/>
      <c r="U9" s="14"/>
      <c r="V9" s="14"/>
      <c r="W9" s="14"/>
      <c r="X9" s="14"/>
      <c r="Y9" s="14"/>
      <c r="Z9" s="14"/>
      <c r="AA9" s="14"/>
      <c r="AB9" s="14"/>
    </row>
    <row r="10" spans="1:28" s="15" customFormat="1" ht="39.950000000000003" customHeight="1">
      <c r="A10" s="460"/>
      <c r="B10" s="16" t="s">
        <v>18</v>
      </c>
      <c r="C10" s="468" t="s">
        <v>19</v>
      </c>
      <c r="D10" s="468"/>
      <c r="E10" s="468"/>
      <c r="F10" s="468"/>
      <c r="G10" s="468"/>
      <c r="H10" s="468"/>
      <c r="I10" s="468"/>
      <c r="J10" s="468"/>
      <c r="K10" s="460"/>
      <c r="L10" s="14"/>
      <c r="M10" s="14"/>
      <c r="N10" s="14"/>
      <c r="O10" s="14"/>
      <c r="P10" s="14"/>
      <c r="Q10" s="14"/>
      <c r="R10" s="14"/>
      <c r="S10" s="14"/>
      <c r="T10" s="14"/>
      <c r="U10" s="14"/>
      <c r="V10" s="14"/>
      <c r="W10" s="14"/>
      <c r="X10" s="14"/>
      <c r="Y10" s="14"/>
      <c r="Z10" s="14"/>
      <c r="AA10" s="14"/>
      <c r="AB10" s="14"/>
    </row>
    <row r="11" spans="1:28" s="15" customFormat="1" ht="15" customHeight="1">
      <c r="A11" s="460"/>
      <c r="B11" s="13" t="s">
        <v>20</v>
      </c>
      <c r="C11" s="465" t="s">
        <v>21</v>
      </c>
      <c r="D11" s="466"/>
      <c r="E11" s="466"/>
      <c r="F11" s="466"/>
      <c r="G11" s="466"/>
      <c r="H11" s="466"/>
      <c r="I11" s="466"/>
      <c r="J11" s="466"/>
      <c r="K11" s="460"/>
      <c r="L11" s="14"/>
      <c r="M11" s="14"/>
      <c r="N11" s="14"/>
      <c r="O11" s="14"/>
      <c r="P11" s="14"/>
      <c r="Q11" s="14"/>
      <c r="R11" s="14"/>
      <c r="S11" s="14"/>
      <c r="T11" s="14"/>
      <c r="U11" s="14"/>
      <c r="V11" s="14"/>
      <c r="W11" s="14"/>
      <c r="X11" s="14"/>
      <c r="Y11" s="14"/>
      <c r="Z11" s="14"/>
      <c r="AA11" s="14"/>
      <c r="AB11" s="14"/>
    </row>
    <row r="12" spans="1:28" ht="15" customHeight="1">
      <c r="A12" s="460"/>
      <c r="B12" s="17"/>
      <c r="C12" s="469"/>
      <c r="D12" s="469"/>
      <c r="E12" s="469"/>
      <c r="F12" s="469"/>
      <c r="G12" s="469"/>
      <c r="H12" s="469"/>
      <c r="I12" s="469"/>
      <c r="J12" s="469"/>
      <c r="K12" s="460"/>
      <c r="L12" s="9"/>
      <c r="M12" s="9"/>
      <c r="N12" s="9"/>
      <c r="O12" s="9"/>
      <c r="P12" s="9"/>
      <c r="Q12" s="9"/>
      <c r="R12" s="9"/>
      <c r="S12" s="9"/>
      <c r="T12" s="9"/>
      <c r="U12" s="9"/>
      <c r="V12" s="9"/>
      <c r="W12" s="9"/>
      <c r="X12" s="9"/>
      <c r="Y12" s="9"/>
      <c r="Z12" s="9"/>
      <c r="AA12" s="9"/>
      <c r="AB12" s="9"/>
    </row>
    <row r="13" spans="1:28" ht="15" customHeight="1" thickBot="1">
      <c r="A13" s="460"/>
      <c r="B13" s="470" t="s">
        <v>22</v>
      </c>
      <c r="C13" s="470"/>
      <c r="D13" s="470"/>
      <c r="E13" s="470"/>
      <c r="F13" s="470"/>
      <c r="G13" s="470"/>
      <c r="H13" s="470"/>
      <c r="I13" s="470"/>
      <c r="J13" s="18"/>
      <c r="K13" s="460"/>
      <c r="L13" s="12"/>
      <c r="M13" s="12"/>
      <c r="N13" s="12"/>
      <c r="O13" s="12"/>
      <c r="P13" s="12"/>
      <c r="Q13" s="12"/>
      <c r="R13" s="12"/>
      <c r="S13" s="12"/>
      <c r="T13" s="12"/>
      <c r="U13" s="12"/>
      <c r="V13" s="12"/>
      <c r="W13" s="12"/>
      <c r="X13" s="12"/>
      <c r="Y13" s="12"/>
      <c r="Z13" s="12"/>
      <c r="AA13" s="12"/>
      <c r="AB13" s="12"/>
    </row>
    <row r="14" spans="1:28" ht="79.5" customHeight="1">
      <c r="A14" s="460"/>
      <c r="B14" s="19" t="s">
        <v>23</v>
      </c>
      <c r="C14" s="20" t="s">
        <v>24</v>
      </c>
      <c r="D14" s="21" t="s">
        <v>25</v>
      </c>
      <c r="E14" s="22" t="s">
        <v>26</v>
      </c>
      <c r="F14" s="23" t="s">
        <v>27</v>
      </c>
      <c r="G14" s="24" t="s">
        <v>28</v>
      </c>
      <c r="H14" s="25" t="s">
        <v>29</v>
      </c>
      <c r="I14" s="26" t="s">
        <v>30</v>
      </c>
      <c r="J14" s="27" t="s">
        <v>31</v>
      </c>
      <c r="K14" s="460"/>
      <c r="L14" s="12"/>
      <c r="M14" s="12"/>
      <c r="N14" s="12"/>
      <c r="O14" s="12"/>
      <c r="P14" s="12"/>
      <c r="Q14" s="12"/>
      <c r="R14" s="12"/>
      <c r="S14" s="12"/>
      <c r="T14" s="12"/>
      <c r="U14" s="12"/>
      <c r="V14" s="12"/>
      <c r="W14" s="12"/>
      <c r="X14" s="12"/>
      <c r="Y14" s="12"/>
      <c r="Z14" s="12"/>
      <c r="AA14" s="12"/>
      <c r="AB14" s="12"/>
    </row>
    <row r="15" spans="1:28" ht="15" customHeight="1">
      <c r="A15" s="460"/>
      <c r="B15" s="28" t="s">
        <v>32</v>
      </c>
      <c r="C15" s="29">
        <f>FLEX_table!$H2</f>
        <v>0</v>
      </c>
      <c r="D15" s="30"/>
      <c r="E15" s="31" t="str">
        <f xml:space="preserve"> IF(ISBLANK(Table_2[[#This Row],[Post-Hybridization Sample Volume
]]),"",        IF((C15*D15)&gt;0,C15*D15,))</f>
        <v/>
      </c>
      <c r="F15" s="32" t="str">
        <f>IF(ISBLANK(Table_2[[#This Row],[Post-Hybridization Sample Volume
]]),"",1/(COUNT($E$15:$E$30)))</f>
        <v/>
      </c>
      <c r="G15" s="31" t="str">
        <f>IF(ISBLANK(Table_2[[#This Row],[Post-Hybridization Sample Volume
]]),"",MIN($E$15:$E$30))</f>
        <v/>
      </c>
      <c r="H15" s="33" t="str">
        <f>IF(ISBLANK(Table_2[[#This Row],[Post-Hybridization Sample Volume
]]),"",G15/C15)</f>
        <v/>
      </c>
      <c r="I15" s="34" t="str">
        <f>IF(ISBLANK(Table_2[[#This Row],[Post-Hybridization Sample Volume
]]),"",(IF($B$34&gt;4,F15/MAX($F$15:$F$30)*8000,F15/MAX($F$15:$F$30)*10000)))</f>
        <v/>
      </c>
      <c r="J15" s="35" t="str">
        <f>IF(ISBLANK(Table_2[[#This Row],[Post-Hybridization Sample Volume
]]),"", IF(G15&gt;I15*1.65/0.8,I15, ($C$34/SUM($I$15:$I$30)*I15)*0.8/1.65))</f>
        <v/>
      </c>
      <c r="K15" s="460"/>
    </row>
    <row r="16" spans="1:28" ht="15" customHeight="1">
      <c r="A16" s="460"/>
      <c r="B16" s="36" t="s">
        <v>33</v>
      </c>
      <c r="C16" s="37">
        <f>FLEX_table!$H3</f>
        <v>0</v>
      </c>
      <c r="D16" s="38"/>
      <c r="E16" s="39" t="str">
        <f xml:space="preserve"> IF(ISBLANK(Table_2[[#This Row],[Post-Hybridization Sample Volume
]]),"",        IF((C16*D16)&gt;0,C16*D16,))</f>
        <v/>
      </c>
      <c r="F16" s="40" t="str">
        <f>IF(ISBLANK(Table_2[[#This Row],[Post-Hybridization Sample Volume
]]),"",1/(COUNT($E$15:$E$30)))</f>
        <v/>
      </c>
      <c r="G16" s="39" t="str">
        <f>IF(ISBLANK(Table_2[[#This Row],[Post-Hybridization Sample Volume
]]),"",MIN($E$15:$E$30))</f>
        <v/>
      </c>
      <c r="H16" s="41" t="str">
        <f>IF(ISBLANK(Table_2[[#This Row],[Post-Hybridization Sample Volume
]]),"",G16/C16)</f>
        <v/>
      </c>
      <c r="I16" s="42" t="str">
        <f>IF(ISBLANK(Table_2[[#This Row],[Post-Hybridization Sample Volume
]]),"",(IF($B$34&gt;4,F16/MAX($F$15:$F$30)*8000,F16/MAX($F$15:$F$30)*10000)))</f>
        <v/>
      </c>
      <c r="J16" s="35" t="str">
        <f>IF(ISBLANK(Table_2[[#This Row],[Post-Hybridization Sample Volume
]]),"", IF(G16&gt;I16*1.65/0.8,I16, ($C$34/SUM($I$15:$I$30)*I16)*0.8/1.65))</f>
        <v/>
      </c>
      <c r="K16" s="460"/>
    </row>
    <row r="17" spans="1:12" ht="15" customHeight="1">
      <c r="A17" s="460"/>
      <c r="B17" s="28" t="s">
        <v>34</v>
      </c>
      <c r="C17" s="29">
        <f>FLEX_table!$H4</f>
        <v>0</v>
      </c>
      <c r="D17" s="30"/>
      <c r="E17" s="31" t="str">
        <f xml:space="preserve"> IF(ISBLANK(Table_2[[#This Row],[Post-Hybridization Sample Volume
]]),"",        IF((C17*D17)&gt;0,C17*D17,))</f>
        <v/>
      </c>
      <c r="F17" s="32" t="str">
        <f>IF(ISBLANK(Table_2[[#This Row],[Post-Hybridization Sample Volume
]]),"",1/(COUNT($E$15:$E$30)))</f>
        <v/>
      </c>
      <c r="G17" s="31" t="str">
        <f>IF(ISBLANK(Table_2[[#This Row],[Post-Hybridization Sample Volume
]]),"",MIN($E$15:$E$30))</f>
        <v/>
      </c>
      <c r="H17" s="33" t="str">
        <f>IF(ISBLANK(Table_2[[#This Row],[Post-Hybridization Sample Volume
]]),"",G17/C17)</f>
        <v/>
      </c>
      <c r="I17" s="34" t="str">
        <f>IF(ISBLANK(Table_2[[#This Row],[Post-Hybridization Sample Volume
]]),"",(IF($B$34&gt;4,F17/MAX($F$15:$F$30)*8000,F17/MAX($F$15:$F$30)*10000)))</f>
        <v/>
      </c>
      <c r="J17" s="35" t="str">
        <f>IF(ISBLANK(Table_2[[#This Row],[Post-Hybridization Sample Volume
]]),"", IF(G17&gt;I17*1.65/0.8,I17, ($C$34/SUM($I$15:$I$30)*I17)*0.8/1.65))</f>
        <v/>
      </c>
      <c r="K17" s="460"/>
    </row>
    <row r="18" spans="1:12" ht="15" customHeight="1">
      <c r="A18" s="460"/>
      <c r="B18" s="36" t="s">
        <v>35</v>
      </c>
      <c r="C18" s="37">
        <f>FLEX_table!$H5</f>
        <v>0</v>
      </c>
      <c r="D18" s="38"/>
      <c r="E18" s="39" t="str">
        <f xml:space="preserve"> IF(ISBLANK(Table_2[[#This Row],[Post-Hybridization Sample Volume
]]),"",        IF((C18*D18)&gt;0,C18*D18,))</f>
        <v/>
      </c>
      <c r="F18" s="40" t="str">
        <f>IF(ISBLANK(Table_2[[#This Row],[Post-Hybridization Sample Volume
]]),"",1/(COUNT($E$15:$E$30)))</f>
        <v/>
      </c>
      <c r="G18" s="39" t="str">
        <f>IF(ISBLANK(Table_2[[#This Row],[Post-Hybridization Sample Volume
]]),"",MIN($E$15:$E$30))</f>
        <v/>
      </c>
      <c r="H18" s="41" t="str">
        <f>IF(ISBLANK(Table_2[[#This Row],[Post-Hybridization Sample Volume
]]),"",G18/C18)</f>
        <v/>
      </c>
      <c r="I18" s="42" t="str">
        <f>IF(ISBLANK(Table_2[[#This Row],[Post-Hybridization Sample Volume
]]),"",(IF($B$34&gt;4,F18/MAX($F$15:$F$30)*8000,F18/MAX($F$15:$F$30)*10000)))</f>
        <v/>
      </c>
      <c r="J18" s="35" t="str">
        <f>IF(ISBLANK(Table_2[[#This Row],[Post-Hybridization Sample Volume
]]),"", IF(G18&gt;I18*1.65/0.8,I18, ($C$34/SUM($I$15:$I$30)*I18)*0.8/1.65))</f>
        <v/>
      </c>
      <c r="K18" s="460"/>
    </row>
    <row r="19" spans="1:12" ht="15" customHeight="1">
      <c r="A19" s="460"/>
      <c r="B19" s="28" t="s">
        <v>36</v>
      </c>
      <c r="C19" s="29">
        <f>FLEX_table!$H6</f>
        <v>0</v>
      </c>
      <c r="D19" s="30"/>
      <c r="E19" s="31" t="str">
        <f xml:space="preserve"> IF(ISBLANK(Table_2[[#This Row],[Post-Hybridization Sample Volume
]]),"",        IF((C19*D19)&gt;0,C19*D19,))</f>
        <v/>
      </c>
      <c r="F19" s="32" t="str">
        <f>IF(ISBLANK(Table_2[[#This Row],[Post-Hybridization Sample Volume
]]),"",1/(COUNT($E$15:$E$30)))</f>
        <v/>
      </c>
      <c r="G19" s="31" t="str">
        <f>IF(ISBLANK(Table_2[[#This Row],[Post-Hybridization Sample Volume
]]),"",MIN($E$15:$E$30))</f>
        <v/>
      </c>
      <c r="H19" s="43" t="str">
        <f>IF(ISBLANK(Table_2[[#This Row],[Post-Hybridization Sample Volume
]]),"",G19/C19)</f>
        <v/>
      </c>
      <c r="I19" s="34" t="str">
        <f>IF(ISBLANK(Table_2[[#This Row],[Post-Hybridization Sample Volume
]]),"",(IF($B$34&gt;4,F19/MAX($F$15:$F$30)*8000,F19/MAX($F$15:$F$30)*10000)))</f>
        <v/>
      </c>
      <c r="J19" s="35" t="str">
        <f>IF(ISBLANK(Table_2[[#This Row],[Post-Hybridization Sample Volume
]]),"", IF(G19&gt;I19*1.65/0.8,I19, ($C$34/SUM($I$15:$I$30)*I19)*0.8/1.65))</f>
        <v/>
      </c>
      <c r="K19" s="460"/>
    </row>
    <row r="20" spans="1:12" ht="15" customHeight="1">
      <c r="A20" s="460"/>
      <c r="B20" s="36" t="s">
        <v>37</v>
      </c>
      <c r="C20" s="37">
        <f>FLEX_table!$H7</f>
        <v>0</v>
      </c>
      <c r="D20" s="38"/>
      <c r="E20" s="39" t="str">
        <f xml:space="preserve"> IF(ISBLANK(Table_2[[#This Row],[Post-Hybridization Sample Volume
]]),"",        IF((C20*D20)&gt;0,C20*D20,))</f>
        <v/>
      </c>
      <c r="F20" s="40" t="str">
        <f>IF(ISBLANK(Table_2[[#This Row],[Post-Hybridization Sample Volume
]]),"",1/(COUNT($E$15:$E$30)))</f>
        <v/>
      </c>
      <c r="G20" s="39" t="str">
        <f>IF(ISBLANK(Table_2[[#This Row],[Post-Hybridization Sample Volume
]]),"",MIN($E$15:$E$30))</f>
        <v/>
      </c>
      <c r="H20" s="41" t="str">
        <f>IF(ISBLANK(Table_2[[#This Row],[Post-Hybridization Sample Volume
]]),"",G20/C20)</f>
        <v/>
      </c>
      <c r="I20" s="42" t="str">
        <f>IF(ISBLANK(Table_2[[#This Row],[Post-Hybridization Sample Volume
]]),"",(IF($B$34&gt;4,F20/MAX($F$15:$F$30)*8000,F20/MAX($F$15:$F$30)*10000)))</f>
        <v/>
      </c>
      <c r="J20" s="35" t="str">
        <f>IF(ISBLANK(Table_2[[#This Row],[Post-Hybridization Sample Volume
]]),"", IF(G20&gt;I20*1.65/0.8,I20, ($C$34/SUM($I$15:$I$30)*I20)*0.8/1.65))</f>
        <v/>
      </c>
      <c r="K20" s="460"/>
    </row>
    <row r="21" spans="1:12" ht="15" customHeight="1">
      <c r="A21" s="460"/>
      <c r="B21" s="28" t="s">
        <v>38</v>
      </c>
      <c r="C21" s="29">
        <f>FLEX_table!$H8</f>
        <v>0</v>
      </c>
      <c r="D21" s="30"/>
      <c r="E21" s="31" t="str">
        <f xml:space="preserve"> IF(ISBLANK(Table_2[[#This Row],[Post-Hybridization Sample Volume
]]),"",        IF((C21*D21)&gt;0,C21*D21,))</f>
        <v/>
      </c>
      <c r="F21" s="32" t="str">
        <f>IF(ISBLANK(Table_2[[#This Row],[Post-Hybridization Sample Volume
]]),"",1/(COUNT($E$15:$E$30)))</f>
        <v/>
      </c>
      <c r="G21" s="31" t="str">
        <f>IF(ISBLANK(Table_2[[#This Row],[Post-Hybridization Sample Volume
]]),"",MIN($E$15:$E$30))</f>
        <v/>
      </c>
      <c r="H21" s="33" t="str">
        <f>IF(ISBLANK(Table_2[[#This Row],[Post-Hybridization Sample Volume
]]),"",G21/C21)</f>
        <v/>
      </c>
      <c r="I21" s="34" t="str">
        <f>IF(ISBLANK(Table_2[[#This Row],[Post-Hybridization Sample Volume
]]),"",(IF($B$34&gt;4,F21/MAX($F$15:$F$30)*8000,F21/MAX($F$15:$F$30)*10000)))</f>
        <v/>
      </c>
      <c r="J21" s="35" t="str">
        <f>IF(ISBLANK(Table_2[[#This Row],[Post-Hybridization Sample Volume
]]),"", IF(G21&gt;I21*1.65/0.8,I21, ($C$34/SUM($I$15:$I$30)*I21)*0.8/1.65))</f>
        <v/>
      </c>
      <c r="K21" s="460"/>
    </row>
    <row r="22" spans="1:12" ht="15" customHeight="1">
      <c r="A22" s="460"/>
      <c r="B22" s="36" t="s">
        <v>39</v>
      </c>
      <c r="C22" s="37">
        <f>FLEX_table!$H9</f>
        <v>0</v>
      </c>
      <c r="D22" s="38"/>
      <c r="E22" s="39" t="str">
        <f xml:space="preserve"> IF(ISBLANK(Table_2[[#This Row],[Post-Hybridization Sample Volume
]]),"",        IF((C22*D22)&gt;0,C22*D22,))</f>
        <v/>
      </c>
      <c r="F22" s="40" t="str">
        <f>IF(ISBLANK(Table_2[[#This Row],[Post-Hybridization Sample Volume
]]),"",1/(COUNT($E$15:$E$30)))</f>
        <v/>
      </c>
      <c r="G22" s="39" t="str">
        <f>IF(ISBLANK(Table_2[[#This Row],[Post-Hybridization Sample Volume
]]),"",MIN($E$15:$E$30))</f>
        <v/>
      </c>
      <c r="H22" s="41" t="str">
        <f>IF(ISBLANK(Table_2[[#This Row],[Post-Hybridization Sample Volume
]]),"",G22/C22)</f>
        <v/>
      </c>
      <c r="I22" s="42" t="str">
        <f>IF(ISBLANK(Table_2[[#This Row],[Post-Hybridization Sample Volume
]]),"",(IF($B$34&gt;4,F22/MAX($F$15:$F$30)*8000,F22/MAX($F$15:$F$30)*10000)))</f>
        <v/>
      </c>
      <c r="J22" s="35" t="str">
        <f>IF(ISBLANK(Table_2[[#This Row],[Post-Hybridization Sample Volume
]]),"", IF(G22&gt;I22*1.65/0.8,I22, ($C$34/SUM($I$15:$I$30)*I22)*0.8/1.65))</f>
        <v/>
      </c>
      <c r="K22" s="460"/>
    </row>
    <row r="23" spans="1:12" ht="15" customHeight="1">
      <c r="A23" s="460"/>
      <c r="B23" s="28" t="s">
        <v>40</v>
      </c>
      <c r="C23" s="29">
        <f>FLEX_table!$H10</f>
        <v>0</v>
      </c>
      <c r="D23" s="30"/>
      <c r="E23" s="31" t="str">
        <f xml:space="preserve"> IF(ISBLANK(Table_2[[#This Row],[Post-Hybridization Sample Volume
]]),"",        IF((C23*D23)&gt;0,C23*D23,))</f>
        <v/>
      </c>
      <c r="F23" s="32" t="str">
        <f>IF(ISBLANK(Table_2[[#This Row],[Post-Hybridization Sample Volume
]]),"",1/(COUNT($E$15:$E$30)))</f>
        <v/>
      </c>
      <c r="G23" s="31" t="str">
        <f>IF(ISBLANK(Table_2[[#This Row],[Post-Hybridization Sample Volume
]]),"",MIN($E$15:$E$30))</f>
        <v/>
      </c>
      <c r="H23" s="33" t="str">
        <f>IF(ISBLANK(Table_2[[#This Row],[Post-Hybridization Sample Volume
]]),"",G23/C23)</f>
        <v/>
      </c>
      <c r="I23" s="34" t="str">
        <f>IF(ISBLANK(Table_2[[#This Row],[Post-Hybridization Sample Volume
]]),"",(IF($B$34&gt;4,F23/MAX($F$15:$F$30)*8000,F23/MAX($F$15:$F$30)*10000)))</f>
        <v/>
      </c>
      <c r="J23" s="35" t="str">
        <f>IF(ISBLANK(Table_2[[#This Row],[Post-Hybridization Sample Volume
]]),"", IF(G23&gt;I23*1.65/0.8,I23, ($C$34/SUM($I$15:$I$30)*I23)*0.8/1.65))</f>
        <v/>
      </c>
      <c r="K23" s="460"/>
    </row>
    <row r="24" spans="1:12" ht="15" customHeight="1">
      <c r="A24" s="460"/>
      <c r="B24" s="36" t="s">
        <v>41</v>
      </c>
      <c r="C24" s="37">
        <f>FLEX_table!$H11</f>
        <v>0</v>
      </c>
      <c r="D24" s="38"/>
      <c r="E24" s="39" t="str">
        <f xml:space="preserve"> IF(ISBLANK(Table_2[[#This Row],[Post-Hybridization Sample Volume
]]),"",        IF((C24*D24)&gt;0,C24*D24,))</f>
        <v/>
      </c>
      <c r="F24" s="40" t="str">
        <f>IF(ISBLANK(Table_2[[#This Row],[Post-Hybridization Sample Volume
]]),"",1/(COUNT($E$15:$E$30)))</f>
        <v/>
      </c>
      <c r="G24" s="39" t="str">
        <f>IF(ISBLANK(Table_2[[#This Row],[Post-Hybridization Sample Volume
]]),"",MIN($E$15:$E$30))</f>
        <v/>
      </c>
      <c r="H24" s="41" t="str">
        <f>IF(ISBLANK(Table_2[[#This Row],[Post-Hybridization Sample Volume
]]),"",G24/C24)</f>
        <v/>
      </c>
      <c r="I24" s="42" t="str">
        <f>IF(ISBLANK(Table_2[[#This Row],[Post-Hybridization Sample Volume
]]),"",(IF($B$34&gt;4,F24/MAX($F$15:$F$30)*8000,F24/MAX($F$15:$F$30)*10000)))</f>
        <v/>
      </c>
      <c r="J24" s="35" t="str">
        <f>IF(ISBLANK(Table_2[[#This Row],[Post-Hybridization Sample Volume
]]),"", IF(G24&gt;I24*1.65/0.8,I24, ($C$34/SUM($I$15:$I$30)*I24)*0.8/1.65))</f>
        <v/>
      </c>
      <c r="K24" s="460"/>
    </row>
    <row r="25" spans="1:12" ht="15" customHeight="1">
      <c r="A25" s="460"/>
      <c r="B25" s="28" t="s">
        <v>42</v>
      </c>
      <c r="C25" s="29">
        <f>FLEX_table!$H12</f>
        <v>0</v>
      </c>
      <c r="D25" s="30"/>
      <c r="E25" s="31" t="str">
        <f xml:space="preserve"> IF(ISBLANK(Table_2[[#This Row],[Post-Hybridization Sample Volume
]]),"",        IF((C25*D25)&gt;0,C25*D25,))</f>
        <v/>
      </c>
      <c r="F25" s="32" t="str">
        <f>IF(ISBLANK(Table_2[[#This Row],[Post-Hybridization Sample Volume
]]),"",1/(COUNT($E$15:$E$30)))</f>
        <v/>
      </c>
      <c r="G25" s="31" t="str">
        <f>IF(ISBLANK(Table_2[[#This Row],[Post-Hybridization Sample Volume
]]),"",MIN($E$15:$E$30))</f>
        <v/>
      </c>
      <c r="H25" s="33" t="str">
        <f>IF(ISBLANK(Table_2[[#This Row],[Post-Hybridization Sample Volume
]]),"",G25/C25)</f>
        <v/>
      </c>
      <c r="I25" s="34" t="str">
        <f>IF(ISBLANK(Table_2[[#This Row],[Post-Hybridization Sample Volume
]]),"",(IF($B$34&gt;4,F25/MAX($F$15:$F$30)*8000,F25/MAX($F$15:$F$30)*10000)))</f>
        <v/>
      </c>
      <c r="J25" s="35" t="str">
        <f>IF(ISBLANK(Table_2[[#This Row],[Post-Hybridization Sample Volume
]]),"", IF(G25&gt;I25*1.65/0.8,I25, ($C$34/SUM($I$15:$I$30)*I25)*0.8/1.65))</f>
        <v/>
      </c>
      <c r="K25" s="460"/>
    </row>
    <row r="26" spans="1:12" ht="15" customHeight="1">
      <c r="A26" s="460"/>
      <c r="B26" s="36" t="s">
        <v>43</v>
      </c>
      <c r="C26" s="37">
        <f>FLEX_table!$H13</f>
        <v>0</v>
      </c>
      <c r="D26" s="38"/>
      <c r="E26" s="39" t="str">
        <f xml:space="preserve"> IF(ISBLANK(Table_2[[#This Row],[Post-Hybridization Sample Volume
]]),"",        IF((C26*D26)&gt;0,C26*D26,))</f>
        <v/>
      </c>
      <c r="F26" s="40" t="str">
        <f>IF(ISBLANK(Table_2[[#This Row],[Post-Hybridization Sample Volume
]]),"",1/(COUNT($E$15:$E$30)))</f>
        <v/>
      </c>
      <c r="G26" s="39" t="str">
        <f>IF(ISBLANK(Table_2[[#This Row],[Post-Hybridization Sample Volume
]]),"",MIN($E$15:$E$30))</f>
        <v/>
      </c>
      <c r="H26" s="41" t="str">
        <f>IF(ISBLANK(Table_2[[#This Row],[Post-Hybridization Sample Volume
]]),"",G26/C26)</f>
        <v/>
      </c>
      <c r="I26" s="42" t="str">
        <f>IF(ISBLANK(Table_2[[#This Row],[Post-Hybridization Sample Volume
]]),"",(IF($B$34&gt;4,F26/MAX($F$15:$F$30)*8000,F26/MAX($F$15:$F$30)*10000)))</f>
        <v/>
      </c>
      <c r="J26" s="35" t="str">
        <f>IF(ISBLANK(Table_2[[#This Row],[Post-Hybridization Sample Volume
]]),"", IF(G26&gt;I26*1.65/0.8,I26, ($C$34/SUM($I$15:$I$30)*I26)*0.8/1.65))</f>
        <v/>
      </c>
      <c r="K26" s="460"/>
    </row>
    <row r="27" spans="1:12" ht="15" customHeight="1">
      <c r="A27" s="460"/>
      <c r="B27" s="28" t="s">
        <v>44</v>
      </c>
      <c r="C27" s="29">
        <f>FLEX_table!$H14</f>
        <v>0</v>
      </c>
      <c r="D27" s="30"/>
      <c r="E27" s="31" t="str">
        <f xml:space="preserve"> IF(ISBLANK(Table_2[[#This Row],[Post-Hybridization Sample Volume
]]),"",        IF((C27*D27)&gt;0,C27*D27,))</f>
        <v/>
      </c>
      <c r="F27" s="32" t="str">
        <f>IF(ISBLANK(Table_2[[#This Row],[Post-Hybridization Sample Volume
]]),"",1/(COUNT($E$15:$E$30)))</f>
        <v/>
      </c>
      <c r="G27" s="31" t="str">
        <f>IF(ISBLANK(Table_2[[#This Row],[Post-Hybridization Sample Volume
]]),"",MIN($E$15:$E$30))</f>
        <v/>
      </c>
      <c r="H27" s="33" t="str">
        <f>IF(ISBLANK(Table_2[[#This Row],[Post-Hybridization Sample Volume
]]),"",G27/C27)</f>
        <v/>
      </c>
      <c r="I27" s="34" t="str">
        <f>IF(ISBLANK(Table_2[[#This Row],[Post-Hybridization Sample Volume
]]),"",(IF($B$34&gt;4,F27/MAX($F$15:$F$30)*8000,F27/MAX($F$15:$F$30)*10000)))</f>
        <v/>
      </c>
      <c r="J27" s="35" t="str">
        <f>IF(ISBLANK(Table_2[[#This Row],[Post-Hybridization Sample Volume
]]),"", IF(G27&gt;I27*1.65/0.8,I27, ($C$34/SUM($I$15:$I$30)*I27)*0.8/1.65))</f>
        <v/>
      </c>
      <c r="K27" s="460"/>
    </row>
    <row r="28" spans="1:12" ht="15" customHeight="1">
      <c r="A28" s="460"/>
      <c r="B28" s="36" t="s">
        <v>45</v>
      </c>
      <c r="C28" s="37">
        <f>FLEX_table!$H15</f>
        <v>0</v>
      </c>
      <c r="D28" s="38"/>
      <c r="E28" s="39" t="str">
        <f xml:space="preserve"> IF(ISBLANK(Table_2[[#This Row],[Post-Hybridization Sample Volume
]]),"",        IF((C28*D28)&gt;0,C28*D28,))</f>
        <v/>
      </c>
      <c r="F28" s="40" t="str">
        <f>IF(ISBLANK(Table_2[[#This Row],[Post-Hybridization Sample Volume
]]),"",1/(COUNT($E$15:$E$30)))</f>
        <v/>
      </c>
      <c r="G28" s="39" t="str">
        <f>IF(ISBLANK(Table_2[[#This Row],[Post-Hybridization Sample Volume
]]),"",MIN($E$15:$E$30))</f>
        <v/>
      </c>
      <c r="H28" s="41" t="str">
        <f>IF(ISBLANK(Table_2[[#This Row],[Post-Hybridization Sample Volume
]]),"",G28/C28)</f>
        <v/>
      </c>
      <c r="I28" s="42" t="str">
        <f>IF(ISBLANK(Table_2[[#This Row],[Post-Hybridization Sample Volume
]]),"",(IF($B$34&gt;4,F28/MAX($F$15:$F$30)*8000,F28/MAX($F$15:$F$30)*10000)))</f>
        <v/>
      </c>
      <c r="J28" s="35" t="str">
        <f>IF(ISBLANK(Table_2[[#This Row],[Post-Hybridization Sample Volume
]]),"", IF(G28&gt;I28*1.65/0.8,I28, ($C$34/SUM($I$15:$I$30)*I28)*0.8/1.65))</f>
        <v/>
      </c>
      <c r="K28" s="460"/>
    </row>
    <row r="29" spans="1:12" ht="15" customHeight="1">
      <c r="A29" s="460"/>
      <c r="B29" s="28" t="s">
        <v>46</v>
      </c>
      <c r="C29" s="29">
        <f>FLEX_table!$H16</f>
        <v>0</v>
      </c>
      <c r="D29" s="30"/>
      <c r="E29" s="31" t="str">
        <f xml:space="preserve"> IF(ISBLANK(Table_2[[#This Row],[Post-Hybridization Sample Volume
]]),"",        IF((C29*D29)&gt;0,C29*D29,))</f>
        <v/>
      </c>
      <c r="F29" s="32" t="str">
        <f>IF(ISBLANK(Table_2[[#This Row],[Post-Hybridization Sample Volume
]]),"",1/(COUNT($E$15:$E$30)))</f>
        <v/>
      </c>
      <c r="G29" s="31" t="str">
        <f>IF(ISBLANK(Table_2[[#This Row],[Post-Hybridization Sample Volume
]]),"",MIN($E$15:$E$30))</f>
        <v/>
      </c>
      <c r="H29" s="33" t="str">
        <f>IF(ISBLANK(Table_2[[#This Row],[Post-Hybridization Sample Volume
]]),"",G29/C29)</f>
        <v/>
      </c>
      <c r="I29" s="34" t="str">
        <f>IF(ISBLANK(Table_2[[#This Row],[Post-Hybridization Sample Volume
]]),"",(IF($B$34&gt;4,F29/MAX($F$15:$F$30)*8000,F29/MAX($F$15:$F$30)*10000)))</f>
        <v/>
      </c>
      <c r="J29" s="35" t="str">
        <f>IF(ISBLANK(Table_2[[#This Row],[Post-Hybridization Sample Volume
]]),"", IF(G29&gt;I29*1.65/0.8,I29, ($C$34/SUM($I$15:$I$30)*I29)*0.8/1.65))</f>
        <v/>
      </c>
      <c r="K29" s="460"/>
    </row>
    <row r="30" spans="1:12" ht="15" customHeight="1" thickBot="1">
      <c r="A30" s="460"/>
      <c r="B30" s="44" t="s">
        <v>47</v>
      </c>
      <c r="C30" s="45">
        <f>FLEX_table!$H17</f>
        <v>0</v>
      </c>
      <c r="D30" s="46"/>
      <c r="E30" s="47" t="str">
        <f xml:space="preserve"> IF(ISBLANK(Table_2[[#This Row],[Post-Hybridization Sample Volume
]]),"",        IF((C30*D30)&gt;0,C30*D30,))</f>
        <v/>
      </c>
      <c r="F30" s="48" t="str">
        <f>IF(ISBLANK(Table_2[[#This Row],[Post-Hybridization Sample Volume
]]),"",1/(COUNT($E$15:$E$30)))</f>
        <v/>
      </c>
      <c r="G30" s="47" t="str">
        <f>IF(ISBLANK(Table_2[[#This Row],[Post-Hybridization Sample Volume
]]),"",MIN($E$15:$E$30))</f>
        <v/>
      </c>
      <c r="H30" s="49" t="str">
        <f>IF(ISBLANK(Table_2[[#This Row],[Post-Hybridization Sample Volume
]]),"",G30/C30)</f>
        <v/>
      </c>
      <c r="I30" s="50" t="str">
        <f>IF(ISBLANK(Table_2[[#This Row],[Post-Hybridization Sample Volume
]]),"",(IF($B$34&gt;4,F30/MAX($F$15:$F$30)*8000,F30/MAX($F$15:$F$30)*10000)))</f>
        <v/>
      </c>
      <c r="J30" s="51" t="str">
        <f>IF(ISBLANK(Table_2[[#This Row],[Post-Hybridization Sample Volume
]]),"", IF(G30&gt;I30*1.65/0.8,I30, ($C$34/SUM($I$15:$I$30)*I30)*0.8/1.65))</f>
        <v/>
      </c>
      <c r="K30" s="460"/>
    </row>
    <row r="31" spans="1:12" ht="15" customHeight="1">
      <c r="A31" s="52"/>
      <c r="B31" s="52"/>
      <c r="C31" s="52"/>
      <c r="D31" s="52"/>
      <c r="E31" s="52"/>
      <c r="F31" s="52"/>
      <c r="G31" s="52"/>
      <c r="H31" s="52"/>
      <c r="I31" s="52"/>
      <c r="J31" s="52"/>
      <c r="K31" s="52"/>
      <c r="L31" s="53"/>
    </row>
    <row r="32" spans="1:12" ht="15" customHeight="1" thickBot="1">
      <c r="A32" s="52"/>
      <c r="B32" s="54" t="s">
        <v>48</v>
      </c>
      <c r="C32" s="52"/>
      <c r="D32" s="52"/>
      <c r="E32" s="52"/>
      <c r="F32" s="52"/>
      <c r="G32" s="52"/>
      <c r="H32" s="52"/>
      <c r="I32" s="52"/>
      <c r="J32" s="52"/>
      <c r="K32" s="52"/>
    </row>
    <row r="33" spans="1:11" ht="47.45" customHeight="1">
      <c r="A33" s="52"/>
      <c r="B33" s="55" t="s">
        <v>49</v>
      </c>
      <c r="C33" s="56" t="s">
        <v>50</v>
      </c>
      <c r="D33" s="57" t="s">
        <v>51</v>
      </c>
      <c r="E33" s="459" t="str">
        <f>IF(COUNTIF(D38:D52,"TRUE")&gt;=1,"WARNING:"&amp;CHAR(10)&amp;_xlfn.TEXTJOIN(CHAR(10),TRUE,E38:E52),"")</f>
        <v>WARNING:
•  Total Cells Pooled for wash is below the recommended minimum of 200,000 cells. Consider an alternative pooling strategy.</v>
      </c>
      <c r="F33" s="459"/>
      <c r="G33" s="459"/>
      <c r="H33" s="459"/>
      <c r="I33" s="459"/>
      <c r="J33" s="459"/>
      <c r="K33" s="52"/>
    </row>
    <row r="34" spans="1:11" ht="64.5" customHeight="1" thickBot="1">
      <c r="A34" s="52"/>
      <c r="B34" s="58">
        <f>COUNTIF(E15:E30,"&gt;0")</f>
        <v>0</v>
      </c>
      <c r="C34" s="59">
        <f>SUM(G15:G30)</f>
        <v>0</v>
      </c>
      <c r="D34" s="60">
        <f>IF(C34&gt;SUM(I15:I30)*1.65/0.8,SUM(I15:I30), SUM(J15:J30))</f>
        <v>0</v>
      </c>
      <c r="E34" s="459"/>
      <c r="F34" s="459"/>
      <c r="G34" s="459"/>
      <c r="H34" s="459"/>
      <c r="I34" s="459"/>
      <c r="J34" s="459"/>
      <c r="K34" s="52"/>
    </row>
    <row r="35" spans="1:11" ht="12.75">
      <c r="A35" s="61"/>
      <c r="B35" s="52"/>
      <c r="C35" s="52"/>
      <c r="D35" s="52"/>
      <c r="E35" s="52"/>
      <c r="F35" s="52"/>
      <c r="G35" s="52"/>
      <c r="H35" s="52"/>
      <c r="I35" s="52"/>
      <c r="J35" s="52"/>
      <c r="K35" s="52"/>
    </row>
    <row r="36" spans="1:11" ht="12.75">
      <c r="A36" s="61"/>
      <c r="B36" s="61"/>
      <c r="C36" s="62"/>
      <c r="D36" s="63"/>
      <c r="E36" s="64"/>
      <c r="F36" s="32"/>
      <c r="G36" s="64"/>
      <c r="H36" s="61"/>
      <c r="I36" s="61"/>
      <c r="J36" s="61"/>
      <c r="K36" s="61"/>
    </row>
    <row r="37" spans="1:11" ht="45" hidden="1" customHeight="1">
      <c r="A37" s="61"/>
      <c r="B37" s="65" t="s">
        <v>52</v>
      </c>
      <c r="C37" s="66" t="s">
        <v>53</v>
      </c>
      <c r="D37" s="67" t="s">
        <v>54</v>
      </c>
      <c r="E37" s="68" t="s">
        <v>55</v>
      </c>
      <c r="F37" s="32"/>
      <c r="G37" s="69"/>
      <c r="H37" s="61"/>
      <c r="I37" s="61"/>
      <c r="J37" s="61"/>
      <c r="K37" s="61"/>
    </row>
    <row r="38" spans="1:11" ht="89.25" hidden="1">
      <c r="A38" s="61"/>
      <c r="B38" s="70" t="s">
        <v>56</v>
      </c>
      <c r="C38" s="71">
        <v>1</v>
      </c>
      <c r="D38" s="72" t="b">
        <f>IF(C34&lt;200000,TRUE,FALSE)</f>
        <v>1</v>
      </c>
      <c r="E38" s="73" t="str">
        <f>IF(D38,"•  Total Cells Pooled for wash is below the recommended minimum of 200,000 cells. Consider an alternative pooling strategy.","")</f>
        <v>•  Total Cells Pooled for wash is below the recommended minimum of 200,000 cells. Consider an alternative pooling strategy.</v>
      </c>
      <c r="F38" s="32"/>
      <c r="G38" s="69"/>
      <c r="H38" s="61"/>
      <c r="I38" s="61"/>
      <c r="J38" s="61"/>
      <c r="K38" s="61"/>
    </row>
    <row r="39" spans="1:11" ht="38.25" hidden="1">
      <c r="A39" s="61"/>
      <c r="B39" s="74" t="s">
        <v>57</v>
      </c>
      <c r="C39" s="75">
        <v>2</v>
      </c>
      <c r="D39" s="76" t="b">
        <f>IF(C34&gt;=(SUM(I15:I30)*1.65/0.8), FALSE, TRUE)</f>
        <v>0</v>
      </c>
      <c r="E39" s="77" t="str">
        <f>IF(D39,"•  Total number of cells added to wash is not sufficient to achieve the maximum supported number of cells targeted per GEM lane."&amp;CHAR(10)&amp; "    The maximum possible cell number is displayed (assumes 20% cell loss during washes). If this cell number is insufficient for your experiment,"&amp;CHAR(10)&amp;"    consider an alternative pooling strategy.","")</f>
        <v/>
      </c>
      <c r="F39" s="32"/>
      <c r="G39" s="69"/>
      <c r="H39" s="61"/>
      <c r="I39" s="61"/>
      <c r="J39" s="61"/>
      <c r="K39" s="61"/>
    </row>
    <row r="40" spans="1:11" ht="12.75" hidden="1">
      <c r="A40" s="61"/>
      <c r="B40" s="70" t="s">
        <v>58</v>
      </c>
      <c r="C40" s="71">
        <v>3</v>
      </c>
      <c r="D40" s="78" t="b">
        <f>IF(COUNTIF(H15:H30, "&lt;2")&gt;=1,TRUE,FALSE)</f>
        <v>0</v>
      </c>
      <c r="E40" s="73" t="str">
        <f>IF(D40,"•  One or more samples have a low transfer volume that may result in higer cells-per-barcode variability. Verify cell concentrations"&amp;CHAR(10)&amp; "     are entered correctly, then dilute with addtional post-hyb wash buffer and recount if necessary.","")</f>
        <v/>
      </c>
      <c r="F40" s="32"/>
      <c r="G40" s="69"/>
      <c r="H40" s="61"/>
      <c r="I40" s="61"/>
      <c r="J40" s="61"/>
      <c r="K40" s="61"/>
    </row>
    <row r="41" spans="1:11" ht="38.25" hidden="1">
      <c r="A41" s="61"/>
      <c r="B41" s="74" t="s">
        <v>59</v>
      </c>
      <c r="C41" s="75">
        <v>4</v>
      </c>
      <c r="D41" s="79" t="b">
        <f>IF(COUNTIF(E15:E30, "&gt;5000000")&gt;=1,TRUE,FALSE)</f>
        <v>0</v>
      </c>
      <c r="E41" s="77" t="str">
        <f>IF(D41,"•  Greater than 5 million cells present in one or more samples. Verify that cell concentrations and volumes are entered correctly.","")</f>
        <v/>
      </c>
      <c r="F41" s="32"/>
      <c r="G41" s="69"/>
      <c r="H41" s="61"/>
      <c r="I41" s="61"/>
      <c r="J41" s="61"/>
      <c r="K41" s="61"/>
    </row>
    <row r="42" spans="1:11" ht="12.75" hidden="1">
      <c r="A42" s="61"/>
      <c r="B42" s="80"/>
      <c r="C42" s="81"/>
      <c r="D42" s="78"/>
      <c r="E42" s="73"/>
      <c r="F42" s="32"/>
      <c r="G42" s="69"/>
      <c r="H42" s="61"/>
      <c r="I42" s="61"/>
      <c r="J42" s="61"/>
      <c r="K42" s="61"/>
    </row>
    <row r="43" spans="1:11" ht="12.75" hidden="1">
      <c r="A43" s="61"/>
      <c r="B43" s="82"/>
      <c r="C43" s="83"/>
      <c r="D43" s="76"/>
      <c r="E43" s="77"/>
      <c r="F43" s="32"/>
      <c r="G43" s="69"/>
      <c r="H43" s="61"/>
      <c r="I43" s="61"/>
      <c r="J43" s="61"/>
      <c r="K43" s="61"/>
    </row>
    <row r="44" spans="1:11" ht="12.75" hidden="1">
      <c r="A44" s="61"/>
      <c r="B44" s="80"/>
      <c r="C44" s="62"/>
      <c r="D44" s="72"/>
      <c r="E44" s="73"/>
      <c r="F44" s="32"/>
      <c r="G44" s="69"/>
      <c r="H44" s="61"/>
      <c r="I44" s="61"/>
      <c r="J44" s="61"/>
      <c r="K44" s="61"/>
    </row>
    <row r="45" spans="1:11" ht="12.75" hidden="1">
      <c r="A45" s="61"/>
      <c r="B45" s="82"/>
      <c r="C45" s="83"/>
      <c r="D45" s="76"/>
      <c r="E45" s="77"/>
      <c r="F45" s="32"/>
      <c r="G45" s="69"/>
      <c r="H45" s="61"/>
      <c r="I45" s="61"/>
      <c r="J45" s="61"/>
      <c r="K45" s="61"/>
    </row>
    <row r="46" spans="1:11" ht="12.75" hidden="1">
      <c r="A46" s="61"/>
      <c r="B46" s="80"/>
      <c r="C46" s="62"/>
      <c r="D46" s="72"/>
      <c r="E46" s="73"/>
      <c r="F46" s="32"/>
      <c r="G46" s="69"/>
      <c r="H46" s="61"/>
      <c r="I46" s="61"/>
      <c r="J46" s="61"/>
      <c r="K46" s="61"/>
    </row>
    <row r="47" spans="1:11" ht="12.75" hidden="1">
      <c r="A47" s="61"/>
      <c r="B47" s="82"/>
      <c r="C47" s="79"/>
      <c r="D47" s="79"/>
      <c r="E47" s="77"/>
      <c r="F47" s="32"/>
      <c r="G47" s="69"/>
      <c r="H47" s="61"/>
      <c r="I47" s="61"/>
      <c r="J47" s="61"/>
      <c r="K47" s="61"/>
    </row>
    <row r="48" spans="1:11" ht="12.75" hidden="1">
      <c r="A48" s="61"/>
      <c r="B48" s="80"/>
      <c r="C48" s="78"/>
      <c r="D48" s="78"/>
      <c r="E48" s="73"/>
      <c r="F48" s="32"/>
      <c r="G48" s="69"/>
      <c r="H48" s="61"/>
      <c r="I48" s="61"/>
      <c r="J48" s="61"/>
      <c r="K48" s="61"/>
    </row>
    <row r="49" spans="1:11" ht="12.75" hidden="1">
      <c r="A49" s="61"/>
      <c r="B49" s="82"/>
      <c r="C49" s="79"/>
      <c r="D49" s="79"/>
      <c r="E49" s="77"/>
      <c r="F49" s="32"/>
      <c r="G49" s="69"/>
      <c r="H49" s="61"/>
      <c r="I49" s="61"/>
      <c r="J49" s="61"/>
      <c r="K49" s="61"/>
    </row>
    <row r="50" spans="1:11" ht="12.75" hidden="1">
      <c r="A50" s="61"/>
      <c r="B50" s="80"/>
      <c r="C50" s="78"/>
      <c r="D50" s="78"/>
      <c r="E50" s="73"/>
      <c r="F50" s="32"/>
      <c r="G50" s="69"/>
      <c r="H50" s="61"/>
      <c r="I50" s="61"/>
      <c r="J50" s="61"/>
      <c r="K50" s="61"/>
    </row>
    <row r="51" spans="1:11" ht="12.75" hidden="1">
      <c r="A51" s="61"/>
      <c r="B51" s="82"/>
      <c r="C51" s="79"/>
      <c r="D51" s="79"/>
      <c r="E51" s="77"/>
      <c r="F51" s="32"/>
      <c r="G51" s="69"/>
      <c r="H51" s="61"/>
      <c r="I51" s="61"/>
      <c r="J51" s="61"/>
      <c r="K51" s="61"/>
    </row>
    <row r="52" spans="1:11" ht="13.5" hidden="1" thickBot="1">
      <c r="A52" s="61"/>
      <c r="B52" s="84"/>
      <c r="C52" s="85"/>
      <c r="D52" s="85"/>
      <c r="E52" s="86"/>
      <c r="F52" s="32"/>
      <c r="G52" s="69"/>
      <c r="H52" s="61"/>
      <c r="I52" s="61"/>
      <c r="J52" s="61"/>
      <c r="K52" s="61"/>
    </row>
    <row r="53" spans="1:11" ht="12.75" hidden="1">
      <c r="A53" s="61"/>
      <c r="B53" s="61"/>
      <c r="C53" s="61"/>
      <c r="D53" s="61"/>
      <c r="E53" s="64"/>
      <c r="F53" s="32"/>
      <c r="G53" s="64"/>
      <c r="H53" s="61"/>
      <c r="I53" s="61"/>
      <c r="J53" s="61"/>
      <c r="K53" s="61"/>
    </row>
    <row r="54" spans="1:11" ht="12.75">
      <c r="E54" s="87"/>
      <c r="F54" s="88"/>
      <c r="G54" s="87"/>
    </row>
    <row r="55" spans="1:11" ht="12.75">
      <c r="E55" s="87"/>
      <c r="F55" s="88"/>
      <c r="G55" s="87"/>
    </row>
    <row r="56" spans="1:11" ht="12.75">
      <c r="E56" s="87"/>
      <c r="F56" s="88"/>
      <c r="G56" s="87"/>
    </row>
    <row r="57" spans="1:11" ht="12.75">
      <c r="E57" s="87"/>
      <c r="F57" s="88"/>
      <c r="G57" s="87"/>
    </row>
    <row r="58" spans="1:11" ht="12.75">
      <c r="E58" s="87"/>
      <c r="F58" s="88"/>
      <c r="G58" s="87"/>
    </row>
    <row r="59" spans="1:11" ht="12.75">
      <c r="E59" s="87"/>
      <c r="F59" s="88"/>
      <c r="G59" s="87"/>
    </row>
    <row r="60" spans="1:11" ht="12.75">
      <c r="E60" s="87"/>
      <c r="F60" s="88"/>
      <c r="G60" s="87"/>
    </row>
    <row r="61" spans="1:11" ht="12.75">
      <c r="E61" s="87"/>
      <c r="F61" s="88"/>
      <c r="G61" s="87"/>
    </row>
    <row r="62" spans="1:11" ht="12.75">
      <c r="E62" s="87"/>
      <c r="F62" s="88"/>
      <c r="G62" s="87"/>
    </row>
    <row r="63" spans="1:11" ht="12.75">
      <c r="E63" s="87"/>
      <c r="F63" s="88"/>
      <c r="G63" s="87"/>
    </row>
    <row r="64" spans="1:11" ht="12.75">
      <c r="E64" s="87"/>
      <c r="F64" s="88"/>
      <c r="G64" s="87"/>
    </row>
    <row r="65" spans="5:7" ht="12.75">
      <c r="E65" s="87"/>
      <c r="F65" s="88"/>
      <c r="G65" s="87"/>
    </row>
    <row r="66" spans="5:7" ht="12.75">
      <c r="E66" s="87"/>
      <c r="F66" s="88"/>
      <c r="G66" s="87"/>
    </row>
    <row r="67" spans="5:7" ht="12.75">
      <c r="E67" s="87"/>
      <c r="F67" s="88"/>
      <c r="G67" s="87"/>
    </row>
    <row r="68" spans="5:7" ht="12.75">
      <c r="E68" s="87"/>
      <c r="F68" s="88"/>
      <c r="G68" s="87"/>
    </row>
    <row r="69" spans="5:7" ht="12.75">
      <c r="E69" s="87"/>
      <c r="F69" s="88"/>
      <c r="G69" s="87"/>
    </row>
    <row r="70" spans="5:7" ht="12.75">
      <c r="E70" s="87"/>
      <c r="F70" s="88"/>
      <c r="G70" s="87"/>
    </row>
    <row r="71" spans="5:7" ht="12.75">
      <c r="E71" s="87"/>
      <c r="F71" s="88"/>
      <c r="G71" s="87"/>
    </row>
    <row r="72" spans="5:7" ht="12.75">
      <c r="E72" s="87"/>
      <c r="F72" s="88"/>
      <c r="G72" s="87"/>
    </row>
    <row r="73" spans="5:7" ht="12.75">
      <c r="E73" s="87"/>
      <c r="F73" s="88"/>
      <c r="G73" s="87"/>
    </row>
    <row r="74" spans="5:7" ht="12.75">
      <c r="E74" s="87"/>
      <c r="F74" s="88"/>
      <c r="G74" s="87"/>
    </row>
    <row r="75" spans="5:7" ht="12.75">
      <c r="E75" s="87"/>
      <c r="F75" s="88"/>
      <c r="G75" s="87"/>
    </row>
    <row r="76" spans="5:7" ht="12.75">
      <c r="E76" s="87"/>
      <c r="F76" s="88"/>
      <c r="G76" s="87"/>
    </row>
    <row r="77" spans="5:7" ht="12.75">
      <c r="E77" s="87"/>
      <c r="F77" s="88"/>
      <c r="G77" s="87"/>
    </row>
    <row r="78" spans="5:7" ht="12.75">
      <c r="E78" s="87"/>
      <c r="F78" s="88"/>
      <c r="G78" s="87"/>
    </row>
    <row r="79" spans="5:7" ht="12.75">
      <c r="E79" s="87"/>
      <c r="F79" s="88"/>
      <c r="G79" s="87"/>
    </row>
    <row r="80" spans="5:7" ht="12.75">
      <c r="E80" s="87"/>
      <c r="F80" s="88"/>
      <c r="G80" s="87"/>
    </row>
    <row r="81" spans="5:7" ht="12.75">
      <c r="E81" s="87"/>
      <c r="F81" s="88"/>
      <c r="G81" s="87"/>
    </row>
    <row r="82" spans="5:7" ht="12.75">
      <c r="E82" s="87"/>
      <c r="F82" s="88"/>
      <c r="G82" s="87"/>
    </row>
    <row r="83" spans="5:7" ht="12.75">
      <c r="E83" s="87"/>
      <c r="F83" s="88"/>
      <c r="G83" s="87"/>
    </row>
    <row r="84" spans="5:7" ht="12.75">
      <c r="E84" s="87"/>
      <c r="F84" s="88"/>
      <c r="G84" s="87"/>
    </row>
    <row r="85" spans="5:7" ht="12.75">
      <c r="E85" s="87"/>
      <c r="F85" s="88"/>
      <c r="G85" s="87"/>
    </row>
    <row r="86" spans="5:7" ht="12.75">
      <c r="E86" s="87"/>
      <c r="F86" s="88"/>
      <c r="G86" s="87"/>
    </row>
    <row r="87" spans="5:7" ht="12.75">
      <c r="E87" s="87"/>
      <c r="F87" s="88"/>
      <c r="G87" s="87"/>
    </row>
    <row r="88" spans="5:7" ht="12.75">
      <c r="E88" s="87"/>
      <c r="F88" s="88"/>
      <c r="G88" s="87"/>
    </row>
    <row r="89" spans="5:7" ht="12.75">
      <c r="E89" s="87"/>
      <c r="F89" s="88"/>
      <c r="G89" s="87"/>
    </row>
    <row r="90" spans="5:7" ht="12.75">
      <c r="E90" s="87"/>
      <c r="F90" s="88"/>
      <c r="G90" s="87"/>
    </row>
    <row r="91" spans="5:7" ht="12.75">
      <c r="E91" s="87"/>
      <c r="F91" s="88"/>
      <c r="G91" s="87"/>
    </row>
    <row r="92" spans="5:7" ht="12.75">
      <c r="E92" s="87"/>
      <c r="F92" s="88"/>
      <c r="G92" s="87"/>
    </row>
    <row r="93" spans="5:7" ht="12.75">
      <c r="E93" s="87"/>
      <c r="F93" s="88"/>
      <c r="G93" s="87"/>
    </row>
    <row r="94" spans="5:7" ht="12.75">
      <c r="E94" s="87"/>
      <c r="F94" s="88"/>
      <c r="G94" s="87"/>
    </row>
    <row r="95" spans="5:7" ht="12.75">
      <c r="E95" s="87"/>
      <c r="F95" s="88"/>
      <c r="G95" s="87"/>
    </row>
    <row r="96" spans="5:7" ht="12.75">
      <c r="E96" s="87"/>
      <c r="F96" s="88"/>
      <c r="G96" s="87"/>
    </row>
    <row r="97" spans="5:7" ht="12.75">
      <c r="E97" s="87"/>
      <c r="F97" s="88"/>
      <c r="G97" s="87"/>
    </row>
    <row r="98" spans="5:7" ht="12.75">
      <c r="E98" s="87"/>
      <c r="F98" s="88"/>
      <c r="G98" s="87"/>
    </row>
    <row r="99" spans="5:7" ht="12.75">
      <c r="E99" s="87"/>
      <c r="F99" s="88"/>
      <c r="G99" s="87"/>
    </row>
    <row r="100" spans="5:7" ht="12.75">
      <c r="E100" s="87"/>
      <c r="F100" s="88"/>
      <c r="G100" s="87"/>
    </row>
    <row r="101" spans="5:7" ht="12.75">
      <c r="E101" s="87"/>
      <c r="F101" s="88"/>
      <c r="G101" s="87"/>
    </row>
    <row r="102" spans="5:7" ht="12.75">
      <c r="E102" s="87"/>
      <c r="F102" s="88"/>
      <c r="G102" s="87"/>
    </row>
    <row r="103" spans="5:7" ht="12.75">
      <c r="E103" s="87"/>
      <c r="F103" s="88"/>
      <c r="G103" s="87"/>
    </row>
    <row r="104" spans="5:7" ht="12.75">
      <c r="E104" s="87"/>
      <c r="F104" s="88"/>
      <c r="G104" s="87"/>
    </row>
    <row r="105" spans="5:7" ht="12.75">
      <c r="E105" s="87"/>
      <c r="F105" s="88"/>
      <c r="G105" s="87"/>
    </row>
    <row r="106" spans="5:7" ht="12.75">
      <c r="E106" s="87"/>
      <c r="F106" s="88"/>
      <c r="G106" s="87"/>
    </row>
    <row r="107" spans="5:7" ht="12.75">
      <c r="E107" s="87"/>
      <c r="F107" s="88"/>
      <c r="G107" s="87"/>
    </row>
    <row r="108" spans="5:7" ht="12.75">
      <c r="E108" s="87"/>
      <c r="F108" s="88"/>
      <c r="G108" s="87"/>
    </row>
    <row r="109" spans="5:7" ht="12.75">
      <c r="E109" s="87"/>
      <c r="F109" s="88"/>
      <c r="G109" s="87"/>
    </row>
    <row r="110" spans="5:7" ht="12.75">
      <c r="E110" s="87"/>
      <c r="F110" s="88"/>
      <c r="G110" s="87"/>
    </row>
    <row r="111" spans="5:7" ht="12.75">
      <c r="E111" s="87"/>
      <c r="F111" s="88"/>
      <c r="G111" s="87"/>
    </row>
    <row r="112" spans="5:7" ht="12.75">
      <c r="E112" s="87"/>
      <c r="F112" s="88"/>
      <c r="G112" s="87"/>
    </row>
    <row r="113" spans="5:7" ht="12.75">
      <c r="E113" s="87"/>
      <c r="F113" s="88"/>
      <c r="G113" s="87"/>
    </row>
    <row r="114" spans="5:7" ht="12.75">
      <c r="E114" s="87"/>
      <c r="F114" s="88"/>
      <c r="G114" s="87"/>
    </row>
    <row r="115" spans="5:7" ht="12.75">
      <c r="E115" s="87"/>
      <c r="F115" s="88"/>
      <c r="G115" s="87"/>
    </row>
    <row r="116" spans="5:7" ht="12.75">
      <c r="E116" s="87"/>
      <c r="F116" s="88"/>
      <c r="G116" s="87"/>
    </row>
    <row r="117" spans="5:7" ht="12.75">
      <c r="E117" s="87"/>
      <c r="F117" s="88"/>
      <c r="G117" s="87"/>
    </row>
    <row r="118" spans="5:7" ht="12.75">
      <c r="E118" s="87"/>
      <c r="F118" s="88"/>
      <c r="G118" s="87"/>
    </row>
    <row r="119" spans="5:7" ht="12.75">
      <c r="E119" s="87"/>
      <c r="F119" s="88"/>
      <c r="G119" s="87"/>
    </row>
    <row r="120" spans="5:7" ht="12.75">
      <c r="E120" s="87"/>
      <c r="F120" s="88"/>
      <c r="G120" s="87"/>
    </row>
    <row r="121" spans="5:7" ht="12.75">
      <c r="E121" s="87"/>
      <c r="F121" s="88"/>
      <c r="G121" s="87"/>
    </row>
    <row r="122" spans="5:7" ht="12.75">
      <c r="E122" s="87"/>
      <c r="F122" s="88"/>
      <c r="G122" s="87"/>
    </row>
    <row r="123" spans="5:7" ht="12.75">
      <c r="E123" s="87"/>
      <c r="F123" s="88"/>
      <c r="G123" s="87"/>
    </row>
    <row r="124" spans="5:7" ht="12.75">
      <c r="E124" s="87"/>
      <c r="F124" s="88"/>
      <c r="G124" s="87"/>
    </row>
    <row r="125" spans="5:7" ht="12.75">
      <c r="E125" s="87"/>
      <c r="F125" s="88"/>
      <c r="G125" s="87"/>
    </row>
    <row r="126" spans="5:7" ht="12.75">
      <c r="E126" s="87"/>
      <c r="F126" s="88"/>
      <c r="G126" s="87"/>
    </row>
    <row r="127" spans="5:7" ht="12.75">
      <c r="E127" s="87"/>
      <c r="F127" s="88"/>
      <c r="G127" s="87"/>
    </row>
    <row r="128" spans="5:7" ht="12.75">
      <c r="E128" s="87"/>
      <c r="F128" s="88"/>
      <c r="G128" s="87"/>
    </row>
    <row r="129" spans="5:7" ht="12.75">
      <c r="E129" s="87"/>
      <c r="F129" s="88"/>
      <c r="G129" s="87"/>
    </row>
    <row r="130" spans="5:7" ht="12.75">
      <c r="E130" s="87"/>
      <c r="F130" s="88"/>
      <c r="G130" s="87"/>
    </row>
    <row r="131" spans="5:7" ht="12.75">
      <c r="E131" s="87"/>
      <c r="F131" s="88"/>
      <c r="G131" s="87"/>
    </row>
    <row r="132" spans="5:7" ht="12.75">
      <c r="E132" s="87"/>
      <c r="F132" s="88"/>
      <c r="G132" s="87"/>
    </row>
    <row r="133" spans="5:7" ht="12.75">
      <c r="E133" s="87"/>
      <c r="F133" s="88"/>
      <c r="G133" s="87"/>
    </row>
    <row r="134" spans="5:7" ht="12.75">
      <c r="E134" s="87"/>
      <c r="F134" s="88"/>
      <c r="G134" s="87"/>
    </row>
    <row r="135" spans="5:7" ht="12.75">
      <c r="E135" s="87"/>
      <c r="F135" s="88"/>
      <c r="G135" s="87"/>
    </row>
    <row r="136" spans="5:7" ht="12.75">
      <c r="E136" s="87"/>
      <c r="F136" s="88"/>
      <c r="G136" s="87"/>
    </row>
    <row r="137" spans="5:7" ht="12.75">
      <c r="E137" s="87"/>
      <c r="F137" s="88"/>
      <c r="G137" s="87"/>
    </row>
    <row r="138" spans="5:7" ht="12.75">
      <c r="E138" s="87"/>
      <c r="F138" s="88"/>
      <c r="G138" s="87"/>
    </row>
    <row r="139" spans="5:7" ht="12.75">
      <c r="E139" s="87"/>
      <c r="F139" s="88"/>
      <c r="G139" s="87"/>
    </row>
    <row r="140" spans="5:7" ht="12.75">
      <c r="E140" s="87"/>
      <c r="F140" s="88"/>
      <c r="G140" s="87"/>
    </row>
    <row r="141" spans="5:7" ht="12.75">
      <c r="E141" s="87"/>
      <c r="F141" s="88"/>
      <c r="G141" s="87"/>
    </row>
    <row r="142" spans="5:7" ht="12.75">
      <c r="E142" s="87"/>
      <c r="F142" s="88"/>
      <c r="G142" s="87"/>
    </row>
    <row r="143" spans="5:7" ht="12.75">
      <c r="E143" s="87"/>
      <c r="F143" s="88"/>
      <c r="G143" s="87"/>
    </row>
    <row r="144" spans="5:7" ht="12.75">
      <c r="E144" s="87"/>
      <c r="F144" s="88"/>
      <c r="G144" s="87"/>
    </row>
    <row r="145" spans="5:7" ht="12.75">
      <c r="E145" s="87"/>
      <c r="F145" s="88"/>
      <c r="G145" s="87"/>
    </row>
    <row r="146" spans="5:7" ht="12.75">
      <c r="E146" s="87"/>
      <c r="F146" s="88"/>
      <c r="G146" s="87"/>
    </row>
    <row r="147" spans="5:7" ht="12.75">
      <c r="E147" s="87"/>
      <c r="F147" s="88"/>
      <c r="G147" s="87"/>
    </row>
    <row r="148" spans="5:7" ht="12.75">
      <c r="E148" s="87"/>
      <c r="F148" s="88"/>
      <c r="G148" s="87"/>
    </row>
    <row r="149" spans="5:7" ht="12.75">
      <c r="E149" s="87"/>
      <c r="F149" s="88"/>
      <c r="G149" s="87"/>
    </row>
    <row r="150" spans="5:7" ht="12.75">
      <c r="E150" s="87"/>
      <c r="F150" s="88"/>
      <c r="G150" s="87"/>
    </row>
    <row r="151" spans="5:7" ht="12.75">
      <c r="E151" s="87"/>
      <c r="F151" s="88"/>
      <c r="G151" s="87"/>
    </row>
    <row r="152" spans="5:7" ht="12.75">
      <c r="E152" s="87"/>
      <c r="F152" s="88"/>
      <c r="G152" s="87"/>
    </row>
    <row r="153" spans="5:7" ht="12.75">
      <c r="E153" s="87"/>
      <c r="F153" s="88"/>
      <c r="G153" s="87"/>
    </row>
    <row r="154" spans="5:7" ht="12.75">
      <c r="E154" s="87"/>
      <c r="F154" s="88"/>
      <c r="G154" s="87"/>
    </row>
    <row r="155" spans="5:7" ht="12.75">
      <c r="E155" s="87"/>
      <c r="F155" s="88"/>
      <c r="G155" s="87"/>
    </row>
    <row r="156" spans="5:7" ht="12.75">
      <c r="E156" s="87"/>
      <c r="F156" s="88"/>
      <c r="G156" s="87"/>
    </row>
    <row r="157" spans="5:7" ht="12.75">
      <c r="E157" s="87"/>
      <c r="F157" s="88"/>
      <c r="G157" s="87"/>
    </row>
    <row r="158" spans="5:7" ht="12.75">
      <c r="E158" s="87"/>
      <c r="F158" s="88"/>
      <c r="G158" s="87"/>
    </row>
    <row r="159" spans="5:7" ht="12.75">
      <c r="E159" s="87"/>
      <c r="F159" s="88"/>
      <c r="G159" s="87"/>
    </row>
    <row r="160" spans="5:7" ht="12.75">
      <c r="E160" s="87"/>
      <c r="F160" s="88"/>
      <c r="G160" s="87"/>
    </row>
    <row r="161" spans="5:7" ht="12.75">
      <c r="E161" s="87"/>
      <c r="F161" s="88"/>
      <c r="G161" s="87"/>
    </row>
    <row r="162" spans="5:7" ht="12.75">
      <c r="E162" s="87"/>
      <c r="F162" s="88"/>
      <c r="G162" s="87"/>
    </row>
    <row r="163" spans="5:7" ht="12.75">
      <c r="E163" s="87"/>
      <c r="F163" s="88"/>
      <c r="G163" s="87"/>
    </row>
    <row r="164" spans="5:7" ht="12.75">
      <c r="E164" s="87"/>
      <c r="F164" s="88"/>
      <c r="G164" s="87"/>
    </row>
    <row r="165" spans="5:7" ht="12.75">
      <c r="E165" s="87"/>
      <c r="F165" s="88"/>
      <c r="G165" s="87"/>
    </row>
    <row r="166" spans="5:7" ht="12.75">
      <c r="E166" s="87"/>
      <c r="F166" s="88"/>
      <c r="G166" s="87"/>
    </row>
    <row r="167" spans="5:7" ht="12.75">
      <c r="E167" s="87"/>
      <c r="F167" s="88"/>
      <c r="G167" s="87"/>
    </row>
    <row r="168" spans="5:7" ht="12.75">
      <c r="E168" s="87"/>
      <c r="F168" s="88"/>
      <c r="G168" s="87"/>
    </row>
    <row r="169" spans="5:7" ht="12.75">
      <c r="E169" s="87"/>
      <c r="F169" s="88"/>
      <c r="G169" s="87"/>
    </row>
    <row r="170" spans="5:7" ht="12.75">
      <c r="E170" s="87"/>
      <c r="F170" s="88"/>
      <c r="G170" s="87"/>
    </row>
    <row r="171" spans="5:7" ht="12.75">
      <c r="E171" s="87"/>
      <c r="F171" s="88"/>
      <c r="G171" s="87"/>
    </row>
    <row r="172" spans="5:7" ht="12.75">
      <c r="E172" s="87"/>
      <c r="F172" s="88"/>
      <c r="G172" s="87"/>
    </row>
    <row r="173" spans="5:7" ht="12.75">
      <c r="E173" s="87"/>
      <c r="F173" s="88"/>
      <c r="G173" s="87"/>
    </row>
    <row r="174" spans="5:7" ht="12.75">
      <c r="E174" s="87"/>
      <c r="F174" s="88"/>
      <c r="G174" s="87"/>
    </row>
    <row r="175" spans="5:7" ht="12.75">
      <c r="E175" s="87"/>
      <c r="F175" s="88"/>
      <c r="G175" s="87"/>
    </row>
    <row r="176" spans="5:7" ht="12.75">
      <c r="E176" s="87"/>
      <c r="F176" s="88"/>
      <c r="G176" s="87"/>
    </row>
    <row r="177" spans="5:7" ht="12.75">
      <c r="E177" s="87"/>
      <c r="F177" s="88"/>
      <c r="G177" s="87"/>
    </row>
    <row r="178" spans="5:7" ht="12.75">
      <c r="E178" s="87"/>
      <c r="F178" s="88"/>
      <c r="G178" s="87"/>
    </row>
    <row r="179" spans="5:7" ht="12.75">
      <c r="E179" s="87"/>
      <c r="F179" s="88"/>
      <c r="G179" s="87"/>
    </row>
    <row r="180" spans="5:7" ht="12.75">
      <c r="E180" s="87"/>
      <c r="F180" s="88"/>
      <c r="G180" s="87"/>
    </row>
    <row r="181" spans="5:7" ht="12.75">
      <c r="E181" s="87"/>
      <c r="F181" s="88"/>
      <c r="G181" s="87"/>
    </row>
    <row r="182" spans="5:7" ht="12.75">
      <c r="E182" s="87"/>
      <c r="F182" s="88"/>
      <c r="G182" s="87"/>
    </row>
    <row r="183" spans="5:7" ht="12.75">
      <c r="E183" s="87"/>
      <c r="F183" s="88"/>
      <c r="G183" s="87"/>
    </row>
    <row r="184" spans="5:7" ht="12.75">
      <c r="E184" s="87"/>
      <c r="F184" s="88"/>
      <c r="G184" s="87"/>
    </row>
    <row r="185" spans="5:7" ht="12.75">
      <c r="E185" s="87"/>
      <c r="F185" s="88"/>
      <c r="G185" s="87"/>
    </row>
    <row r="186" spans="5:7" ht="12.75">
      <c r="E186" s="87"/>
      <c r="F186" s="88"/>
      <c r="G186" s="87"/>
    </row>
    <row r="187" spans="5:7" ht="12.75">
      <c r="E187" s="87"/>
      <c r="F187" s="88"/>
      <c r="G187" s="87"/>
    </row>
    <row r="188" spans="5:7" ht="12.75">
      <c r="E188" s="87"/>
      <c r="F188" s="88"/>
      <c r="G188" s="87"/>
    </row>
    <row r="189" spans="5:7" ht="12.75">
      <c r="E189" s="87"/>
      <c r="F189" s="88"/>
      <c r="G189" s="87"/>
    </row>
    <row r="190" spans="5:7" ht="12.75">
      <c r="E190" s="87"/>
      <c r="F190" s="88"/>
      <c r="G190" s="87"/>
    </row>
    <row r="191" spans="5:7" ht="12.75">
      <c r="E191" s="87"/>
      <c r="F191" s="88"/>
      <c r="G191" s="87"/>
    </row>
    <row r="192" spans="5:7" ht="12.75">
      <c r="E192" s="87"/>
      <c r="F192" s="88"/>
      <c r="G192" s="87"/>
    </row>
    <row r="193" spans="5:7" ht="12.75">
      <c r="E193" s="87"/>
      <c r="F193" s="88"/>
      <c r="G193" s="87"/>
    </row>
    <row r="194" spans="5:7" ht="12.75">
      <c r="E194" s="87"/>
      <c r="F194" s="88"/>
      <c r="G194" s="87"/>
    </row>
    <row r="195" spans="5:7" ht="12.75">
      <c r="E195" s="87"/>
      <c r="F195" s="88"/>
      <c r="G195" s="87"/>
    </row>
    <row r="196" spans="5:7" ht="12.75">
      <c r="E196" s="87"/>
      <c r="F196" s="88"/>
      <c r="G196" s="87"/>
    </row>
    <row r="197" spans="5:7" ht="12.75">
      <c r="E197" s="87"/>
      <c r="F197" s="88"/>
      <c r="G197" s="87"/>
    </row>
    <row r="198" spans="5:7" ht="12.75">
      <c r="E198" s="87"/>
      <c r="F198" s="88"/>
      <c r="G198" s="87"/>
    </row>
    <row r="199" spans="5:7" ht="12.75">
      <c r="E199" s="87"/>
      <c r="F199" s="88"/>
      <c r="G199" s="87"/>
    </row>
    <row r="200" spans="5:7" ht="12.75">
      <c r="E200" s="87"/>
      <c r="F200" s="88"/>
      <c r="G200" s="87"/>
    </row>
    <row r="201" spans="5:7" ht="12.75">
      <c r="E201" s="87"/>
      <c r="F201" s="88"/>
      <c r="G201" s="87"/>
    </row>
    <row r="202" spans="5:7" ht="12.75">
      <c r="E202" s="87"/>
      <c r="F202" s="88"/>
      <c r="G202" s="87"/>
    </row>
    <row r="203" spans="5:7" ht="12.75">
      <c r="E203" s="87"/>
      <c r="F203" s="88"/>
      <c r="G203" s="87"/>
    </row>
    <row r="204" spans="5:7" ht="12.75">
      <c r="E204" s="87"/>
      <c r="F204" s="88"/>
      <c r="G204" s="87"/>
    </row>
    <row r="205" spans="5:7" ht="12.75">
      <c r="E205" s="87"/>
      <c r="F205" s="88"/>
      <c r="G205" s="87"/>
    </row>
    <row r="206" spans="5:7" ht="12.75">
      <c r="E206" s="87"/>
      <c r="F206" s="88"/>
      <c r="G206" s="87"/>
    </row>
    <row r="207" spans="5:7" ht="12.75">
      <c r="E207" s="87"/>
      <c r="F207" s="88"/>
      <c r="G207" s="87"/>
    </row>
    <row r="208" spans="5:7" ht="12.75">
      <c r="E208" s="87"/>
      <c r="F208" s="88"/>
      <c r="G208" s="87"/>
    </row>
    <row r="209" spans="5:7" ht="12.75">
      <c r="E209" s="87"/>
      <c r="F209" s="88"/>
      <c r="G209" s="87"/>
    </row>
    <row r="210" spans="5:7" ht="12.75">
      <c r="E210" s="87"/>
      <c r="F210" s="88"/>
      <c r="G210" s="87"/>
    </row>
    <row r="211" spans="5:7" ht="12.75">
      <c r="E211" s="87"/>
      <c r="F211" s="88"/>
      <c r="G211" s="87"/>
    </row>
    <row r="212" spans="5:7" ht="12.75">
      <c r="E212" s="87"/>
      <c r="F212" s="88"/>
      <c r="G212" s="87"/>
    </row>
    <row r="213" spans="5:7" ht="12.75">
      <c r="E213" s="87"/>
      <c r="F213" s="88"/>
      <c r="G213" s="87"/>
    </row>
    <row r="214" spans="5:7" ht="12.75">
      <c r="E214" s="87"/>
      <c r="F214" s="88"/>
      <c r="G214" s="87"/>
    </row>
    <row r="215" spans="5:7" ht="12.75">
      <c r="E215" s="87"/>
      <c r="F215" s="88"/>
      <c r="G215" s="87"/>
    </row>
    <row r="216" spans="5:7" ht="12.75">
      <c r="E216" s="87"/>
      <c r="F216" s="88"/>
      <c r="G216" s="87"/>
    </row>
    <row r="217" spans="5:7" ht="12.75">
      <c r="E217" s="87"/>
      <c r="F217" s="88"/>
      <c r="G217" s="87"/>
    </row>
    <row r="218" spans="5:7" ht="12.75">
      <c r="E218" s="87"/>
      <c r="F218" s="88"/>
      <c r="G218" s="87"/>
    </row>
    <row r="219" spans="5:7" ht="12.75">
      <c r="E219" s="87"/>
      <c r="F219" s="88"/>
      <c r="G219" s="87"/>
    </row>
    <row r="220" spans="5:7" ht="12.75">
      <c r="E220" s="87"/>
      <c r="F220" s="88"/>
      <c r="G220" s="87"/>
    </row>
    <row r="221" spans="5:7" ht="12.75">
      <c r="E221" s="87"/>
      <c r="F221" s="88"/>
      <c r="G221" s="87"/>
    </row>
    <row r="222" spans="5:7" ht="12.75">
      <c r="E222" s="87"/>
      <c r="F222" s="88"/>
      <c r="G222" s="87"/>
    </row>
    <row r="223" spans="5:7" ht="12.75">
      <c r="E223" s="87"/>
      <c r="F223" s="88"/>
      <c r="G223" s="87"/>
    </row>
    <row r="224" spans="5:7" ht="12.75">
      <c r="E224" s="87"/>
      <c r="F224" s="88"/>
      <c r="G224" s="87"/>
    </row>
    <row r="225" spans="5:7" ht="12.75">
      <c r="E225" s="87"/>
      <c r="F225" s="88"/>
      <c r="G225" s="87"/>
    </row>
    <row r="226" spans="5:7" ht="12.75">
      <c r="E226" s="87"/>
      <c r="F226" s="88"/>
      <c r="G226" s="87"/>
    </row>
    <row r="227" spans="5:7" ht="12.75">
      <c r="E227" s="87"/>
      <c r="F227" s="88"/>
      <c r="G227" s="87"/>
    </row>
    <row r="228" spans="5:7" ht="12.75">
      <c r="E228" s="87"/>
      <c r="F228" s="88"/>
      <c r="G228" s="87"/>
    </row>
    <row r="229" spans="5:7" ht="12.75">
      <c r="E229" s="87"/>
      <c r="F229" s="88"/>
      <c r="G229" s="87"/>
    </row>
    <row r="230" spans="5:7" ht="12.75">
      <c r="E230" s="87"/>
      <c r="F230" s="88"/>
      <c r="G230" s="87"/>
    </row>
    <row r="231" spans="5:7" ht="12.75">
      <c r="E231" s="87"/>
      <c r="F231" s="88"/>
      <c r="G231" s="87"/>
    </row>
    <row r="232" spans="5:7" ht="12.75">
      <c r="E232" s="87"/>
      <c r="F232" s="88"/>
      <c r="G232" s="87"/>
    </row>
    <row r="233" spans="5:7" ht="12.75">
      <c r="E233" s="87"/>
      <c r="F233" s="88"/>
      <c r="G233" s="87"/>
    </row>
    <row r="234" spans="5:7" ht="12.75">
      <c r="E234" s="87"/>
      <c r="F234" s="88"/>
      <c r="G234" s="87"/>
    </row>
    <row r="235" spans="5:7" ht="12.75">
      <c r="E235" s="87"/>
      <c r="F235" s="88"/>
      <c r="G235" s="87"/>
    </row>
    <row r="236" spans="5:7" ht="12.75">
      <c r="E236" s="87"/>
      <c r="F236" s="88"/>
      <c r="G236" s="87"/>
    </row>
    <row r="237" spans="5:7" ht="12.75">
      <c r="E237" s="87"/>
      <c r="F237" s="88"/>
      <c r="G237" s="87"/>
    </row>
    <row r="238" spans="5:7" ht="12.75">
      <c r="E238" s="87"/>
      <c r="F238" s="88"/>
      <c r="G238" s="87"/>
    </row>
    <row r="239" spans="5:7" ht="12.75">
      <c r="E239" s="87"/>
      <c r="F239" s="88"/>
      <c r="G239" s="87"/>
    </row>
    <row r="240" spans="5:7" ht="12.75">
      <c r="E240" s="87"/>
      <c r="F240" s="88"/>
      <c r="G240" s="87"/>
    </row>
    <row r="241" spans="5:7" ht="12.75">
      <c r="E241" s="87"/>
      <c r="F241" s="88"/>
      <c r="G241" s="87"/>
    </row>
    <row r="242" spans="5:7" ht="12.75">
      <c r="E242" s="87"/>
      <c r="F242" s="88"/>
      <c r="G242" s="87"/>
    </row>
    <row r="243" spans="5:7" ht="12.75">
      <c r="E243" s="87"/>
      <c r="F243" s="88"/>
      <c r="G243" s="87"/>
    </row>
    <row r="244" spans="5:7" ht="12.75">
      <c r="E244" s="87"/>
      <c r="F244" s="88"/>
      <c r="G244" s="87"/>
    </row>
    <row r="245" spans="5:7" ht="12.75">
      <c r="E245" s="87"/>
      <c r="F245" s="88"/>
      <c r="G245" s="87"/>
    </row>
    <row r="246" spans="5:7" ht="12.75">
      <c r="E246" s="87"/>
      <c r="F246" s="88"/>
      <c r="G246" s="87"/>
    </row>
    <row r="247" spans="5:7" ht="12.75">
      <c r="E247" s="87"/>
      <c r="F247" s="88"/>
      <c r="G247" s="87"/>
    </row>
    <row r="248" spans="5:7" ht="12.75">
      <c r="E248" s="87"/>
      <c r="F248" s="88"/>
      <c r="G248" s="87"/>
    </row>
    <row r="249" spans="5:7" ht="12.75">
      <c r="E249" s="87"/>
      <c r="F249" s="88"/>
      <c r="G249" s="87"/>
    </row>
    <row r="250" spans="5:7" ht="12.75">
      <c r="E250" s="87"/>
      <c r="F250" s="88"/>
      <c r="G250" s="87"/>
    </row>
    <row r="251" spans="5:7" ht="12.75">
      <c r="E251" s="87"/>
      <c r="F251" s="88"/>
      <c r="G251" s="87"/>
    </row>
    <row r="252" spans="5:7" ht="12.75">
      <c r="E252" s="87"/>
      <c r="F252" s="88"/>
      <c r="G252" s="87"/>
    </row>
    <row r="253" spans="5:7" ht="12.75">
      <c r="E253" s="87"/>
      <c r="F253" s="88"/>
      <c r="G253" s="87"/>
    </row>
    <row r="254" spans="5:7" ht="12.75">
      <c r="E254" s="87"/>
      <c r="F254" s="88"/>
      <c r="G254" s="87"/>
    </row>
    <row r="255" spans="5:7" ht="12.75">
      <c r="E255" s="87"/>
      <c r="F255" s="88"/>
      <c r="G255" s="87"/>
    </row>
    <row r="256" spans="5:7" ht="12.75">
      <c r="E256" s="87"/>
      <c r="F256" s="88"/>
      <c r="G256" s="87"/>
    </row>
    <row r="257" spans="5:7" ht="12.75">
      <c r="E257" s="87"/>
      <c r="F257" s="88"/>
      <c r="G257" s="87"/>
    </row>
    <row r="258" spans="5:7" ht="12.75">
      <c r="E258" s="87"/>
      <c r="F258" s="88"/>
      <c r="G258" s="87"/>
    </row>
    <row r="259" spans="5:7" ht="12.75">
      <c r="E259" s="87"/>
      <c r="F259" s="88"/>
      <c r="G259" s="87"/>
    </row>
    <row r="260" spans="5:7" ht="12.75">
      <c r="E260" s="87"/>
      <c r="F260" s="88"/>
      <c r="G260" s="87"/>
    </row>
    <row r="261" spans="5:7" ht="12.75">
      <c r="E261" s="87"/>
      <c r="F261" s="88"/>
      <c r="G261" s="87"/>
    </row>
    <row r="262" spans="5:7" ht="12.75">
      <c r="E262" s="87"/>
      <c r="F262" s="88"/>
      <c r="G262" s="87"/>
    </row>
    <row r="263" spans="5:7" ht="12.75">
      <c r="E263" s="87"/>
      <c r="F263" s="88"/>
      <c r="G263" s="87"/>
    </row>
    <row r="264" spans="5:7" ht="12.75">
      <c r="E264" s="87"/>
      <c r="F264" s="88"/>
      <c r="G264" s="87"/>
    </row>
    <row r="265" spans="5:7" ht="12.75">
      <c r="E265" s="87"/>
      <c r="F265" s="88"/>
      <c r="G265" s="87"/>
    </row>
    <row r="266" spans="5:7" ht="12.75">
      <c r="E266" s="87"/>
      <c r="F266" s="88"/>
      <c r="G266" s="87"/>
    </row>
    <row r="267" spans="5:7" ht="12.75">
      <c r="E267" s="87"/>
      <c r="F267" s="88"/>
      <c r="G267" s="87"/>
    </row>
    <row r="268" spans="5:7" ht="12.75">
      <c r="E268" s="87"/>
      <c r="F268" s="88"/>
      <c r="G268" s="87"/>
    </row>
    <row r="269" spans="5:7" ht="12.75">
      <c r="E269" s="87"/>
      <c r="F269" s="88"/>
      <c r="G269" s="87"/>
    </row>
    <row r="270" spans="5:7" ht="12.75">
      <c r="E270" s="87"/>
      <c r="F270" s="88"/>
      <c r="G270" s="87"/>
    </row>
    <row r="271" spans="5:7" ht="12.75">
      <c r="E271" s="87"/>
      <c r="F271" s="88"/>
      <c r="G271" s="87"/>
    </row>
    <row r="272" spans="5:7" ht="12.75">
      <c r="E272" s="87"/>
      <c r="F272" s="88"/>
      <c r="G272" s="87"/>
    </row>
    <row r="273" spans="5:7" ht="12.75">
      <c r="E273" s="87"/>
      <c r="F273" s="88"/>
      <c r="G273" s="87"/>
    </row>
    <row r="274" spans="5:7" ht="12.75">
      <c r="E274" s="87"/>
      <c r="F274" s="88"/>
      <c r="G274" s="87"/>
    </row>
    <row r="275" spans="5:7" ht="12.75">
      <c r="E275" s="87"/>
      <c r="F275" s="88"/>
      <c r="G275" s="87"/>
    </row>
    <row r="276" spans="5:7" ht="12.75">
      <c r="E276" s="87"/>
      <c r="F276" s="88"/>
      <c r="G276" s="87"/>
    </row>
    <row r="277" spans="5:7" ht="12.75">
      <c r="E277" s="87"/>
      <c r="F277" s="88"/>
      <c r="G277" s="87"/>
    </row>
    <row r="278" spans="5:7" ht="12.75">
      <c r="E278" s="87"/>
      <c r="F278" s="88"/>
      <c r="G278" s="87"/>
    </row>
    <row r="279" spans="5:7" ht="12.75">
      <c r="E279" s="87"/>
      <c r="F279" s="88"/>
      <c r="G279" s="87"/>
    </row>
    <row r="280" spans="5:7" ht="12.75">
      <c r="E280" s="87"/>
      <c r="F280" s="88"/>
      <c r="G280" s="87"/>
    </row>
    <row r="281" spans="5:7" ht="12.75">
      <c r="E281" s="87"/>
      <c r="F281" s="88"/>
      <c r="G281" s="87"/>
    </row>
    <row r="282" spans="5:7" ht="12.75">
      <c r="E282" s="87"/>
      <c r="F282" s="88"/>
      <c r="G282" s="87"/>
    </row>
    <row r="283" spans="5:7" ht="12.75">
      <c r="E283" s="87"/>
      <c r="F283" s="88"/>
      <c r="G283" s="87"/>
    </row>
    <row r="284" spans="5:7" ht="12.75">
      <c r="E284" s="87"/>
      <c r="F284" s="88"/>
      <c r="G284" s="87"/>
    </row>
    <row r="285" spans="5:7" ht="12.75">
      <c r="E285" s="87"/>
      <c r="F285" s="88"/>
      <c r="G285" s="87"/>
    </row>
    <row r="286" spans="5:7" ht="12.75">
      <c r="E286" s="87"/>
      <c r="F286" s="88"/>
      <c r="G286" s="87"/>
    </row>
    <row r="287" spans="5:7" ht="12.75">
      <c r="E287" s="87"/>
      <c r="F287" s="88"/>
      <c r="G287" s="87"/>
    </row>
    <row r="288" spans="5:7" ht="12.75">
      <c r="E288" s="87"/>
      <c r="F288" s="88"/>
      <c r="G288" s="87"/>
    </row>
    <row r="289" spans="5:7" ht="12.75">
      <c r="E289" s="87"/>
      <c r="F289" s="88"/>
      <c r="G289" s="87"/>
    </row>
    <row r="290" spans="5:7" ht="12.75">
      <c r="E290" s="87"/>
      <c r="F290" s="88"/>
      <c r="G290" s="87"/>
    </row>
    <row r="291" spans="5:7" ht="12.75">
      <c r="E291" s="87"/>
      <c r="F291" s="88"/>
      <c r="G291" s="87"/>
    </row>
    <row r="292" spans="5:7" ht="12.75">
      <c r="E292" s="87"/>
      <c r="F292" s="88"/>
      <c r="G292" s="87"/>
    </row>
    <row r="293" spans="5:7" ht="12.75">
      <c r="E293" s="87"/>
      <c r="F293" s="88"/>
      <c r="G293" s="87"/>
    </row>
    <row r="294" spans="5:7" ht="12.75">
      <c r="E294" s="87"/>
      <c r="F294" s="88"/>
      <c r="G294" s="87"/>
    </row>
    <row r="295" spans="5:7" ht="12.75">
      <c r="E295" s="87"/>
      <c r="F295" s="88"/>
      <c r="G295" s="87"/>
    </row>
    <row r="296" spans="5:7" ht="12.75">
      <c r="E296" s="87"/>
      <c r="F296" s="88"/>
      <c r="G296" s="87"/>
    </row>
    <row r="297" spans="5:7" ht="12.75">
      <c r="E297" s="87"/>
      <c r="F297" s="88"/>
      <c r="G297" s="87"/>
    </row>
    <row r="298" spans="5:7" ht="12.75">
      <c r="E298" s="87"/>
      <c r="F298" s="88"/>
      <c r="G298" s="87"/>
    </row>
    <row r="299" spans="5:7" ht="12.75">
      <c r="E299" s="87"/>
      <c r="F299" s="88"/>
      <c r="G299" s="87"/>
    </row>
    <row r="300" spans="5:7" ht="12.75">
      <c r="E300" s="87"/>
      <c r="F300" s="88"/>
      <c r="G300" s="87"/>
    </row>
    <row r="301" spans="5:7" ht="12.75">
      <c r="E301" s="87"/>
      <c r="F301" s="88"/>
      <c r="G301" s="87"/>
    </row>
    <row r="302" spans="5:7" ht="12.75">
      <c r="E302" s="87"/>
      <c r="F302" s="88"/>
      <c r="G302" s="87"/>
    </row>
    <row r="303" spans="5:7" ht="12.75">
      <c r="E303" s="87"/>
      <c r="F303" s="88"/>
      <c r="G303" s="87"/>
    </row>
    <row r="304" spans="5:7" ht="12.75">
      <c r="E304" s="87"/>
      <c r="F304" s="88"/>
      <c r="G304" s="87"/>
    </row>
    <row r="305" spans="5:7" ht="12.75">
      <c r="E305" s="87"/>
      <c r="F305" s="88"/>
      <c r="G305" s="87"/>
    </row>
    <row r="306" spans="5:7" ht="12.75">
      <c r="E306" s="87"/>
      <c r="F306" s="88"/>
      <c r="G306" s="87"/>
    </row>
    <row r="307" spans="5:7" ht="12.75">
      <c r="E307" s="87"/>
      <c r="F307" s="88"/>
      <c r="G307" s="87"/>
    </row>
    <row r="308" spans="5:7" ht="12.75">
      <c r="E308" s="87"/>
      <c r="F308" s="88"/>
      <c r="G308" s="87"/>
    </row>
    <row r="309" spans="5:7" ht="12.75">
      <c r="E309" s="87"/>
      <c r="F309" s="88"/>
      <c r="G309" s="87"/>
    </row>
    <row r="310" spans="5:7" ht="12.75">
      <c r="E310" s="87"/>
      <c r="F310" s="88"/>
      <c r="G310" s="87"/>
    </row>
    <row r="311" spans="5:7" ht="12.75">
      <c r="E311" s="87"/>
      <c r="F311" s="88"/>
      <c r="G311" s="87"/>
    </row>
    <row r="312" spans="5:7" ht="12.75">
      <c r="E312" s="87"/>
      <c r="F312" s="88"/>
      <c r="G312" s="87"/>
    </row>
    <row r="313" spans="5:7" ht="12.75">
      <c r="E313" s="87"/>
      <c r="F313" s="88"/>
      <c r="G313" s="87"/>
    </row>
    <row r="314" spans="5:7" ht="12.75">
      <c r="E314" s="87"/>
      <c r="F314" s="88"/>
      <c r="G314" s="87"/>
    </row>
    <row r="315" spans="5:7" ht="12.75">
      <c r="E315" s="87"/>
      <c r="F315" s="88"/>
      <c r="G315" s="87"/>
    </row>
    <row r="316" spans="5:7" ht="12.75">
      <c r="E316" s="87"/>
      <c r="F316" s="88"/>
      <c r="G316" s="87"/>
    </row>
    <row r="317" spans="5:7" ht="12.75">
      <c r="E317" s="87"/>
      <c r="F317" s="88"/>
      <c r="G317" s="87"/>
    </row>
    <row r="318" spans="5:7" ht="12.75">
      <c r="E318" s="87"/>
      <c r="F318" s="88"/>
      <c r="G318" s="87"/>
    </row>
    <row r="319" spans="5:7" ht="12.75">
      <c r="E319" s="87"/>
      <c r="F319" s="88"/>
      <c r="G319" s="87"/>
    </row>
    <row r="320" spans="5:7" ht="12.75">
      <c r="E320" s="87"/>
      <c r="F320" s="88"/>
      <c r="G320" s="87"/>
    </row>
    <row r="321" spans="5:7" ht="12.75">
      <c r="E321" s="87"/>
      <c r="F321" s="88"/>
      <c r="G321" s="87"/>
    </row>
    <row r="322" spans="5:7" ht="12.75">
      <c r="E322" s="87"/>
      <c r="F322" s="88"/>
      <c r="G322" s="87"/>
    </row>
    <row r="323" spans="5:7" ht="12.75">
      <c r="E323" s="87"/>
      <c r="F323" s="88"/>
      <c r="G323" s="87"/>
    </row>
    <row r="324" spans="5:7" ht="12.75">
      <c r="E324" s="87"/>
      <c r="F324" s="88"/>
      <c r="G324" s="87"/>
    </row>
    <row r="325" spans="5:7" ht="12.75">
      <c r="E325" s="87"/>
      <c r="F325" s="88"/>
      <c r="G325" s="87"/>
    </row>
    <row r="326" spans="5:7" ht="12.75">
      <c r="E326" s="87"/>
      <c r="F326" s="88"/>
      <c r="G326" s="87"/>
    </row>
    <row r="327" spans="5:7" ht="12.75">
      <c r="E327" s="87"/>
      <c r="F327" s="88"/>
      <c r="G327" s="87"/>
    </row>
    <row r="328" spans="5:7" ht="12.75">
      <c r="E328" s="87"/>
      <c r="F328" s="88"/>
      <c r="G328" s="87"/>
    </row>
    <row r="329" spans="5:7" ht="12.75">
      <c r="E329" s="87"/>
      <c r="F329" s="88"/>
      <c r="G329" s="87"/>
    </row>
    <row r="330" spans="5:7" ht="12.75">
      <c r="E330" s="87"/>
      <c r="F330" s="88"/>
      <c r="G330" s="87"/>
    </row>
    <row r="331" spans="5:7" ht="12.75">
      <c r="E331" s="87"/>
      <c r="F331" s="88"/>
      <c r="G331" s="87"/>
    </row>
    <row r="332" spans="5:7" ht="12.75">
      <c r="E332" s="87"/>
      <c r="F332" s="88"/>
      <c r="G332" s="87"/>
    </row>
    <row r="333" spans="5:7" ht="12.75">
      <c r="E333" s="87"/>
      <c r="F333" s="88"/>
      <c r="G333" s="87"/>
    </row>
    <row r="334" spans="5:7" ht="12.75">
      <c r="E334" s="87"/>
      <c r="F334" s="88"/>
      <c r="G334" s="87"/>
    </row>
    <row r="335" spans="5:7" ht="12.75">
      <c r="E335" s="87"/>
      <c r="F335" s="88"/>
      <c r="G335" s="87"/>
    </row>
    <row r="336" spans="5:7" ht="12.75">
      <c r="E336" s="87"/>
      <c r="F336" s="88"/>
      <c r="G336" s="87"/>
    </row>
    <row r="337" spans="5:7" ht="12.75">
      <c r="E337" s="87"/>
      <c r="F337" s="88"/>
      <c r="G337" s="87"/>
    </row>
    <row r="338" spans="5:7" ht="12.75">
      <c r="E338" s="87"/>
      <c r="F338" s="88"/>
      <c r="G338" s="87"/>
    </row>
    <row r="339" spans="5:7" ht="12.75">
      <c r="E339" s="87"/>
      <c r="F339" s="88"/>
      <c r="G339" s="87"/>
    </row>
    <row r="340" spans="5:7" ht="12.75">
      <c r="E340" s="87"/>
      <c r="F340" s="88"/>
      <c r="G340" s="87"/>
    </row>
    <row r="341" spans="5:7" ht="12.75">
      <c r="E341" s="87"/>
      <c r="F341" s="88"/>
      <c r="G341" s="87"/>
    </row>
    <row r="342" spans="5:7" ht="12.75">
      <c r="E342" s="87"/>
      <c r="F342" s="88"/>
      <c r="G342" s="87"/>
    </row>
    <row r="343" spans="5:7" ht="12.75">
      <c r="E343" s="87"/>
      <c r="F343" s="88"/>
      <c r="G343" s="87"/>
    </row>
    <row r="344" spans="5:7" ht="12.75">
      <c r="E344" s="87"/>
      <c r="F344" s="88"/>
      <c r="G344" s="87"/>
    </row>
    <row r="345" spans="5:7" ht="12.75">
      <c r="E345" s="87"/>
      <c r="F345" s="88"/>
      <c r="G345" s="87"/>
    </row>
    <row r="346" spans="5:7" ht="12.75">
      <c r="E346" s="87"/>
      <c r="F346" s="88"/>
      <c r="G346" s="87"/>
    </row>
    <row r="347" spans="5:7" ht="12.75">
      <c r="E347" s="87"/>
      <c r="F347" s="88"/>
      <c r="G347" s="87"/>
    </row>
    <row r="348" spans="5:7" ht="12.75">
      <c r="E348" s="87"/>
      <c r="F348" s="88"/>
      <c r="G348" s="87"/>
    </row>
    <row r="349" spans="5:7" ht="12.75">
      <c r="E349" s="87"/>
      <c r="F349" s="88"/>
      <c r="G349" s="87"/>
    </row>
    <row r="350" spans="5:7" ht="12.75">
      <c r="E350" s="87"/>
      <c r="F350" s="88"/>
      <c r="G350" s="87"/>
    </row>
    <row r="351" spans="5:7" ht="12.75">
      <c r="E351" s="87"/>
      <c r="F351" s="88"/>
      <c r="G351" s="87"/>
    </row>
    <row r="352" spans="5:7" ht="12.75">
      <c r="E352" s="87"/>
      <c r="F352" s="88"/>
      <c r="G352" s="87"/>
    </row>
    <row r="353" spans="5:7" ht="12.75">
      <c r="E353" s="87"/>
      <c r="F353" s="88"/>
      <c r="G353" s="87"/>
    </row>
    <row r="354" spans="5:7" ht="12.75">
      <c r="E354" s="87"/>
      <c r="F354" s="88"/>
      <c r="G354" s="87"/>
    </row>
    <row r="355" spans="5:7" ht="12.75">
      <c r="E355" s="87"/>
      <c r="F355" s="88"/>
      <c r="G355" s="87"/>
    </row>
    <row r="356" spans="5:7" ht="12.75">
      <c r="E356" s="87"/>
      <c r="F356" s="88"/>
      <c r="G356" s="87"/>
    </row>
    <row r="357" spans="5:7" ht="12.75">
      <c r="E357" s="87"/>
      <c r="F357" s="88"/>
      <c r="G357" s="87"/>
    </row>
    <row r="358" spans="5:7" ht="12.75">
      <c r="E358" s="87"/>
      <c r="F358" s="88"/>
      <c r="G358" s="87"/>
    </row>
    <row r="359" spans="5:7" ht="12.75">
      <c r="E359" s="87"/>
      <c r="F359" s="88"/>
      <c r="G359" s="87"/>
    </row>
    <row r="360" spans="5:7" ht="12.75">
      <c r="E360" s="87"/>
      <c r="F360" s="88"/>
      <c r="G360" s="87"/>
    </row>
    <row r="361" spans="5:7" ht="12.75">
      <c r="E361" s="87"/>
      <c r="F361" s="88"/>
      <c r="G361" s="87"/>
    </row>
    <row r="362" spans="5:7" ht="12.75">
      <c r="E362" s="87"/>
      <c r="F362" s="88"/>
      <c r="G362" s="87"/>
    </row>
    <row r="363" spans="5:7" ht="12.75">
      <c r="E363" s="87"/>
      <c r="F363" s="88"/>
      <c r="G363" s="87"/>
    </row>
    <row r="364" spans="5:7" ht="12.75">
      <c r="E364" s="87"/>
      <c r="F364" s="88"/>
      <c r="G364" s="87"/>
    </row>
    <row r="365" spans="5:7" ht="12.75">
      <c r="E365" s="87"/>
      <c r="F365" s="88"/>
      <c r="G365" s="87"/>
    </row>
    <row r="366" spans="5:7" ht="12.75">
      <c r="E366" s="87"/>
      <c r="F366" s="88"/>
      <c r="G366" s="87"/>
    </row>
    <row r="367" spans="5:7" ht="12.75">
      <c r="E367" s="87"/>
      <c r="F367" s="88"/>
      <c r="G367" s="87"/>
    </row>
    <row r="368" spans="5:7" ht="12.75">
      <c r="E368" s="87"/>
      <c r="F368" s="88"/>
      <c r="G368" s="87"/>
    </row>
    <row r="369" spans="5:7" ht="12.75">
      <c r="E369" s="87"/>
      <c r="F369" s="88"/>
      <c r="G369" s="87"/>
    </row>
    <row r="370" spans="5:7" ht="12.75">
      <c r="E370" s="87"/>
      <c r="F370" s="88"/>
      <c r="G370" s="87"/>
    </row>
    <row r="371" spans="5:7" ht="12.75">
      <c r="E371" s="87"/>
      <c r="F371" s="88"/>
      <c r="G371" s="87"/>
    </row>
    <row r="372" spans="5:7" ht="12.75">
      <c r="E372" s="87"/>
      <c r="F372" s="88"/>
      <c r="G372" s="87"/>
    </row>
    <row r="373" spans="5:7" ht="12.75">
      <c r="E373" s="87"/>
      <c r="F373" s="88"/>
      <c r="G373" s="87"/>
    </row>
    <row r="374" spans="5:7" ht="12.75">
      <c r="E374" s="87"/>
      <c r="F374" s="88"/>
      <c r="G374" s="87"/>
    </row>
    <row r="375" spans="5:7" ht="12.75">
      <c r="E375" s="87"/>
      <c r="F375" s="88"/>
      <c r="G375" s="87"/>
    </row>
    <row r="376" spans="5:7" ht="12.75">
      <c r="E376" s="87"/>
      <c r="F376" s="88"/>
      <c r="G376" s="87"/>
    </row>
    <row r="377" spans="5:7" ht="12.75">
      <c r="E377" s="87"/>
      <c r="F377" s="88"/>
      <c r="G377" s="87"/>
    </row>
    <row r="378" spans="5:7" ht="12.75">
      <c r="E378" s="87"/>
      <c r="F378" s="88"/>
      <c r="G378" s="87"/>
    </row>
    <row r="379" spans="5:7" ht="12.75">
      <c r="E379" s="87"/>
      <c r="F379" s="88"/>
      <c r="G379" s="87"/>
    </row>
    <row r="380" spans="5:7" ht="12.75">
      <c r="E380" s="87"/>
      <c r="F380" s="88"/>
      <c r="G380" s="87"/>
    </row>
    <row r="381" spans="5:7" ht="12.75">
      <c r="E381" s="87"/>
      <c r="F381" s="88"/>
      <c r="G381" s="87"/>
    </row>
    <row r="382" spans="5:7" ht="12.75">
      <c r="E382" s="87"/>
      <c r="F382" s="88"/>
      <c r="G382" s="87"/>
    </row>
    <row r="383" spans="5:7" ht="12.75">
      <c r="E383" s="87"/>
      <c r="F383" s="88"/>
      <c r="G383" s="87"/>
    </row>
    <row r="384" spans="5:7" ht="12.75">
      <c r="E384" s="87"/>
      <c r="F384" s="88"/>
      <c r="G384" s="87"/>
    </row>
    <row r="385" spans="5:7" ht="12.75">
      <c r="E385" s="87"/>
      <c r="F385" s="88"/>
      <c r="G385" s="87"/>
    </row>
    <row r="386" spans="5:7" ht="12.75">
      <c r="E386" s="87"/>
      <c r="F386" s="88"/>
      <c r="G386" s="87"/>
    </row>
    <row r="387" spans="5:7" ht="12.75">
      <c r="E387" s="87"/>
      <c r="F387" s="88"/>
      <c r="G387" s="87"/>
    </row>
    <row r="388" spans="5:7" ht="12.75">
      <c r="E388" s="87"/>
      <c r="F388" s="88"/>
      <c r="G388" s="87"/>
    </row>
    <row r="389" spans="5:7" ht="12.75">
      <c r="E389" s="87"/>
      <c r="F389" s="88"/>
      <c r="G389" s="87"/>
    </row>
    <row r="390" spans="5:7" ht="12.75">
      <c r="E390" s="87"/>
      <c r="F390" s="88"/>
      <c r="G390" s="87"/>
    </row>
    <row r="391" spans="5:7" ht="12.75">
      <c r="E391" s="87"/>
      <c r="F391" s="88"/>
      <c r="G391" s="87"/>
    </row>
    <row r="392" spans="5:7" ht="12.75">
      <c r="E392" s="87"/>
      <c r="F392" s="88"/>
      <c r="G392" s="87"/>
    </row>
    <row r="393" spans="5:7" ht="12.75">
      <c r="E393" s="87"/>
      <c r="F393" s="88"/>
      <c r="G393" s="87"/>
    </row>
    <row r="394" spans="5:7" ht="12.75">
      <c r="E394" s="87"/>
      <c r="F394" s="88"/>
      <c r="G394" s="87"/>
    </row>
    <row r="395" spans="5:7" ht="12.75">
      <c r="E395" s="87"/>
      <c r="F395" s="88"/>
      <c r="G395" s="87"/>
    </row>
    <row r="396" spans="5:7" ht="12.75">
      <c r="E396" s="87"/>
      <c r="F396" s="88"/>
      <c r="G396" s="87"/>
    </row>
    <row r="397" spans="5:7" ht="12.75">
      <c r="E397" s="87"/>
      <c r="F397" s="88"/>
      <c r="G397" s="87"/>
    </row>
    <row r="398" spans="5:7" ht="12.75">
      <c r="E398" s="87"/>
      <c r="F398" s="88"/>
      <c r="G398" s="87"/>
    </row>
    <row r="399" spans="5:7" ht="12.75">
      <c r="E399" s="87"/>
      <c r="F399" s="88"/>
      <c r="G399" s="87"/>
    </row>
    <row r="400" spans="5:7" ht="12.75">
      <c r="E400" s="87"/>
      <c r="F400" s="88"/>
      <c r="G400" s="87"/>
    </row>
    <row r="401" spans="5:7" ht="12.75">
      <c r="E401" s="87"/>
      <c r="F401" s="88"/>
      <c r="G401" s="87"/>
    </row>
    <row r="402" spans="5:7" ht="12.75">
      <c r="E402" s="87"/>
      <c r="F402" s="88"/>
      <c r="G402" s="87"/>
    </row>
    <row r="403" spans="5:7" ht="12.75">
      <c r="E403" s="87"/>
      <c r="F403" s="88"/>
      <c r="G403" s="87"/>
    </row>
    <row r="404" spans="5:7" ht="12.75">
      <c r="E404" s="87"/>
      <c r="F404" s="88"/>
      <c r="G404" s="87"/>
    </row>
    <row r="405" spans="5:7" ht="12.75">
      <c r="E405" s="87"/>
      <c r="F405" s="88"/>
      <c r="G405" s="87"/>
    </row>
    <row r="406" spans="5:7" ht="12.75">
      <c r="E406" s="87"/>
      <c r="F406" s="88"/>
      <c r="G406" s="87"/>
    </row>
    <row r="407" spans="5:7" ht="12.75">
      <c r="E407" s="87"/>
      <c r="F407" s="88"/>
      <c r="G407" s="87"/>
    </row>
    <row r="408" spans="5:7" ht="12.75">
      <c r="E408" s="87"/>
      <c r="F408" s="88"/>
      <c r="G408" s="87"/>
    </row>
    <row r="409" spans="5:7" ht="12.75">
      <c r="E409" s="87"/>
      <c r="F409" s="88"/>
      <c r="G409" s="87"/>
    </row>
    <row r="410" spans="5:7" ht="12.75">
      <c r="E410" s="87"/>
      <c r="F410" s="88"/>
      <c r="G410" s="87"/>
    </row>
    <row r="411" spans="5:7" ht="12.75">
      <c r="E411" s="87"/>
      <c r="F411" s="88"/>
      <c r="G411" s="87"/>
    </row>
    <row r="412" spans="5:7" ht="12.75">
      <c r="E412" s="87"/>
      <c r="F412" s="88"/>
      <c r="G412" s="87"/>
    </row>
    <row r="413" spans="5:7" ht="12.75">
      <c r="E413" s="87"/>
      <c r="F413" s="88"/>
      <c r="G413" s="87"/>
    </row>
    <row r="414" spans="5:7" ht="12.75">
      <c r="E414" s="87"/>
      <c r="F414" s="88"/>
      <c r="G414" s="87"/>
    </row>
    <row r="415" spans="5:7" ht="12.75">
      <c r="E415" s="87"/>
      <c r="F415" s="88"/>
      <c r="G415" s="87"/>
    </row>
    <row r="416" spans="5:7" ht="12.75">
      <c r="E416" s="87"/>
      <c r="F416" s="88"/>
      <c r="G416" s="87"/>
    </row>
    <row r="417" spans="5:7" ht="12.75">
      <c r="E417" s="87"/>
      <c r="F417" s="88"/>
      <c r="G417" s="87"/>
    </row>
    <row r="418" spans="5:7" ht="12.75">
      <c r="E418" s="87"/>
      <c r="F418" s="88"/>
      <c r="G418" s="87"/>
    </row>
    <row r="419" spans="5:7" ht="12.75">
      <c r="E419" s="87"/>
      <c r="F419" s="88"/>
      <c r="G419" s="87"/>
    </row>
    <row r="420" spans="5:7" ht="12.75">
      <c r="E420" s="87"/>
      <c r="F420" s="88"/>
      <c r="G420" s="87"/>
    </row>
    <row r="421" spans="5:7" ht="12.75">
      <c r="E421" s="87"/>
      <c r="F421" s="88"/>
      <c r="G421" s="87"/>
    </row>
    <row r="422" spans="5:7" ht="12.75">
      <c r="E422" s="87"/>
      <c r="F422" s="88"/>
      <c r="G422" s="87"/>
    </row>
    <row r="423" spans="5:7" ht="12.75">
      <c r="E423" s="87"/>
      <c r="F423" s="88"/>
      <c r="G423" s="87"/>
    </row>
    <row r="424" spans="5:7" ht="12.75">
      <c r="E424" s="87"/>
      <c r="F424" s="88"/>
      <c r="G424" s="87"/>
    </row>
    <row r="425" spans="5:7" ht="12.75">
      <c r="E425" s="87"/>
      <c r="F425" s="88"/>
      <c r="G425" s="87"/>
    </row>
    <row r="426" spans="5:7" ht="12.75">
      <c r="E426" s="87"/>
      <c r="F426" s="88"/>
      <c r="G426" s="87"/>
    </row>
    <row r="427" spans="5:7" ht="12.75">
      <c r="E427" s="87"/>
      <c r="F427" s="88"/>
      <c r="G427" s="87"/>
    </row>
    <row r="428" spans="5:7" ht="12.75">
      <c r="E428" s="87"/>
      <c r="F428" s="88"/>
      <c r="G428" s="87"/>
    </row>
    <row r="429" spans="5:7" ht="12.75">
      <c r="E429" s="87"/>
      <c r="F429" s="88"/>
      <c r="G429" s="87"/>
    </row>
    <row r="430" spans="5:7" ht="12.75">
      <c r="E430" s="87"/>
      <c r="F430" s="88"/>
      <c r="G430" s="87"/>
    </row>
    <row r="431" spans="5:7" ht="12.75">
      <c r="E431" s="87"/>
      <c r="F431" s="88"/>
      <c r="G431" s="87"/>
    </row>
    <row r="432" spans="5:7" ht="12.75">
      <c r="E432" s="87"/>
      <c r="F432" s="88"/>
      <c r="G432" s="87"/>
    </row>
    <row r="433" spans="5:7" ht="12.75">
      <c r="E433" s="87"/>
      <c r="F433" s="88"/>
      <c r="G433" s="87"/>
    </row>
    <row r="434" spans="5:7" ht="12.75">
      <c r="E434" s="87"/>
      <c r="F434" s="88"/>
      <c r="G434" s="87"/>
    </row>
    <row r="435" spans="5:7" ht="12.75">
      <c r="E435" s="87"/>
      <c r="F435" s="88"/>
      <c r="G435" s="87"/>
    </row>
    <row r="436" spans="5:7" ht="12.75">
      <c r="E436" s="87"/>
      <c r="F436" s="88"/>
      <c r="G436" s="87"/>
    </row>
    <row r="437" spans="5:7" ht="12.75">
      <c r="E437" s="87"/>
      <c r="F437" s="88"/>
      <c r="G437" s="87"/>
    </row>
    <row r="438" spans="5:7" ht="12.75">
      <c r="E438" s="87"/>
      <c r="F438" s="88"/>
      <c r="G438" s="87"/>
    </row>
    <row r="439" spans="5:7" ht="12.75">
      <c r="E439" s="87"/>
      <c r="F439" s="88"/>
      <c r="G439" s="87"/>
    </row>
    <row r="440" spans="5:7" ht="12.75">
      <c r="E440" s="87"/>
      <c r="F440" s="88"/>
      <c r="G440" s="87"/>
    </row>
    <row r="441" spans="5:7" ht="12.75">
      <c r="E441" s="87"/>
      <c r="F441" s="88"/>
      <c r="G441" s="87"/>
    </row>
    <row r="442" spans="5:7" ht="12.75">
      <c r="E442" s="87"/>
      <c r="F442" s="88"/>
      <c r="G442" s="87"/>
    </row>
    <row r="443" spans="5:7" ht="12.75">
      <c r="E443" s="87"/>
      <c r="F443" s="88"/>
      <c r="G443" s="87"/>
    </row>
    <row r="444" spans="5:7" ht="12.75">
      <c r="E444" s="87"/>
      <c r="F444" s="88"/>
      <c r="G444" s="87"/>
    </row>
    <row r="445" spans="5:7" ht="12.75">
      <c r="E445" s="87"/>
      <c r="F445" s="88"/>
      <c r="G445" s="87"/>
    </row>
    <row r="446" spans="5:7" ht="12.75">
      <c r="E446" s="87"/>
      <c r="F446" s="88"/>
      <c r="G446" s="87"/>
    </row>
    <row r="447" spans="5:7" ht="12.75">
      <c r="E447" s="87"/>
      <c r="F447" s="88"/>
      <c r="G447" s="87"/>
    </row>
    <row r="448" spans="5:7" ht="12.75">
      <c r="E448" s="87"/>
      <c r="F448" s="88"/>
      <c r="G448" s="87"/>
    </row>
    <row r="449" spans="5:7" ht="12.75">
      <c r="E449" s="87"/>
      <c r="F449" s="88"/>
      <c r="G449" s="87"/>
    </row>
    <row r="450" spans="5:7" ht="12.75">
      <c r="E450" s="87"/>
      <c r="F450" s="88"/>
      <c r="G450" s="87"/>
    </row>
    <row r="451" spans="5:7" ht="12.75">
      <c r="E451" s="87"/>
      <c r="F451" s="88"/>
      <c r="G451" s="87"/>
    </row>
    <row r="452" spans="5:7" ht="12.75">
      <c r="E452" s="87"/>
      <c r="F452" s="88"/>
      <c r="G452" s="87"/>
    </row>
    <row r="453" spans="5:7" ht="12.75">
      <c r="E453" s="87"/>
      <c r="F453" s="88"/>
      <c r="G453" s="87"/>
    </row>
    <row r="454" spans="5:7" ht="12.75">
      <c r="E454" s="87"/>
      <c r="F454" s="88"/>
      <c r="G454" s="87"/>
    </row>
    <row r="455" spans="5:7" ht="12.75">
      <c r="E455" s="87"/>
      <c r="F455" s="88"/>
      <c r="G455" s="87"/>
    </row>
    <row r="456" spans="5:7" ht="12.75">
      <c r="E456" s="87"/>
      <c r="F456" s="88"/>
      <c r="G456" s="87"/>
    </row>
    <row r="457" spans="5:7" ht="12.75">
      <c r="E457" s="87"/>
      <c r="F457" s="88"/>
      <c r="G457" s="87"/>
    </row>
    <row r="458" spans="5:7" ht="12.75">
      <c r="E458" s="87"/>
      <c r="F458" s="88"/>
      <c r="G458" s="87"/>
    </row>
    <row r="459" spans="5:7" ht="12.75">
      <c r="E459" s="87"/>
      <c r="F459" s="88"/>
      <c r="G459" s="87"/>
    </row>
    <row r="460" spans="5:7" ht="12.75">
      <c r="E460" s="87"/>
      <c r="F460" s="88"/>
      <c r="G460" s="87"/>
    </row>
    <row r="461" spans="5:7" ht="12.75">
      <c r="E461" s="87"/>
      <c r="F461" s="88"/>
      <c r="G461" s="87"/>
    </row>
    <row r="462" spans="5:7" ht="12.75">
      <c r="E462" s="87"/>
      <c r="F462" s="88"/>
      <c r="G462" s="87"/>
    </row>
    <row r="463" spans="5:7" ht="12.75">
      <c r="E463" s="87"/>
      <c r="F463" s="88"/>
      <c r="G463" s="87"/>
    </row>
    <row r="464" spans="5:7" ht="12.75">
      <c r="E464" s="87"/>
      <c r="F464" s="88"/>
      <c r="G464" s="87"/>
    </row>
    <row r="465" spans="5:7" ht="12.75">
      <c r="E465" s="87"/>
      <c r="F465" s="88"/>
      <c r="G465" s="87"/>
    </row>
    <row r="466" spans="5:7" ht="12.75">
      <c r="E466" s="87"/>
      <c r="F466" s="88"/>
      <c r="G466" s="87"/>
    </row>
    <row r="467" spans="5:7" ht="12.75">
      <c r="E467" s="87"/>
      <c r="F467" s="88"/>
      <c r="G467" s="87"/>
    </row>
    <row r="468" spans="5:7" ht="12.75">
      <c r="E468" s="87"/>
      <c r="F468" s="88"/>
      <c r="G468" s="87"/>
    </row>
    <row r="469" spans="5:7" ht="12.75">
      <c r="E469" s="87"/>
      <c r="F469" s="88"/>
      <c r="G469" s="87"/>
    </row>
    <row r="470" spans="5:7" ht="12.75">
      <c r="E470" s="87"/>
      <c r="F470" s="88"/>
      <c r="G470" s="87"/>
    </row>
    <row r="471" spans="5:7" ht="12.75">
      <c r="E471" s="87"/>
      <c r="F471" s="88"/>
      <c r="G471" s="87"/>
    </row>
    <row r="472" spans="5:7" ht="12.75">
      <c r="E472" s="87"/>
      <c r="F472" s="88"/>
      <c r="G472" s="87"/>
    </row>
    <row r="473" spans="5:7" ht="12.75">
      <c r="E473" s="87"/>
      <c r="F473" s="88"/>
      <c r="G473" s="87"/>
    </row>
    <row r="474" spans="5:7" ht="12.75">
      <c r="E474" s="87"/>
      <c r="F474" s="88"/>
      <c r="G474" s="87"/>
    </row>
    <row r="475" spans="5:7" ht="12.75">
      <c r="E475" s="87"/>
      <c r="F475" s="88"/>
      <c r="G475" s="87"/>
    </row>
    <row r="476" spans="5:7" ht="12.75">
      <c r="E476" s="87"/>
      <c r="F476" s="88"/>
      <c r="G476" s="87"/>
    </row>
    <row r="477" spans="5:7" ht="12.75">
      <c r="E477" s="87"/>
      <c r="F477" s="88"/>
      <c r="G477" s="87"/>
    </row>
    <row r="478" spans="5:7" ht="12.75">
      <c r="E478" s="87"/>
      <c r="F478" s="88"/>
      <c r="G478" s="87"/>
    </row>
    <row r="479" spans="5:7" ht="12.75">
      <c r="E479" s="87"/>
      <c r="F479" s="88"/>
      <c r="G479" s="87"/>
    </row>
    <row r="480" spans="5:7" ht="12.75">
      <c r="E480" s="87"/>
      <c r="F480" s="88"/>
      <c r="G480" s="87"/>
    </row>
    <row r="481" spans="5:7" ht="12.75">
      <c r="E481" s="87"/>
      <c r="F481" s="88"/>
      <c r="G481" s="87"/>
    </row>
    <row r="482" spans="5:7" ht="12.75">
      <c r="E482" s="87"/>
      <c r="F482" s="88"/>
      <c r="G482" s="87"/>
    </row>
    <row r="483" spans="5:7" ht="12.75">
      <c r="E483" s="87"/>
      <c r="F483" s="88"/>
      <c r="G483" s="87"/>
    </row>
    <row r="484" spans="5:7" ht="12.75">
      <c r="E484" s="87"/>
      <c r="F484" s="88"/>
      <c r="G484" s="87"/>
    </row>
    <row r="485" spans="5:7" ht="12.75">
      <c r="E485" s="87"/>
      <c r="F485" s="88"/>
      <c r="G485" s="87"/>
    </row>
    <row r="486" spans="5:7" ht="12.75">
      <c r="E486" s="87"/>
      <c r="F486" s="88"/>
      <c r="G486" s="87"/>
    </row>
    <row r="487" spans="5:7" ht="12.75">
      <c r="E487" s="87"/>
      <c r="F487" s="88"/>
      <c r="G487" s="87"/>
    </row>
    <row r="488" spans="5:7" ht="12.75">
      <c r="E488" s="87"/>
      <c r="F488" s="88"/>
      <c r="G488" s="87"/>
    </row>
    <row r="489" spans="5:7" ht="12.75">
      <c r="E489" s="87"/>
      <c r="F489" s="88"/>
      <c r="G489" s="87"/>
    </row>
    <row r="490" spans="5:7" ht="12.75">
      <c r="E490" s="87"/>
      <c r="F490" s="88"/>
      <c r="G490" s="87"/>
    </row>
    <row r="491" spans="5:7" ht="12.75">
      <c r="E491" s="87"/>
      <c r="F491" s="88"/>
      <c r="G491" s="87"/>
    </row>
    <row r="492" spans="5:7" ht="12.75">
      <c r="E492" s="87"/>
      <c r="F492" s="88"/>
      <c r="G492" s="87"/>
    </row>
    <row r="493" spans="5:7" ht="12.75">
      <c r="E493" s="87"/>
      <c r="F493" s="88"/>
      <c r="G493" s="87"/>
    </row>
    <row r="494" spans="5:7" ht="12.75">
      <c r="E494" s="87"/>
      <c r="F494" s="88"/>
      <c r="G494" s="87"/>
    </row>
    <row r="495" spans="5:7" ht="12.75">
      <c r="E495" s="87"/>
      <c r="F495" s="88"/>
      <c r="G495" s="87"/>
    </row>
    <row r="496" spans="5:7" ht="12.75">
      <c r="E496" s="87"/>
      <c r="F496" s="88"/>
      <c r="G496" s="87"/>
    </row>
    <row r="497" spans="5:7" ht="12.75">
      <c r="E497" s="87"/>
      <c r="F497" s="88"/>
      <c r="G497" s="87"/>
    </row>
    <row r="498" spans="5:7" ht="12.75">
      <c r="E498" s="87"/>
      <c r="F498" s="88"/>
      <c r="G498" s="87"/>
    </row>
    <row r="499" spans="5:7" ht="12.75">
      <c r="E499" s="87"/>
      <c r="F499" s="88"/>
      <c r="G499" s="87"/>
    </row>
    <row r="500" spans="5:7" ht="12.75">
      <c r="E500" s="87"/>
      <c r="F500" s="88"/>
      <c r="G500" s="87"/>
    </row>
    <row r="501" spans="5:7" ht="12.75">
      <c r="E501" s="87"/>
      <c r="F501" s="88"/>
      <c r="G501" s="87"/>
    </row>
    <row r="502" spans="5:7" ht="12.75">
      <c r="E502" s="87"/>
      <c r="F502" s="88"/>
      <c r="G502" s="87"/>
    </row>
    <row r="503" spans="5:7" ht="12.75">
      <c r="E503" s="87"/>
      <c r="F503" s="88"/>
      <c r="G503" s="87"/>
    </row>
    <row r="504" spans="5:7" ht="12.75">
      <c r="E504" s="87"/>
      <c r="F504" s="88"/>
      <c r="G504" s="87"/>
    </row>
    <row r="505" spans="5:7" ht="12.75">
      <c r="E505" s="87"/>
      <c r="F505" s="88"/>
      <c r="G505" s="87"/>
    </row>
    <row r="506" spans="5:7" ht="12.75">
      <c r="E506" s="87"/>
      <c r="F506" s="88"/>
      <c r="G506" s="87"/>
    </row>
    <row r="507" spans="5:7" ht="12.75">
      <c r="E507" s="87"/>
      <c r="F507" s="88"/>
      <c r="G507" s="87"/>
    </row>
    <row r="508" spans="5:7" ht="12.75">
      <c r="E508" s="87"/>
      <c r="F508" s="88"/>
      <c r="G508" s="87"/>
    </row>
    <row r="509" spans="5:7" ht="12.75">
      <c r="E509" s="87"/>
      <c r="F509" s="88"/>
      <c r="G509" s="87"/>
    </row>
    <row r="510" spans="5:7" ht="12.75">
      <c r="E510" s="87"/>
      <c r="F510" s="88"/>
      <c r="G510" s="87"/>
    </row>
    <row r="511" spans="5:7" ht="12.75">
      <c r="E511" s="87"/>
      <c r="F511" s="88"/>
      <c r="G511" s="87"/>
    </row>
    <row r="512" spans="5:7" ht="12.75">
      <c r="E512" s="87"/>
      <c r="F512" s="88"/>
      <c r="G512" s="87"/>
    </row>
    <row r="513" spans="5:7" ht="12.75">
      <c r="E513" s="87"/>
      <c r="F513" s="88"/>
      <c r="G513" s="87"/>
    </row>
    <row r="514" spans="5:7" ht="12.75">
      <c r="E514" s="87"/>
      <c r="F514" s="88"/>
      <c r="G514" s="87"/>
    </row>
    <row r="515" spans="5:7" ht="12.75">
      <c r="E515" s="87"/>
      <c r="F515" s="88"/>
      <c r="G515" s="87"/>
    </row>
    <row r="516" spans="5:7" ht="12.75">
      <c r="E516" s="87"/>
      <c r="F516" s="88"/>
      <c r="G516" s="87"/>
    </row>
    <row r="517" spans="5:7" ht="12.75">
      <c r="E517" s="87"/>
      <c r="F517" s="88"/>
      <c r="G517" s="87"/>
    </row>
    <row r="518" spans="5:7" ht="12.75">
      <c r="E518" s="87"/>
      <c r="F518" s="88"/>
      <c r="G518" s="87"/>
    </row>
    <row r="519" spans="5:7" ht="12.75">
      <c r="E519" s="87"/>
      <c r="F519" s="88"/>
      <c r="G519" s="87"/>
    </row>
    <row r="520" spans="5:7" ht="12.75">
      <c r="E520" s="87"/>
      <c r="F520" s="88"/>
      <c r="G520" s="87"/>
    </row>
    <row r="521" spans="5:7" ht="12.75">
      <c r="E521" s="87"/>
      <c r="F521" s="88"/>
      <c r="G521" s="87"/>
    </row>
    <row r="522" spans="5:7" ht="12.75">
      <c r="E522" s="87"/>
      <c r="F522" s="88"/>
      <c r="G522" s="87"/>
    </row>
    <row r="523" spans="5:7" ht="12.75">
      <c r="E523" s="87"/>
      <c r="F523" s="88"/>
      <c r="G523" s="87"/>
    </row>
    <row r="524" spans="5:7" ht="12.75">
      <c r="E524" s="87"/>
      <c r="F524" s="88"/>
      <c r="G524" s="87"/>
    </row>
    <row r="525" spans="5:7" ht="12.75">
      <c r="E525" s="87"/>
      <c r="F525" s="88"/>
      <c r="G525" s="87"/>
    </row>
    <row r="526" spans="5:7" ht="12.75">
      <c r="E526" s="87"/>
      <c r="F526" s="88"/>
      <c r="G526" s="87"/>
    </row>
    <row r="527" spans="5:7" ht="12.75">
      <c r="E527" s="87"/>
      <c r="F527" s="88"/>
      <c r="G527" s="87"/>
    </row>
    <row r="528" spans="5:7" ht="12.75">
      <c r="E528" s="87"/>
      <c r="F528" s="88"/>
      <c r="G528" s="87"/>
    </row>
    <row r="529" spans="5:7" ht="12.75">
      <c r="E529" s="87"/>
      <c r="F529" s="88"/>
      <c r="G529" s="87"/>
    </row>
    <row r="530" spans="5:7" ht="12.75">
      <c r="E530" s="87"/>
      <c r="F530" s="88"/>
      <c r="G530" s="87"/>
    </row>
    <row r="531" spans="5:7" ht="12.75">
      <c r="E531" s="87"/>
      <c r="F531" s="88"/>
      <c r="G531" s="87"/>
    </row>
    <row r="532" spans="5:7" ht="12.75">
      <c r="E532" s="87"/>
      <c r="F532" s="88"/>
      <c r="G532" s="87"/>
    </row>
    <row r="533" spans="5:7" ht="12.75">
      <c r="E533" s="87"/>
      <c r="F533" s="88"/>
      <c r="G533" s="87"/>
    </row>
    <row r="534" spans="5:7" ht="12.75">
      <c r="E534" s="87"/>
      <c r="F534" s="88"/>
      <c r="G534" s="87"/>
    </row>
    <row r="535" spans="5:7" ht="12.75">
      <c r="E535" s="87"/>
      <c r="F535" s="88"/>
      <c r="G535" s="87"/>
    </row>
    <row r="536" spans="5:7" ht="12.75">
      <c r="E536" s="87"/>
      <c r="F536" s="88"/>
      <c r="G536" s="87"/>
    </row>
    <row r="537" spans="5:7" ht="12.75">
      <c r="E537" s="87"/>
      <c r="F537" s="88"/>
      <c r="G537" s="87"/>
    </row>
    <row r="538" spans="5:7" ht="12.75">
      <c r="E538" s="87"/>
      <c r="F538" s="88"/>
      <c r="G538" s="87"/>
    </row>
    <row r="539" spans="5:7" ht="12.75">
      <c r="E539" s="87"/>
      <c r="F539" s="88"/>
      <c r="G539" s="87"/>
    </row>
    <row r="540" spans="5:7" ht="12.75">
      <c r="E540" s="87"/>
      <c r="F540" s="88"/>
      <c r="G540" s="87"/>
    </row>
    <row r="541" spans="5:7" ht="12.75">
      <c r="E541" s="87"/>
      <c r="F541" s="88"/>
      <c r="G541" s="87"/>
    </row>
    <row r="542" spans="5:7" ht="12.75">
      <c r="E542" s="87"/>
      <c r="F542" s="88"/>
      <c r="G542" s="87"/>
    </row>
    <row r="543" spans="5:7" ht="12.75">
      <c r="E543" s="87"/>
      <c r="F543" s="88"/>
      <c r="G543" s="87"/>
    </row>
    <row r="544" spans="5:7" ht="12.75">
      <c r="E544" s="87"/>
      <c r="F544" s="88"/>
      <c r="G544" s="87"/>
    </row>
    <row r="545" spans="5:7" ht="12.75">
      <c r="E545" s="87"/>
      <c r="F545" s="88"/>
      <c r="G545" s="87"/>
    </row>
    <row r="546" spans="5:7" ht="12.75">
      <c r="E546" s="87"/>
      <c r="F546" s="88"/>
      <c r="G546" s="87"/>
    </row>
    <row r="547" spans="5:7" ht="12.75">
      <c r="E547" s="87"/>
      <c r="F547" s="88"/>
      <c r="G547" s="87"/>
    </row>
    <row r="548" spans="5:7" ht="12.75">
      <c r="E548" s="87"/>
      <c r="F548" s="88"/>
      <c r="G548" s="87"/>
    </row>
    <row r="549" spans="5:7" ht="12.75">
      <c r="E549" s="87"/>
      <c r="F549" s="88"/>
      <c r="G549" s="87"/>
    </row>
    <row r="550" spans="5:7" ht="12.75">
      <c r="E550" s="87"/>
      <c r="F550" s="88"/>
      <c r="G550" s="87"/>
    </row>
    <row r="551" spans="5:7" ht="12.75">
      <c r="E551" s="87"/>
      <c r="F551" s="88"/>
      <c r="G551" s="87"/>
    </row>
    <row r="552" spans="5:7" ht="12.75">
      <c r="E552" s="87"/>
      <c r="F552" s="88"/>
      <c r="G552" s="87"/>
    </row>
    <row r="553" spans="5:7" ht="12.75">
      <c r="E553" s="87"/>
      <c r="F553" s="88"/>
      <c r="G553" s="87"/>
    </row>
    <row r="554" spans="5:7" ht="12.75">
      <c r="E554" s="87"/>
      <c r="F554" s="88"/>
      <c r="G554" s="87"/>
    </row>
    <row r="555" spans="5:7" ht="12.75">
      <c r="E555" s="87"/>
      <c r="F555" s="88"/>
      <c r="G555" s="87"/>
    </row>
    <row r="556" spans="5:7" ht="12.75">
      <c r="E556" s="87"/>
      <c r="F556" s="88"/>
      <c r="G556" s="87"/>
    </row>
    <row r="557" spans="5:7" ht="12.75">
      <c r="E557" s="87"/>
      <c r="F557" s="88"/>
      <c r="G557" s="87"/>
    </row>
    <row r="558" spans="5:7" ht="12.75">
      <c r="E558" s="87"/>
      <c r="F558" s="88"/>
      <c r="G558" s="87"/>
    </row>
    <row r="559" spans="5:7" ht="12.75">
      <c r="E559" s="87"/>
      <c r="F559" s="88"/>
      <c r="G559" s="87"/>
    </row>
    <row r="560" spans="5:7" ht="12.75">
      <c r="E560" s="87"/>
      <c r="F560" s="88"/>
      <c r="G560" s="87"/>
    </row>
    <row r="561" spans="5:7" ht="12.75">
      <c r="E561" s="87"/>
      <c r="F561" s="88"/>
      <c r="G561" s="87"/>
    </row>
    <row r="562" spans="5:7" ht="12.75">
      <c r="E562" s="87"/>
      <c r="F562" s="88"/>
      <c r="G562" s="87"/>
    </row>
    <row r="563" spans="5:7" ht="12.75">
      <c r="E563" s="87"/>
      <c r="F563" s="88"/>
      <c r="G563" s="87"/>
    </row>
    <row r="564" spans="5:7" ht="12.75">
      <c r="E564" s="87"/>
      <c r="F564" s="88"/>
      <c r="G564" s="87"/>
    </row>
    <row r="565" spans="5:7" ht="12.75">
      <c r="E565" s="87"/>
      <c r="F565" s="88"/>
      <c r="G565" s="87"/>
    </row>
    <row r="566" spans="5:7" ht="12.75">
      <c r="E566" s="87"/>
      <c r="F566" s="88"/>
      <c r="G566" s="87"/>
    </row>
    <row r="567" spans="5:7" ht="12.75">
      <c r="E567" s="87"/>
      <c r="F567" s="88"/>
      <c r="G567" s="87"/>
    </row>
    <row r="568" spans="5:7" ht="12.75">
      <c r="E568" s="87"/>
      <c r="F568" s="88"/>
      <c r="G568" s="87"/>
    </row>
    <row r="569" spans="5:7" ht="12.75">
      <c r="E569" s="87"/>
      <c r="F569" s="88"/>
      <c r="G569" s="87"/>
    </row>
    <row r="570" spans="5:7" ht="12.75">
      <c r="E570" s="87"/>
      <c r="F570" s="88"/>
      <c r="G570" s="87"/>
    </row>
    <row r="571" spans="5:7" ht="12.75">
      <c r="E571" s="87"/>
      <c r="F571" s="88"/>
      <c r="G571" s="87"/>
    </row>
    <row r="572" spans="5:7" ht="12.75">
      <c r="E572" s="87"/>
      <c r="F572" s="88"/>
      <c r="G572" s="87"/>
    </row>
    <row r="573" spans="5:7" ht="12.75">
      <c r="E573" s="87"/>
      <c r="F573" s="88"/>
      <c r="G573" s="87"/>
    </row>
    <row r="574" spans="5:7" ht="12.75">
      <c r="E574" s="87"/>
      <c r="F574" s="88"/>
      <c r="G574" s="87"/>
    </row>
    <row r="575" spans="5:7" ht="12.75">
      <c r="E575" s="87"/>
      <c r="F575" s="88"/>
      <c r="G575" s="87"/>
    </row>
    <row r="576" spans="5:7" ht="12.75">
      <c r="E576" s="87"/>
      <c r="F576" s="88"/>
      <c r="G576" s="87"/>
    </row>
    <row r="577" spans="5:7" ht="12.75">
      <c r="E577" s="87"/>
      <c r="F577" s="88"/>
      <c r="G577" s="87"/>
    </row>
    <row r="578" spans="5:7" ht="12.75">
      <c r="E578" s="87"/>
      <c r="F578" s="88"/>
      <c r="G578" s="87"/>
    </row>
    <row r="579" spans="5:7" ht="12.75">
      <c r="E579" s="87"/>
      <c r="F579" s="88"/>
      <c r="G579" s="87"/>
    </row>
    <row r="580" spans="5:7" ht="12.75">
      <c r="E580" s="87"/>
      <c r="F580" s="88"/>
      <c r="G580" s="87"/>
    </row>
    <row r="581" spans="5:7" ht="12.75">
      <c r="E581" s="87"/>
      <c r="F581" s="88"/>
      <c r="G581" s="87"/>
    </row>
    <row r="582" spans="5:7" ht="12.75">
      <c r="E582" s="87"/>
      <c r="F582" s="88"/>
      <c r="G582" s="87"/>
    </row>
    <row r="583" spans="5:7" ht="12.75">
      <c r="E583" s="87"/>
      <c r="F583" s="88"/>
      <c r="G583" s="87"/>
    </row>
    <row r="584" spans="5:7" ht="12.75">
      <c r="E584" s="87"/>
      <c r="F584" s="88"/>
      <c r="G584" s="87"/>
    </row>
    <row r="585" spans="5:7" ht="12.75">
      <c r="E585" s="87"/>
      <c r="F585" s="88"/>
      <c r="G585" s="87"/>
    </row>
    <row r="586" spans="5:7" ht="12.75">
      <c r="E586" s="87"/>
      <c r="F586" s="88"/>
      <c r="G586" s="87"/>
    </row>
    <row r="587" spans="5:7" ht="12.75">
      <c r="E587" s="87"/>
      <c r="F587" s="88"/>
      <c r="G587" s="87"/>
    </row>
    <row r="588" spans="5:7" ht="12.75">
      <c r="E588" s="87"/>
      <c r="F588" s="88"/>
      <c r="G588" s="87"/>
    </row>
    <row r="589" spans="5:7" ht="12.75">
      <c r="E589" s="87"/>
      <c r="F589" s="88"/>
      <c r="G589" s="87"/>
    </row>
    <row r="590" spans="5:7" ht="12.75">
      <c r="E590" s="87"/>
      <c r="F590" s="88"/>
      <c r="G590" s="87"/>
    </row>
    <row r="591" spans="5:7" ht="12.75">
      <c r="E591" s="87"/>
      <c r="F591" s="88"/>
      <c r="G591" s="87"/>
    </row>
    <row r="592" spans="5:7" ht="12.75">
      <c r="E592" s="87"/>
      <c r="F592" s="88"/>
      <c r="G592" s="87"/>
    </row>
    <row r="593" spans="5:7" ht="12.75">
      <c r="E593" s="87"/>
      <c r="F593" s="88"/>
      <c r="G593" s="87"/>
    </row>
    <row r="594" spans="5:7" ht="12.75">
      <c r="E594" s="87"/>
      <c r="F594" s="88"/>
      <c r="G594" s="87"/>
    </row>
    <row r="595" spans="5:7" ht="12.75">
      <c r="E595" s="87"/>
      <c r="F595" s="88"/>
      <c r="G595" s="87"/>
    </row>
    <row r="596" spans="5:7" ht="12.75">
      <c r="E596" s="87"/>
      <c r="F596" s="88"/>
      <c r="G596" s="87"/>
    </row>
    <row r="597" spans="5:7" ht="12.75">
      <c r="E597" s="87"/>
      <c r="F597" s="88"/>
      <c r="G597" s="87"/>
    </row>
    <row r="598" spans="5:7" ht="12.75">
      <c r="E598" s="87"/>
      <c r="F598" s="88"/>
      <c r="G598" s="87"/>
    </row>
    <row r="599" spans="5:7" ht="12.75">
      <c r="E599" s="87"/>
      <c r="F599" s="88"/>
      <c r="G599" s="87"/>
    </row>
    <row r="600" spans="5:7" ht="12.75">
      <c r="E600" s="87"/>
      <c r="F600" s="88"/>
      <c r="G600" s="87"/>
    </row>
    <row r="601" spans="5:7" ht="12.75">
      <c r="E601" s="87"/>
      <c r="F601" s="88"/>
      <c r="G601" s="87"/>
    </row>
    <row r="602" spans="5:7" ht="12.75">
      <c r="E602" s="87"/>
      <c r="F602" s="88"/>
      <c r="G602" s="87"/>
    </row>
    <row r="603" spans="5:7" ht="12.75">
      <c r="E603" s="87"/>
      <c r="F603" s="88"/>
      <c r="G603" s="87"/>
    </row>
    <row r="604" spans="5:7" ht="12.75">
      <c r="E604" s="87"/>
      <c r="F604" s="88"/>
      <c r="G604" s="87"/>
    </row>
    <row r="605" spans="5:7" ht="12.75">
      <c r="E605" s="87"/>
      <c r="F605" s="88"/>
      <c r="G605" s="87"/>
    </row>
    <row r="606" spans="5:7" ht="12.75">
      <c r="E606" s="87"/>
      <c r="F606" s="88"/>
      <c r="G606" s="87"/>
    </row>
    <row r="607" spans="5:7" ht="12.75">
      <c r="E607" s="87"/>
      <c r="F607" s="88"/>
      <c r="G607" s="87"/>
    </row>
    <row r="608" spans="5:7" ht="12.75">
      <c r="E608" s="87"/>
      <c r="F608" s="88"/>
      <c r="G608" s="87"/>
    </row>
    <row r="609" spans="5:7" ht="12.75">
      <c r="E609" s="87"/>
      <c r="F609" s="88"/>
      <c r="G609" s="87"/>
    </row>
    <row r="610" spans="5:7" ht="12.75">
      <c r="E610" s="87"/>
      <c r="F610" s="88"/>
      <c r="G610" s="87"/>
    </row>
    <row r="611" spans="5:7" ht="12.75">
      <c r="E611" s="87"/>
      <c r="F611" s="88"/>
      <c r="G611" s="87"/>
    </row>
    <row r="612" spans="5:7" ht="12.75">
      <c r="E612" s="87"/>
      <c r="F612" s="88"/>
      <c r="G612" s="87"/>
    </row>
    <row r="613" spans="5:7" ht="12.75">
      <c r="E613" s="87"/>
      <c r="F613" s="88"/>
      <c r="G613" s="87"/>
    </row>
    <row r="614" spans="5:7" ht="12.75">
      <c r="E614" s="87"/>
      <c r="F614" s="88"/>
      <c r="G614" s="87"/>
    </row>
    <row r="615" spans="5:7" ht="12.75">
      <c r="E615" s="87"/>
      <c r="F615" s="88"/>
      <c r="G615" s="87"/>
    </row>
    <row r="616" spans="5:7" ht="12.75">
      <c r="E616" s="87"/>
      <c r="F616" s="88"/>
      <c r="G616" s="87"/>
    </row>
    <row r="617" spans="5:7" ht="12.75">
      <c r="E617" s="87"/>
      <c r="F617" s="88"/>
      <c r="G617" s="87"/>
    </row>
    <row r="618" spans="5:7" ht="12.75">
      <c r="E618" s="87"/>
      <c r="F618" s="88"/>
      <c r="G618" s="87"/>
    </row>
    <row r="619" spans="5:7" ht="12.75">
      <c r="E619" s="87"/>
      <c r="F619" s="88"/>
      <c r="G619" s="87"/>
    </row>
    <row r="620" spans="5:7" ht="12.75">
      <c r="E620" s="87"/>
      <c r="F620" s="88"/>
      <c r="G620" s="87"/>
    </row>
    <row r="621" spans="5:7" ht="12.75">
      <c r="E621" s="87"/>
      <c r="F621" s="88"/>
      <c r="G621" s="87"/>
    </row>
    <row r="622" spans="5:7" ht="12.75">
      <c r="E622" s="87"/>
      <c r="F622" s="88"/>
      <c r="G622" s="87"/>
    </row>
    <row r="623" spans="5:7" ht="12.75">
      <c r="E623" s="87"/>
      <c r="F623" s="88"/>
      <c r="G623" s="87"/>
    </row>
    <row r="624" spans="5:7" ht="12.75">
      <c r="E624" s="87"/>
      <c r="F624" s="88"/>
      <c r="G624" s="87"/>
    </row>
    <row r="625" spans="5:7" ht="12.75">
      <c r="E625" s="87"/>
      <c r="F625" s="88"/>
      <c r="G625" s="87"/>
    </row>
    <row r="626" spans="5:7" ht="12.75">
      <c r="E626" s="87"/>
      <c r="F626" s="88"/>
      <c r="G626" s="87"/>
    </row>
    <row r="627" spans="5:7" ht="12.75">
      <c r="E627" s="87"/>
      <c r="F627" s="88"/>
      <c r="G627" s="87"/>
    </row>
    <row r="628" spans="5:7" ht="12.75">
      <c r="E628" s="87"/>
      <c r="F628" s="88"/>
      <c r="G628" s="87"/>
    </row>
    <row r="629" spans="5:7" ht="12.75">
      <c r="E629" s="87"/>
      <c r="F629" s="88"/>
      <c r="G629" s="87"/>
    </row>
    <row r="630" spans="5:7" ht="12.75">
      <c r="E630" s="87"/>
      <c r="F630" s="88"/>
      <c r="G630" s="87"/>
    </row>
    <row r="631" spans="5:7" ht="12.75">
      <c r="E631" s="87"/>
      <c r="F631" s="88"/>
      <c r="G631" s="87"/>
    </row>
    <row r="632" spans="5:7" ht="12.75">
      <c r="E632" s="87"/>
      <c r="F632" s="88"/>
      <c r="G632" s="87"/>
    </row>
    <row r="633" spans="5:7" ht="12.75">
      <c r="E633" s="87"/>
      <c r="F633" s="88"/>
      <c r="G633" s="87"/>
    </row>
    <row r="634" spans="5:7" ht="12.75">
      <c r="E634" s="87"/>
      <c r="F634" s="88"/>
      <c r="G634" s="87"/>
    </row>
    <row r="635" spans="5:7" ht="12.75">
      <c r="E635" s="87"/>
      <c r="F635" s="88"/>
      <c r="G635" s="87"/>
    </row>
    <row r="636" spans="5:7" ht="12.75">
      <c r="E636" s="87"/>
      <c r="F636" s="88"/>
      <c r="G636" s="87"/>
    </row>
    <row r="637" spans="5:7" ht="12.75">
      <c r="E637" s="87"/>
      <c r="F637" s="88"/>
      <c r="G637" s="87"/>
    </row>
    <row r="638" spans="5:7" ht="12.75">
      <c r="E638" s="87"/>
      <c r="F638" s="88"/>
      <c r="G638" s="87"/>
    </row>
    <row r="639" spans="5:7" ht="12.75">
      <c r="E639" s="87"/>
      <c r="F639" s="88"/>
      <c r="G639" s="87"/>
    </row>
    <row r="640" spans="5:7" ht="12.75">
      <c r="E640" s="87"/>
      <c r="F640" s="88"/>
      <c r="G640" s="87"/>
    </row>
    <row r="641" spans="5:7" ht="12.75">
      <c r="E641" s="87"/>
      <c r="F641" s="88"/>
      <c r="G641" s="87"/>
    </row>
    <row r="642" spans="5:7" ht="12.75">
      <c r="E642" s="87"/>
      <c r="F642" s="88"/>
      <c r="G642" s="87"/>
    </row>
    <row r="643" spans="5:7" ht="12.75">
      <c r="E643" s="87"/>
      <c r="F643" s="88"/>
      <c r="G643" s="87"/>
    </row>
    <row r="644" spans="5:7" ht="12.75">
      <c r="E644" s="87"/>
      <c r="F644" s="88"/>
      <c r="G644" s="87"/>
    </row>
    <row r="645" spans="5:7" ht="12.75">
      <c r="E645" s="87"/>
      <c r="F645" s="88"/>
      <c r="G645" s="87"/>
    </row>
    <row r="646" spans="5:7" ht="12.75">
      <c r="E646" s="87"/>
      <c r="F646" s="88"/>
      <c r="G646" s="87"/>
    </row>
    <row r="647" spans="5:7" ht="12.75">
      <c r="E647" s="87"/>
      <c r="F647" s="88"/>
      <c r="G647" s="87"/>
    </row>
    <row r="648" spans="5:7" ht="12.75">
      <c r="E648" s="87"/>
      <c r="F648" s="88"/>
      <c r="G648" s="87"/>
    </row>
    <row r="649" spans="5:7" ht="12.75">
      <c r="E649" s="87"/>
      <c r="F649" s="88"/>
      <c r="G649" s="87"/>
    </row>
    <row r="650" spans="5:7" ht="12.75">
      <c r="E650" s="87"/>
      <c r="F650" s="88"/>
      <c r="G650" s="87"/>
    </row>
    <row r="651" spans="5:7" ht="12.75">
      <c r="E651" s="87"/>
      <c r="F651" s="88"/>
      <c r="G651" s="87"/>
    </row>
    <row r="652" spans="5:7" ht="12.75">
      <c r="E652" s="87"/>
      <c r="F652" s="88"/>
      <c r="G652" s="87"/>
    </row>
    <row r="653" spans="5:7" ht="12.75">
      <c r="E653" s="87"/>
      <c r="F653" s="88"/>
      <c r="G653" s="87"/>
    </row>
    <row r="654" spans="5:7" ht="12.75">
      <c r="E654" s="87"/>
      <c r="F654" s="88"/>
      <c r="G654" s="87"/>
    </row>
    <row r="655" spans="5:7" ht="12.75">
      <c r="E655" s="87"/>
      <c r="F655" s="88"/>
      <c r="G655" s="87"/>
    </row>
    <row r="656" spans="5:7" ht="12.75">
      <c r="E656" s="87"/>
      <c r="F656" s="88"/>
      <c r="G656" s="87"/>
    </row>
    <row r="657" spans="5:7" ht="12.75">
      <c r="E657" s="87"/>
      <c r="F657" s="88"/>
      <c r="G657" s="87"/>
    </row>
    <row r="658" spans="5:7" ht="12.75">
      <c r="E658" s="87"/>
      <c r="F658" s="88"/>
      <c r="G658" s="87"/>
    </row>
    <row r="659" spans="5:7" ht="12.75">
      <c r="E659" s="87"/>
      <c r="F659" s="88"/>
      <c r="G659" s="87"/>
    </row>
    <row r="660" spans="5:7" ht="12.75">
      <c r="E660" s="87"/>
      <c r="F660" s="88"/>
      <c r="G660" s="87"/>
    </row>
    <row r="661" spans="5:7" ht="12.75">
      <c r="E661" s="87"/>
      <c r="F661" s="88"/>
      <c r="G661" s="87"/>
    </row>
    <row r="662" spans="5:7" ht="12.75">
      <c r="E662" s="87"/>
      <c r="F662" s="88"/>
      <c r="G662" s="87"/>
    </row>
    <row r="663" spans="5:7" ht="12.75">
      <c r="E663" s="87"/>
      <c r="F663" s="88"/>
      <c r="G663" s="87"/>
    </row>
    <row r="664" spans="5:7" ht="12.75">
      <c r="E664" s="87"/>
      <c r="F664" s="88"/>
      <c r="G664" s="87"/>
    </row>
    <row r="665" spans="5:7" ht="12.75">
      <c r="E665" s="87"/>
      <c r="F665" s="88"/>
      <c r="G665" s="87"/>
    </row>
    <row r="666" spans="5:7" ht="12.75">
      <c r="E666" s="87"/>
      <c r="F666" s="88"/>
      <c r="G666" s="87"/>
    </row>
    <row r="667" spans="5:7" ht="12.75">
      <c r="E667" s="87"/>
      <c r="F667" s="88"/>
      <c r="G667" s="87"/>
    </row>
    <row r="668" spans="5:7" ht="12.75">
      <c r="E668" s="87"/>
      <c r="F668" s="88"/>
      <c r="G668" s="87"/>
    </row>
    <row r="669" spans="5:7" ht="12.75">
      <c r="E669" s="87"/>
      <c r="F669" s="88"/>
      <c r="G669" s="87"/>
    </row>
    <row r="670" spans="5:7" ht="12.75">
      <c r="E670" s="87"/>
      <c r="F670" s="88"/>
      <c r="G670" s="87"/>
    </row>
    <row r="671" spans="5:7" ht="12.75">
      <c r="E671" s="87"/>
      <c r="F671" s="88"/>
      <c r="G671" s="87"/>
    </row>
    <row r="672" spans="5:7" ht="12.75">
      <c r="E672" s="87"/>
      <c r="F672" s="88"/>
      <c r="G672" s="87"/>
    </row>
    <row r="673" spans="5:7" ht="12.75">
      <c r="E673" s="87"/>
      <c r="F673" s="88"/>
      <c r="G673" s="87"/>
    </row>
    <row r="674" spans="5:7" ht="12.75">
      <c r="E674" s="87"/>
      <c r="F674" s="88"/>
      <c r="G674" s="87"/>
    </row>
    <row r="675" spans="5:7" ht="12.75">
      <c r="E675" s="87"/>
      <c r="F675" s="88"/>
      <c r="G675" s="87"/>
    </row>
    <row r="676" spans="5:7" ht="12.75">
      <c r="E676" s="87"/>
      <c r="F676" s="88"/>
      <c r="G676" s="87"/>
    </row>
    <row r="677" spans="5:7" ht="12.75">
      <c r="E677" s="87"/>
      <c r="F677" s="88"/>
      <c r="G677" s="87"/>
    </row>
    <row r="678" spans="5:7" ht="12.75">
      <c r="E678" s="87"/>
      <c r="F678" s="88"/>
      <c r="G678" s="87"/>
    </row>
    <row r="679" spans="5:7" ht="12.75">
      <c r="E679" s="87"/>
      <c r="F679" s="88"/>
      <c r="G679" s="87"/>
    </row>
    <row r="680" spans="5:7" ht="12.75">
      <c r="E680" s="87"/>
      <c r="F680" s="88"/>
      <c r="G680" s="87"/>
    </row>
    <row r="681" spans="5:7" ht="12.75">
      <c r="E681" s="87"/>
      <c r="F681" s="88"/>
      <c r="G681" s="87"/>
    </row>
    <row r="682" spans="5:7" ht="12.75">
      <c r="E682" s="87"/>
      <c r="F682" s="88"/>
      <c r="G682" s="87"/>
    </row>
    <row r="683" spans="5:7" ht="12.75">
      <c r="E683" s="87"/>
      <c r="F683" s="88"/>
      <c r="G683" s="87"/>
    </row>
    <row r="684" spans="5:7" ht="12.75">
      <c r="E684" s="87"/>
      <c r="F684" s="88"/>
      <c r="G684" s="87"/>
    </row>
    <row r="685" spans="5:7" ht="12.75">
      <c r="E685" s="87"/>
      <c r="F685" s="88"/>
      <c r="G685" s="87"/>
    </row>
    <row r="686" spans="5:7" ht="12.75">
      <c r="E686" s="87"/>
      <c r="F686" s="88"/>
      <c r="G686" s="87"/>
    </row>
    <row r="687" spans="5:7" ht="12.75">
      <c r="E687" s="87"/>
      <c r="F687" s="88"/>
      <c r="G687" s="87"/>
    </row>
    <row r="688" spans="5:7" ht="12.75">
      <c r="E688" s="87"/>
      <c r="F688" s="88"/>
      <c r="G688" s="87"/>
    </row>
    <row r="689" spans="5:7" ht="12.75">
      <c r="E689" s="87"/>
      <c r="F689" s="88"/>
      <c r="G689" s="87"/>
    </row>
    <row r="690" spans="5:7" ht="12.75">
      <c r="E690" s="87"/>
      <c r="F690" s="88"/>
      <c r="G690" s="87"/>
    </row>
    <row r="691" spans="5:7" ht="12.75">
      <c r="E691" s="87"/>
      <c r="F691" s="88"/>
      <c r="G691" s="87"/>
    </row>
    <row r="692" spans="5:7" ht="12.75">
      <c r="E692" s="87"/>
      <c r="F692" s="88"/>
      <c r="G692" s="87"/>
    </row>
    <row r="693" spans="5:7" ht="12.75">
      <c r="E693" s="87"/>
      <c r="F693" s="88"/>
      <c r="G693" s="87"/>
    </row>
    <row r="694" spans="5:7" ht="12.75">
      <c r="E694" s="87"/>
      <c r="F694" s="88"/>
      <c r="G694" s="87"/>
    </row>
    <row r="695" spans="5:7" ht="12.75">
      <c r="E695" s="87"/>
      <c r="F695" s="88"/>
      <c r="G695" s="87"/>
    </row>
    <row r="696" spans="5:7" ht="12.75">
      <c r="E696" s="87"/>
      <c r="F696" s="88"/>
      <c r="G696" s="87"/>
    </row>
    <row r="697" spans="5:7" ht="12.75">
      <c r="E697" s="87"/>
      <c r="F697" s="88"/>
      <c r="G697" s="87"/>
    </row>
    <row r="698" spans="5:7" ht="12.75">
      <c r="E698" s="87"/>
      <c r="F698" s="88"/>
      <c r="G698" s="87"/>
    </row>
    <row r="699" spans="5:7" ht="12.75">
      <c r="E699" s="87"/>
      <c r="F699" s="88"/>
      <c r="G699" s="87"/>
    </row>
    <row r="700" spans="5:7" ht="12.75">
      <c r="E700" s="87"/>
      <c r="F700" s="88"/>
      <c r="G700" s="87"/>
    </row>
    <row r="701" spans="5:7" ht="12.75">
      <c r="E701" s="87"/>
      <c r="F701" s="88"/>
      <c r="G701" s="87"/>
    </row>
    <row r="702" spans="5:7" ht="12.75">
      <c r="E702" s="87"/>
      <c r="F702" s="88"/>
      <c r="G702" s="87"/>
    </row>
    <row r="703" spans="5:7" ht="12.75">
      <c r="E703" s="87"/>
      <c r="F703" s="88"/>
      <c r="G703" s="87"/>
    </row>
    <row r="704" spans="5:7" ht="12.75">
      <c r="E704" s="87"/>
      <c r="F704" s="88"/>
      <c r="G704" s="87"/>
    </row>
    <row r="705" spans="5:7" ht="12.75">
      <c r="E705" s="87"/>
      <c r="F705" s="88"/>
      <c r="G705" s="87"/>
    </row>
    <row r="706" spans="5:7" ht="12.75">
      <c r="E706" s="87"/>
      <c r="F706" s="88"/>
      <c r="G706" s="87"/>
    </row>
    <row r="707" spans="5:7" ht="12.75">
      <c r="E707" s="87"/>
      <c r="F707" s="88"/>
      <c r="G707" s="87"/>
    </row>
    <row r="708" spans="5:7" ht="12.75">
      <c r="E708" s="87"/>
      <c r="F708" s="88"/>
      <c r="G708" s="87"/>
    </row>
    <row r="709" spans="5:7" ht="12.75">
      <c r="E709" s="87"/>
      <c r="F709" s="88"/>
      <c r="G709" s="87"/>
    </row>
    <row r="710" spans="5:7" ht="12.75">
      <c r="E710" s="87"/>
      <c r="F710" s="88"/>
      <c r="G710" s="87"/>
    </row>
    <row r="711" spans="5:7" ht="12.75">
      <c r="E711" s="87"/>
      <c r="F711" s="88"/>
      <c r="G711" s="87"/>
    </row>
    <row r="712" spans="5:7" ht="12.75">
      <c r="E712" s="87"/>
      <c r="F712" s="88"/>
      <c r="G712" s="87"/>
    </row>
    <row r="713" spans="5:7" ht="12.75">
      <c r="E713" s="87"/>
      <c r="F713" s="88"/>
      <c r="G713" s="87"/>
    </row>
    <row r="714" spans="5:7" ht="12.75">
      <c r="E714" s="87"/>
      <c r="F714" s="88"/>
      <c r="G714" s="87"/>
    </row>
    <row r="715" spans="5:7" ht="12.75">
      <c r="E715" s="87"/>
      <c r="F715" s="88"/>
      <c r="G715" s="87"/>
    </row>
    <row r="716" spans="5:7" ht="12.75">
      <c r="E716" s="87"/>
      <c r="F716" s="88"/>
      <c r="G716" s="87"/>
    </row>
    <row r="717" spans="5:7" ht="12.75">
      <c r="E717" s="87"/>
      <c r="F717" s="88"/>
      <c r="G717" s="87"/>
    </row>
    <row r="718" spans="5:7" ht="12.75">
      <c r="E718" s="87"/>
      <c r="F718" s="88"/>
      <c r="G718" s="87"/>
    </row>
    <row r="719" spans="5:7" ht="12.75">
      <c r="E719" s="87"/>
      <c r="F719" s="88"/>
      <c r="G719" s="87"/>
    </row>
    <row r="720" spans="5:7" ht="12.75">
      <c r="E720" s="87"/>
      <c r="F720" s="88"/>
      <c r="G720" s="87"/>
    </row>
    <row r="721" spans="5:7" ht="12.75">
      <c r="E721" s="87"/>
      <c r="F721" s="88"/>
      <c r="G721" s="87"/>
    </row>
    <row r="722" spans="5:7" ht="12.75">
      <c r="E722" s="87"/>
      <c r="F722" s="88"/>
      <c r="G722" s="87"/>
    </row>
    <row r="723" spans="5:7" ht="12.75">
      <c r="E723" s="87"/>
      <c r="F723" s="88"/>
      <c r="G723" s="87"/>
    </row>
    <row r="724" spans="5:7" ht="12.75">
      <c r="E724" s="87"/>
      <c r="F724" s="88"/>
      <c r="G724" s="87"/>
    </row>
    <row r="725" spans="5:7" ht="12.75">
      <c r="E725" s="87"/>
      <c r="F725" s="88"/>
      <c r="G725" s="87"/>
    </row>
    <row r="726" spans="5:7" ht="12.75">
      <c r="E726" s="87"/>
      <c r="F726" s="88"/>
      <c r="G726" s="87"/>
    </row>
    <row r="727" spans="5:7" ht="12.75">
      <c r="E727" s="87"/>
      <c r="F727" s="88"/>
      <c r="G727" s="87"/>
    </row>
    <row r="728" spans="5:7" ht="12.75">
      <c r="E728" s="87"/>
      <c r="F728" s="88"/>
      <c r="G728" s="87"/>
    </row>
    <row r="729" spans="5:7" ht="12.75">
      <c r="E729" s="87"/>
      <c r="F729" s="88"/>
      <c r="G729" s="87"/>
    </row>
    <row r="730" spans="5:7" ht="12.75">
      <c r="E730" s="87"/>
      <c r="F730" s="88"/>
      <c r="G730" s="87"/>
    </row>
    <row r="731" spans="5:7" ht="12.75">
      <c r="E731" s="87"/>
      <c r="F731" s="88"/>
      <c r="G731" s="87"/>
    </row>
    <row r="732" spans="5:7" ht="12.75">
      <c r="E732" s="87"/>
      <c r="F732" s="88"/>
      <c r="G732" s="87"/>
    </row>
    <row r="733" spans="5:7" ht="12.75">
      <c r="E733" s="87"/>
      <c r="F733" s="88"/>
      <c r="G733" s="87"/>
    </row>
    <row r="734" spans="5:7" ht="12.75">
      <c r="E734" s="87"/>
      <c r="F734" s="88"/>
      <c r="G734" s="87"/>
    </row>
    <row r="735" spans="5:7" ht="12.75">
      <c r="E735" s="87"/>
      <c r="F735" s="88"/>
      <c r="G735" s="87"/>
    </row>
    <row r="736" spans="5:7" ht="12.75">
      <c r="E736" s="87"/>
      <c r="F736" s="88"/>
      <c r="G736" s="87"/>
    </row>
    <row r="737" spans="5:7" ht="12.75">
      <c r="E737" s="87"/>
      <c r="F737" s="88"/>
      <c r="G737" s="87"/>
    </row>
    <row r="738" spans="5:7" ht="12.75">
      <c r="E738" s="87"/>
      <c r="F738" s="88"/>
      <c r="G738" s="87"/>
    </row>
    <row r="739" spans="5:7" ht="12.75">
      <c r="E739" s="87"/>
      <c r="F739" s="88"/>
      <c r="G739" s="87"/>
    </row>
    <row r="740" spans="5:7" ht="12.75">
      <c r="E740" s="87"/>
      <c r="F740" s="88"/>
      <c r="G740" s="87"/>
    </row>
    <row r="741" spans="5:7" ht="12.75">
      <c r="E741" s="87"/>
      <c r="F741" s="88"/>
      <c r="G741" s="87"/>
    </row>
    <row r="742" spans="5:7" ht="12.75">
      <c r="E742" s="87"/>
      <c r="F742" s="88"/>
      <c r="G742" s="87"/>
    </row>
    <row r="743" spans="5:7" ht="12.75">
      <c r="E743" s="87"/>
      <c r="F743" s="88"/>
      <c r="G743" s="87"/>
    </row>
    <row r="744" spans="5:7" ht="12.75">
      <c r="E744" s="87"/>
      <c r="F744" s="88"/>
      <c r="G744" s="87"/>
    </row>
    <row r="745" spans="5:7" ht="12.75">
      <c r="E745" s="87"/>
      <c r="F745" s="88"/>
      <c r="G745" s="87"/>
    </row>
    <row r="746" spans="5:7" ht="12.75">
      <c r="E746" s="87"/>
      <c r="F746" s="88"/>
      <c r="G746" s="87"/>
    </row>
    <row r="747" spans="5:7" ht="12.75">
      <c r="E747" s="87"/>
      <c r="F747" s="88"/>
      <c r="G747" s="87"/>
    </row>
    <row r="748" spans="5:7" ht="12.75">
      <c r="E748" s="87"/>
      <c r="F748" s="88"/>
      <c r="G748" s="87"/>
    </row>
    <row r="749" spans="5:7" ht="12.75">
      <c r="E749" s="87"/>
      <c r="F749" s="88"/>
      <c r="G749" s="87"/>
    </row>
    <row r="750" spans="5:7" ht="12.75">
      <c r="E750" s="87"/>
      <c r="F750" s="88"/>
      <c r="G750" s="87"/>
    </row>
    <row r="751" spans="5:7" ht="12.75">
      <c r="E751" s="87"/>
      <c r="F751" s="88"/>
      <c r="G751" s="87"/>
    </row>
    <row r="752" spans="5:7" ht="12.75">
      <c r="E752" s="87"/>
      <c r="F752" s="88"/>
      <c r="G752" s="87"/>
    </row>
    <row r="753" spans="5:7" ht="12.75">
      <c r="E753" s="87"/>
      <c r="F753" s="88"/>
      <c r="G753" s="87"/>
    </row>
    <row r="754" spans="5:7" ht="12.75">
      <c r="E754" s="87"/>
      <c r="F754" s="88"/>
      <c r="G754" s="87"/>
    </row>
    <row r="755" spans="5:7" ht="12.75">
      <c r="E755" s="87"/>
      <c r="F755" s="88"/>
      <c r="G755" s="87"/>
    </row>
    <row r="756" spans="5:7" ht="12.75">
      <c r="E756" s="87"/>
      <c r="F756" s="88"/>
      <c r="G756" s="87"/>
    </row>
    <row r="757" spans="5:7" ht="12.75">
      <c r="E757" s="87"/>
      <c r="F757" s="88"/>
      <c r="G757" s="87"/>
    </row>
    <row r="758" spans="5:7" ht="12.75">
      <c r="E758" s="87"/>
      <c r="F758" s="88"/>
      <c r="G758" s="87"/>
    </row>
    <row r="759" spans="5:7" ht="12.75">
      <c r="E759" s="87"/>
      <c r="F759" s="88"/>
      <c r="G759" s="87"/>
    </row>
    <row r="760" spans="5:7" ht="12.75">
      <c r="E760" s="87"/>
      <c r="F760" s="88"/>
      <c r="G760" s="87"/>
    </row>
    <row r="761" spans="5:7" ht="12.75">
      <c r="E761" s="87"/>
      <c r="F761" s="88"/>
      <c r="G761" s="87"/>
    </row>
    <row r="762" spans="5:7" ht="12.75">
      <c r="E762" s="87"/>
      <c r="F762" s="88"/>
      <c r="G762" s="87"/>
    </row>
    <row r="763" spans="5:7" ht="12.75">
      <c r="E763" s="87"/>
      <c r="F763" s="88"/>
      <c r="G763" s="87"/>
    </row>
    <row r="764" spans="5:7" ht="12.75">
      <c r="E764" s="87"/>
      <c r="F764" s="88"/>
      <c r="G764" s="87"/>
    </row>
    <row r="765" spans="5:7" ht="12.75">
      <c r="E765" s="87"/>
      <c r="F765" s="88"/>
      <c r="G765" s="87"/>
    </row>
    <row r="766" spans="5:7" ht="12.75">
      <c r="E766" s="87"/>
      <c r="F766" s="88"/>
      <c r="G766" s="87"/>
    </row>
    <row r="767" spans="5:7" ht="12.75">
      <c r="E767" s="87"/>
      <c r="F767" s="88"/>
      <c r="G767" s="87"/>
    </row>
    <row r="768" spans="5:7" ht="12.75">
      <c r="E768" s="87"/>
      <c r="F768" s="88"/>
      <c r="G768" s="87"/>
    </row>
    <row r="769" spans="5:7" ht="12.75">
      <c r="E769" s="87"/>
      <c r="F769" s="88"/>
      <c r="G769" s="87"/>
    </row>
    <row r="770" spans="5:7" ht="12.75">
      <c r="E770" s="87"/>
      <c r="F770" s="88"/>
      <c r="G770" s="87"/>
    </row>
    <row r="771" spans="5:7" ht="12.75">
      <c r="E771" s="87"/>
      <c r="F771" s="88"/>
      <c r="G771" s="87"/>
    </row>
    <row r="772" spans="5:7" ht="12.75">
      <c r="E772" s="87"/>
      <c r="F772" s="88"/>
      <c r="G772" s="87"/>
    </row>
    <row r="773" spans="5:7" ht="12.75">
      <c r="E773" s="87"/>
      <c r="F773" s="88"/>
      <c r="G773" s="87"/>
    </row>
    <row r="774" spans="5:7" ht="12.75">
      <c r="E774" s="87"/>
      <c r="F774" s="88"/>
      <c r="G774" s="87"/>
    </row>
    <row r="775" spans="5:7" ht="12.75">
      <c r="E775" s="87"/>
      <c r="F775" s="88"/>
      <c r="G775" s="87"/>
    </row>
    <row r="776" spans="5:7" ht="12.75">
      <c r="E776" s="87"/>
      <c r="F776" s="88"/>
      <c r="G776" s="87"/>
    </row>
    <row r="777" spans="5:7" ht="12.75">
      <c r="E777" s="87"/>
      <c r="F777" s="88"/>
      <c r="G777" s="87"/>
    </row>
    <row r="778" spans="5:7" ht="12.75">
      <c r="E778" s="87"/>
      <c r="F778" s="88"/>
      <c r="G778" s="87"/>
    </row>
    <row r="779" spans="5:7" ht="12.75">
      <c r="E779" s="87"/>
      <c r="F779" s="88"/>
      <c r="G779" s="87"/>
    </row>
    <row r="780" spans="5:7" ht="12.75">
      <c r="E780" s="87"/>
      <c r="F780" s="88"/>
      <c r="G780" s="87"/>
    </row>
    <row r="781" spans="5:7" ht="12.75">
      <c r="E781" s="87"/>
      <c r="F781" s="88"/>
      <c r="G781" s="87"/>
    </row>
    <row r="782" spans="5:7" ht="12.75">
      <c r="E782" s="87"/>
      <c r="F782" s="88"/>
      <c r="G782" s="87"/>
    </row>
    <row r="783" spans="5:7" ht="12.75">
      <c r="E783" s="87"/>
      <c r="F783" s="88"/>
      <c r="G783" s="87"/>
    </row>
    <row r="784" spans="5:7" ht="12.75">
      <c r="E784" s="87"/>
      <c r="F784" s="88"/>
      <c r="G784" s="87"/>
    </row>
    <row r="785" spans="5:7" ht="12.75">
      <c r="E785" s="87"/>
      <c r="F785" s="88"/>
      <c r="G785" s="87"/>
    </row>
    <row r="786" spans="5:7" ht="12.75">
      <c r="E786" s="87"/>
      <c r="F786" s="88"/>
      <c r="G786" s="87"/>
    </row>
    <row r="787" spans="5:7" ht="12.75">
      <c r="E787" s="87"/>
      <c r="F787" s="88"/>
      <c r="G787" s="87"/>
    </row>
    <row r="788" spans="5:7" ht="12.75">
      <c r="E788" s="87"/>
      <c r="F788" s="88"/>
      <c r="G788" s="87"/>
    </row>
    <row r="789" spans="5:7" ht="12.75">
      <c r="E789" s="87"/>
      <c r="F789" s="88"/>
      <c r="G789" s="87"/>
    </row>
    <row r="790" spans="5:7" ht="12.75">
      <c r="E790" s="87"/>
      <c r="F790" s="88"/>
      <c r="G790" s="87"/>
    </row>
    <row r="791" spans="5:7" ht="12.75">
      <c r="E791" s="87"/>
      <c r="F791" s="88"/>
      <c r="G791" s="87"/>
    </row>
    <row r="792" spans="5:7" ht="12.75">
      <c r="E792" s="87"/>
      <c r="F792" s="88"/>
      <c r="G792" s="87"/>
    </row>
    <row r="793" spans="5:7" ht="12.75">
      <c r="E793" s="87"/>
      <c r="F793" s="88"/>
      <c r="G793" s="87"/>
    </row>
    <row r="794" spans="5:7" ht="12.75">
      <c r="E794" s="87"/>
      <c r="F794" s="88"/>
      <c r="G794" s="87"/>
    </row>
    <row r="795" spans="5:7" ht="12.75">
      <c r="E795" s="87"/>
      <c r="F795" s="88"/>
      <c r="G795" s="87"/>
    </row>
    <row r="796" spans="5:7" ht="12.75">
      <c r="E796" s="87"/>
      <c r="F796" s="88"/>
      <c r="G796" s="87"/>
    </row>
    <row r="797" spans="5:7" ht="12.75">
      <c r="E797" s="87"/>
      <c r="F797" s="88"/>
      <c r="G797" s="87"/>
    </row>
    <row r="798" spans="5:7" ht="12.75">
      <c r="E798" s="87"/>
      <c r="F798" s="88"/>
      <c r="G798" s="87"/>
    </row>
    <row r="799" spans="5:7" ht="12.75">
      <c r="E799" s="87"/>
      <c r="F799" s="88"/>
      <c r="G799" s="87"/>
    </row>
    <row r="800" spans="5:7" ht="12.75">
      <c r="E800" s="87"/>
      <c r="F800" s="88"/>
      <c r="G800" s="87"/>
    </row>
    <row r="801" spans="5:7" ht="12.75">
      <c r="E801" s="87"/>
      <c r="F801" s="88"/>
      <c r="G801" s="87"/>
    </row>
    <row r="802" spans="5:7" ht="12.75">
      <c r="E802" s="87"/>
      <c r="F802" s="88"/>
      <c r="G802" s="87"/>
    </row>
    <row r="803" spans="5:7" ht="12.75">
      <c r="E803" s="87"/>
      <c r="F803" s="88"/>
      <c r="G803" s="87"/>
    </row>
    <row r="804" spans="5:7" ht="12.75">
      <c r="E804" s="87"/>
      <c r="F804" s="88"/>
      <c r="G804" s="87"/>
    </row>
    <row r="805" spans="5:7" ht="12.75">
      <c r="E805" s="87"/>
      <c r="F805" s="88"/>
      <c r="G805" s="87"/>
    </row>
    <row r="806" spans="5:7" ht="12.75">
      <c r="E806" s="87"/>
      <c r="F806" s="88"/>
      <c r="G806" s="87"/>
    </row>
    <row r="807" spans="5:7" ht="12.75">
      <c r="E807" s="87"/>
      <c r="F807" s="88"/>
      <c r="G807" s="87"/>
    </row>
    <row r="808" spans="5:7" ht="12.75">
      <c r="E808" s="87"/>
      <c r="F808" s="88"/>
      <c r="G808" s="87"/>
    </row>
    <row r="809" spans="5:7" ht="12.75">
      <c r="E809" s="87"/>
      <c r="F809" s="88"/>
      <c r="G809" s="87"/>
    </row>
    <row r="810" spans="5:7" ht="12.75">
      <c r="E810" s="87"/>
      <c r="F810" s="88"/>
      <c r="G810" s="87"/>
    </row>
    <row r="811" spans="5:7" ht="12.75">
      <c r="E811" s="87"/>
      <c r="F811" s="88"/>
      <c r="G811" s="87"/>
    </row>
    <row r="812" spans="5:7" ht="12.75">
      <c r="E812" s="87"/>
      <c r="F812" s="88"/>
      <c r="G812" s="87"/>
    </row>
    <row r="813" spans="5:7" ht="12.75">
      <c r="E813" s="87"/>
      <c r="F813" s="88"/>
      <c r="G813" s="87"/>
    </row>
    <row r="814" spans="5:7" ht="12.75">
      <c r="E814" s="87"/>
      <c r="F814" s="88"/>
      <c r="G814" s="87"/>
    </row>
    <row r="815" spans="5:7" ht="12.75">
      <c r="E815" s="87"/>
      <c r="F815" s="88"/>
      <c r="G815" s="87"/>
    </row>
    <row r="816" spans="5:7" ht="12.75">
      <c r="E816" s="87"/>
      <c r="F816" s="88"/>
      <c r="G816" s="87"/>
    </row>
    <row r="817" spans="5:7" ht="12.75">
      <c r="E817" s="87"/>
      <c r="F817" s="88"/>
      <c r="G817" s="87"/>
    </row>
    <row r="818" spans="5:7" ht="12.75">
      <c r="E818" s="87"/>
      <c r="F818" s="88"/>
      <c r="G818" s="87"/>
    </row>
    <row r="819" spans="5:7" ht="12.75">
      <c r="E819" s="87"/>
      <c r="F819" s="88"/>
      <c r="G819" s="87"/>
    </row>
    <row r="820" spans="5:7" ht="12.75">
      <c r="E820" s="87"/>
      <c r="F820" s="88"/>
      <c r="G820" s="87"/>
    </row>
    <row r="821" spans="5:7" ht="12.75">
      <c r="E821" s="87"/>
      <c r="F821" s="88"/>
      <c r="G821" s="87"/>
    </row>
    <row r="822" spans="5:7" ht="12.75">
      <c r="E822" s="87"/>
      <c r="F822" s="88"/>
      <c r="G822" s="87"/>
    </row>
    <row r="823" spans="5:7" ht="12.75">
      <c r="E823" s="87"/>
      <c r="F823" s="88"/>
      <c r="G823" s="87"/>
    </row>
    <row r="824" spans="5:7" ht="12.75">
      <c r="E824" s="87"/>
      <c r="F824" s="88"/>
      <c r="G824" s="87"/>
    </row>
    <row r="825" spans="5:7" ht="12.75">
      <c r="E825" s="87"/>
      <c r="F825" s="88"/>
      <c r="G825" s="87"/>
    </row>
    <row r="826" spans="5:7" ht="12.75">
      <c r="E826" s="87"/>
      <c r="F826" s="88"/>
      <c r="G826" s="87"/>
    </row>
    <row r="827" spans="5:7" ht="12.75">
      <c r="E827" s="87"/>
      <c r="F827" s="88"/>
      <c r="G827" s="87"/>
    </row>
    <row r="828" spans="5:7" ht="12.75">
      <c r="E828" s="87"/>
      <c r="F828" s="88"/>
      <c r="G828" s="87"/>
    </row>
    <row r="829" spans="5:7" ht="12.75">
      <c r="E829" s="87"/>
      <c r="F829" s="88"/>
      <c r="G829" s="87"/>
    </row>
    <row r="830" spans="5:7" ht="12.75">
      <c r="E830" s="87"/>
      <c r="F830" s="88"/>
      <c r="G830" s="87"/>
    </row>
    <row r="831" spans="5:7" ht="12.75">
      <c r="E831" s="87"/>
      <c r="F831" s="88"/>
      <c r="G831" s="87"/>
    </row>
    <row r="832" spans="5:7" ht="12.75">
      <c r="E832" s="87"/>
      <c r="F832" s="88"/>
      <c r="G832" s="87"/>
    </row>
    <row r="833" spans="5:7" ht="12.75">
      <c r="E833" s="87"/>
      <c r="F833" s="88"/>
      <c r="G833" s="87"/>
    </row>
    <row r="834" spans="5:7" ht="12.75">
      <c r="E834" s="87"/>
      <c r="F834" s="88"/>
      <c r="G834" s="87"/>
    </row>
    <row r="835" spans="5:7" ht="12.75">
      <c r="E835" s="87"/>
      <c r="F835" s="88"/>
      <c r="G835" s="87"/>
    </row>
    <row r="836" spans="5:7" ht="12.75">
      <c r="E836" s="87"/>
      <c r="F836" s="88"/>
      <c r="G836" s="87"/>
    </row>
    <row r="837" spans="5:7" ht="12.75">
      <c r="E837" s="87"/>
      <c r="F837" s="88"/>
      <c r="G837" s="87"/>
    </row>
    <row r="838" spans="5:7" ht="12.75">
      <c r="E838" s="87"/>
      <c r="F838" s="88"/>
      <c r="G838" s="87"/>
    </row>
    <row r="839" spans="5:7" ht="12.75">
      <c r="E839" s="87"/>
      <c r="F839" s="88"/>
      <c r="G839" s="87"/>
    </row>
    <row r="840" spans="5:7" ht="12.75">
      <c r="E840" s="87"/>
      <c r="F840" s="88"/>
      <c r="G840" s="87"/>
    </row>
    <row r="841" spans="5:7" ht="12.75">
      <c r="E841" s="87"/>
      <c r="F841" s="88"/>
      <c r="G841" s="87"/>
    </row>
    <row r="842" spans="5:7" ht="12.75">
      <c r="E842" s="87"/>
      <c r="F842" s="88"/>
      <c r="G842" s="87"/>
    </row>
    <row r="843" spans="5:7" ht="12.75">
      <c r="E843" s="87"/>
      <c r="F843" s="88"/>
      <c r="G843" s="87"/>
    </row>
    <row r="844" spans="5:7" ht="12.75">
      <c r="E844" s="87"/>
      <c r="F844" s="88"/>
      <c r="G844" s="87"/>
    </row>
    <row r="845" spans="5:7" ht="12.75">
      <c r="E845" s="87"/>
      <c r="F845" s="88"/>
      <c r="G845" s="87"/>
    </row>
    <row r="846" spans="5:7" ht="12.75">
      <c r="E846" s="87"/>
      <c r="F846" s="88"/>
      <c r="G846" s="87"/>
    </row>
    <row r="847" spans="5:7" ht="12.75">
      <c r="E847" s="87"/>
      <c r="F847" s="88"/>
      <c r="G847" s="87"/>
    </row>
    <row r="848" spans="5:7" ht="12.75">
      <c r="E848" s="87"/>
      <c r="F848" s="88"/>
      <c r="G848" s="87"/>
    </row>
    <row r="849" spans="5:7" ht="12.75">
      <c r="E849" s="87"/>
      <c r="F849" s="88"/>
      <c r="G849" s="87"/>
    </row>
    <row r="850" spans="5:7" ht="12.75">
      <c r="E850" s="87"/>
      <c r="F850" s="88"/>
      <c r="G850" s="87"/>
    </row>
    <row r="851" spans="5:7" ht="12.75">
      <c r="E851" s="87"/>
      <c r="F851" s="88"/>
      <c r="G851" s="87"/>
    </row>
    <row r="852" spans="5:7" ht="12.75">
      <c r="E852" s="87"/>
      <c r="F852" s="88"/>
      <c r="G852" s="87"/>
    </row>
    <row r="853" spans="5:7" ht="12.75">
      <c r="E853" s="87"/>
      <c r="F853" s="88"/>
      <c r="G853" s="87"/>
    </row>
    <row r="854" spans="5:7" ht="12.75">
      <c r="E854" s="87"/>
      <c r="F854" s="88"/>
      <c r="G854" s="87"/>
    </row>
    <row r="855" spans="5:7" ht="12.75">
      <c r="E855" s="87"/>
      <c r="F855" s="88"/>
      <c r="G855" s="87"/>
    </row>
    <row r="856" spans="5:7" ht="12.75">
      <c r="E856" s="87"/>
      <c r="F856" s="88"/>
      <c r="G856" s="87"/>
    </row>
    <row r="857" spans="5:7" ht="12.75">
      <c r="E857" s="87"/>
      <c r="F857" s="88"/>
      <c r="G857" s="87"/>
    </row>
    <row r="858" spans="5:7" ht="12.75">
      <c r="E858" s="87"/>
      <c r="F858" s="88"/>
      <c r="G858" s="87"/>
    </row>
    <row r="859" spans="5:7" ht="12.75">
      <c r="E859" s="87"/>
      <c r="F859" s="88"/>
      <c r="G859" s="87"/>
    </row>
    <row r="860" spans="5:7" ht="12.75">
      <c r="E860" s="87"/>
      <c r="F860" s="88"/>
      <c r="G860" s="87"/>
    </row>
    <row r="861" spans="5:7" ht="12.75">
      <c r="E861" s="87"/>
      <c r="F861" s="88"/>
      <c r="G861" s="87"/>
    </row>
    <row r="862" spans="5:7" ht="12.75">
      <c r="E862" s="87"/>
      <c r="F862" s="88"/>
      <c r="G862" s="87"/>
    </row>
    <row r="863" spans="5:7" ht="12.75">
      <c r="E863" s="87"/>
      <c r="F863" s="88"/>
      <c r="G863" s="87"/>
    </row>
    <row r="864" spans="5:7" ht="12.75">
      <c r="E864" s="87"/>
      <c r="F864" s="88"/>
      <c r="G864" s="87"/>
    </row>
    <row r="865" spans="5:7" ht="12.75">
      <c r="E865" s="87"/>
      <c r="F865" s="88"/>
      <c r="G865" s="87"/>
    </row>
    <row r="866" spans="5:7" ht="12.75">
      <c r="E866" s="87"/>
      <c r="F866" s="88"/>
      <c r="G866" s="87"/>
    </row>
    <row r="867" spans="5:7" ht="12.75">
      <c r="E867" s="87"/>
      <c r="F867" s="88"/>
      <c r="G867" s="87"/>
    </row>
    <row r="868" spans="5:7" ht="12.75">
      <c r="E868" s="87"/>
      <c r="F868" s="88"/>
      <c r="G868" s="87"/>
    </row>
    <row r="869" spans="5:7" ht="12.75">
      <c r="E869" s="87"/>
      <c r="F869" s="88"/>
      <c r="G869" s="87"/>
    </row>
    <row r="870" spans="5:7" ht="12.75">
      <c r="E870" s="87"/>
      <c r="F870" s="88"/>
      <c r="G870" s="87"/>
    </row>
    <row r="871" spans="5:7" ht="12.75">
      <c r="E871" s="87"/>
      <c r="F871" s="88"/>
      <c r="G871" s="87"/>
    </row>
    <row r="872" spans="5:7" ht="12.75">
      <c r="E872" s="87"/>
      <c r="F872" s="88"/>
      <c r="G872" s="87"/>
    </row>
    <row r="873" spans="5:7" ht="12.75">
      <c r="E873" s="87"/>
      <c r="F873" s="88"/>
      <c r="G873" s="87"/>
    </row>
    <row r="874" spans="5:7" ht="12.75">
      <c r="E874" s="87"/>
      <c r="F874" s="88"/>
      <c r="G874" s="87"/>
    </row>
    <row r="875" spans="5:7" ht="12.75">
      <c r="E875" s="87"/>
      <c r="F875" s="88"/>
      <c r="G875" s="87"/>
    </row>
    <row r="876" spans="5:7" ht="12.75">
      <c r="E876" s="87"/>
      <c r="F876" s="88"/>
      <c r="G876" s="87"/>
    </row>
    <row r="877" spans="5:7" ht="12.75">
      <c r="E877" s="87"/>
      <c r="F877" s="88"/>
      <c r="G877" s="87"/>
    </row>
    <row r="878" spans="5:7" ht="12.75">
      <c r="E878" s="87"/>
      <c r="F878" s="88"/>
      <c r="G878" s="87"/>
    </row>
    <row r="879" spans="5:7" ht="12.75">
      <c r="E879" s="87"/>
      <c r="F879" s="88"/>
      <c r="G879" s="87"/>
    </row>
    <row r="880" spans="5:7" ht="12.75">
      <c r="E880" s="87"/>
      <c r="F880" s="88"/>
      <c r="G880" s="87"/>
    </row>
    <row r="881" spans="5:7" ht="12.75">
      <c r="E881" s="87"/>
      <c r="F881" s="88"/>
      <c r="G881" s="87"/>
    </row>
    <row r="882" spans="5:7" ht="12.75">
      <c r="E882" s="87"/>
      <c r="F882" s="88"/>
      <c r="G882" s="87"/>
    </row>
    <row r="883" spans="5:7" ht="12.75">
      <c r="E883" s="87"/>
      <c r="F883" s="88"/>
      <c r="G883" s="87"/>
    </row>
    <row r="884" spans="5:7" ht="12.75">
      <c r="E884" s="87"/>
      <c r="F884" s="88"/>
      <c r="G884" s="87"/>
    </row>
    <row r="885" spans="5:7" ht="12.75">
      <c r="E885" s="87"/>
      <c r="F885" s="88"/>
      <c r="G885" s="87"/>
    </row>
    <row r="886" spans="5:7" ht="12.75">
      <c r="E886" s="87"/>
      <c r="F886" s="88"/>
      <c r="G886" s="87"/>
    </row>
    <row r="887" spans="5:7" ht="12.75">
      <c r="E887" s="87"/>
      <c r="F887" s="88"/>
      <c r="G887" s="87"/>
    </row>
    <row r="888" spans="5:7" ht="12.75">
      <c r="E888" s="87"/>
      <c r="F888" s="88"/>
      <c r="G888" s="87"/>
    </row>
    <row r="889" spans="5:7" ht="12.75">
      <c r="E889" s="87"/>
      <c r="F889" s="88"/>
      <c r="G889" s="87"/>
    </row>
    <row r="890" spans="5:7" ht="12.75">
      <c r="E890" s="87"/>
      <c r="F890" s="88"/>
      <c r="G890" s="87"/>
    </row>
    <row r="891" spans="5:7" ht="12.75">
      <c r="E891" s="87"/>
      <c r="F891" s="88"/>
      <c r="G891" s="87"/>
    </row>
    <row r="892" spans="5:7" ht="12.75">
      <c r="E892" s="87"/>
      <c r="F892" s="88"/>
      <c r="G892" s="87"/>
    </row>
    <row r="893" spans="5:7" ht="12.75">
      <c r="E893" s="87"/>
      <c r="F893" s="88"/>
      <c r="G893" s="87"/>
    </row>
    <row r="894" spans="5:7" ht="12.75">
      <c r="E894" s="87"/>
      <c r="F894" s="88"/>
      <c r="G894" s="87"/>
    </row>
    <row r="895" spans="5:7" ht="12.75">
      <c r="E895" s="87"/>
      <c r="F895" s="88"/>
      <c r="G895" s="87"/>
    </row>
    <row r="896" spans="5:7" ht="12.75">
      <c r="E896" s="87"/>
      <c r="F896" s="88"/>
      <c r="G896" s="87"/>
    </row>
    <row r="897" spans="5:7" ht="12.75">
      <c r="E897" s="87"/>
      <c r="F897" s="88"/>
      <c r="G897" s="87"/>
    </row>
    <row r="898" spans="5:7" ht="12.75">
      <c r="E898" s="87"/>
      <c r="F898" s="88"/>
      <c r="G898" s="87"/>
    </row>
    <row r="899" spans="5:7" ht="12.75">
      <c r="E899" s="87"/>
      <c r="F899" s="88"/>
      <c r="G899" s="87"/>
    </row>
    <row r="900" spans="5:7" ht="12.75">
      <c r="E900" s="87"/>
      <c r="F900" s="88"/>
      <c r="G900" s="87"/>
    </row>
    <row r="901" spans="5:7" ht="12.75">
      <c r="E901" s="87"/>
      <c r="F901" s="88"/>
      <c r="G901" s="87"/>
    </row>
    <row r="902" spans="5:7" ht="12.75">
      <c r="E902" s="87"/>
      <c r="F902" s="88"/>
      <c r="G902" s="87"/>
    </row>
    <row r="903" spans="5:7" ht="12.75">
      <c r="E903" s="87"/>
      <c r="F903" s="88"/>
      <c r="G903" s="87"/>
    </row>
    <row r="904" spans="5:7" ht="12.75">
      <c r="E904" s="87"/>
      <c r="F904" s="88"/>
      <c r="G904" s="87"/>
    </row>
    <row r="905" spans="5:7" ht="12.75">
      <c r="E905" s="87"/>
      <c r="F905" s="88"/>
      <c r="G905" s="87"/>
    </row>
    <row r="906" spans="5:7" ht="12.75">
      <c r="E906" s="87"/>
      <c r="F906" s="88"/>
      <c r="G906" s="87"/>
    </row>
    <row r="907" spans="5:7" ht="12.75">
      <c r="E907" s="87"/>
      <c r="F907" s="88"/>
      <c r="G907" s="87"/>
    </row>
    <row r="908" spans="5:7" ht="12.75">
      <c r="E908" s="87"/>
      <c r="F908" s="88"/>
      <c r="G908" s="87"/>
    </row>
    <row r="909" spans="5:7" ht="12.75">
      <c r="E909" s="87"/>
      <c r="F909" s="88"/>
      <c r="G909" s="87"/>
    </row>
    <row r="910" spans="5:7" ht="12.75">
      <c r="E910" s="87"/>
      <c r="F910" s="88"/>
      <c r="G910" s="87"/>
    </row>
    <row r="911" spans="5:7" ht="12.75">
      <c r="E911" s="87"/>
      <c r="F911" s="88"/>
      <c r="G911" s="87"/>
    </row>
    <row r="912" spans="5:7" ht="12.75">
      <c r="E912" s="87"/>
      <c r="F912" s="88"/>
      <c r="G912" s="87"/>
    </row>
    <row r="913" spans="5:7" ht="12.75">
      <c r="E913" s="87"/>
      <c r="F913" s="88"/>
      <c r="G913" s="87"/>
    </row>
    <row r="914" spans="5:7" ht="12.75">
      <c r="E914" s="87"/>
      <c r="F914" s="88"/>
      <c r="G914" s="87"/>
    </row>
    <row r="915" spans="5:7" ht="12.75">
      <c r="E915" s="87"/>
      <c r="F915" s="88"/>
      <c r="G915" s="87"/>
    </row>
    <row r="916" spans="5:7" ht="12.75">
      <c r="E916" s="87"/>
      <c r="F916" s="88"/>
      <c r="G916" s="87"/>
    </row>
    <row r="917" spans="5:7" ht="12.75">
      <c r="E917" s="87"/>
      <c r="F917" s="88"/>
      <c r="G917" s="87"/>
    </row>
    <row r="918" spans="5:7" ht="12.75">
      <c r="E918" s="87"/>
      <c r="F918" s="88"/>
      <c r="G918" s="87"/>
    </row>
    <row r="919" spans="5:7" ht="12.75">
      <c r="E919" s="87"/>
      <c r="F919" s="88"/>
      <c r="G919" s="87"/>
    </row>
    <row r="920" spans="5:7" ht="12.75">
      <c r="E920" s="87"/>
      <c r="F920" s="88"/>
      <c r="G920" s="87"/>
    </row>
    <row r="921" spans="5:7" ht="12.75">
      <c r="E921" s="87"/>
      <c r="F921" s="88"/>
      <c r="G921" s="87"/>
    </row>
    <row r="922" spans="5:7" ht="12.75">
      <c r="E922" s="87"/>
      <c r="F922" s="88"/>
      <c r="G922" s="87"/>
    </row>
    <row r="923" spans="5:7" ht="12.75">
      <c r="E923" s="87"/>
      <c r="F923" s="88"/>
      <c r="G923" s="87"/>
    </row>
    <row r="924" spans="5:7" ht="12.75">
      <c r="E924" s="87"/>
      <c r="F924" s="88"/>
      <c r="G924" s="87"/>
    </row>
    <row r="925" spans="5:7" ht="12.75">
      <c r="E925" s="87"/>
      <c r="F925" s="88"/>
      <c r="G925" s="87"/>
    </row>
    <row r="926" spans="5:7" ht="12.75">
      <c r="E926" s="87"/>
      <c r="F926" s="88"/>
      <c r="G926" s="87"/>
    </row>
    <row r="927" spans="5:7" ht="12.75">
      <c r="E927" s="87"/>
      <c r="F927" s="88"/>
      <c r="G927" s="87"/>
    </row>
    <row r="928" spans="5:7" ht="12.75">
      <c r="E928" s="87"/>
      <c r="F928" s="88"/>
      <c r="G928" s="87"/>
    </row>
    <row r="929" spans="5:7" ht="12.75">
      <c r="E929" s="87"/>
      <c r="F929" s="88"/>
      <c r="G929" s="87"/>
    </row>
    <row r="930" spans="5:7" ht="12.75">
      <c r="E930" s="87"/>
      <c r="F930" s="88"/>
      <c r="G930" s="87"/>
    </row>
    <row r="931" spans="5:7" ht="12.75">
      <c r="E931" s="87"/>
      <c r="F931" s="88"/>
      <c r="G931" s="87"/>
    </row>
    <row r="932" spans="5:7" ht="12.75">
      <c r="E932" s="87"/>
      <c r="F932" s="88"/>
      <c r="G932" s="87"/>
    </row>
    <row r="933" spans="5:7" ht="12.75">
      <c r="E933" s="87"/>
      <c r="F933" s="88"/>
      <c r="G933" s="87"/>
    </row>
    <row r="934" spans="5:7" ht="12.75">
      <c r="E934" s="87"/>
      <c r="F934" s="88"/>
      <c r="G934" s="87"/>
    </row>
    <row r="935" spans="5:7" ht="12.75">
      <c r="E935" s="87"/>
      <c r="F935" s="88"/>
      <c r="G935" s="87"/>
    </row>
    <row r="936" spans="5:7" ht="12.75">
      <c r="E936" s="87"/>
      <c r="F936" s="88"/>
      <c r="G936" s="87"/>
    </row>
    <row r="937" spans="5:7" ht="12.75">
      <c r="E937" s="87"/>
      <c r="F937" s="88"/>
      <c r="G937" s="87"/>
    </row>
    <row r="938" spans="5:7" ht="12.75">
      <c r="E938" s="87"/>
      <c r="F938" s="88"/>
      <c r="G938" s="87"/>
    </row>
    <row r="939" spans="5:7" ht="12.75">
      <c r="E939" s="87"/>
      <c r="F939" s="88"/>
      <c r="G939" s="87"/>
    </row>
    <row r="940" spans="5:7" ht="12.75">
      <c r="E940" s="87"/>
      <c r="F940" s="88"/>
      <c r="G940" s="87"/>
    </row>
    <row r="941" spans="5:7" ht="12.75">
      <c r="E941" s="87"/>
      <c r="F941" s="88"/>
      <c r="G941" s="87"/>
    </row>
    <row r="942" spans="5:7" ht="12.75">
      <c r="E942" s="87"/>
      <c r="F942" s="88"/>
      <c r="G942" s="87"/>
    </row>
    <row r="943" spans="5:7" ht="12.75">
      <c r="E943" s="87"/>
      <c r="F943" s="88"/>
      <c r="G943" s="87"/>
    </row>
    <row r="944" spans="5:7" ht="12.75">
      <c r="E944" s="87"/>
      <c r="F944" s="88"/>
      <c r="G944" s="87"/>
    </row>
    <row r="945" spans="5:7" ht="12.75">
      <c r="E945" s="87"/>
      <c r="F945" s="88"/>
      <c r="G945" s="87"/>
    </row>
    <row r="946" spans="5:7" ht="12.75">
      <c r="E946" s="87"/>
      <c r="F946" s="88"/>
      <c r="G946" s="87"/>
    </row>
    <row r="947" spans="5:7" ht="12.75">
      <c r="E947" s="87"/>
      <c r="F947" s="88"/>
      <c r="G947" s="87"/>
    </row>
    <row r="948" spans="5:7" ht="12.75">
      <c r="E948" s="87"/>
      <c r="F948" s="88"/>
      <c r="G948" s="87"/>
    </row>
    <row r="949" spans="5:7" ht="12.75">
      <c r="E949" s="87"/>
      <c r="F949" s="88"/>
      <c r="G949" s="87"/>
    </row>
    <row r="950" spans="5:7" ht="12.75">
      <c r="E950" s="87"/>
      <c r="F950" s="88"/>
      <c r="G950" s="87"/>
    </row>
    <row r="951" spans="5:7" ht="12.75">
      <c r="E951" s="87"/>
      <c r="F951" s="88"/>
      <c r="G951" s="87"/>
    </row>
    <row r="952" spans="5:7" ht="12.75">
      <c r="E952" s="87"/>
      <c r="F952" s="88"/>
      <c r="G952" s="87"/>
    </row>
    <row r="953" spans="5:7" ht="12.75">
      <c r="E953" s="87"/>
      <c r="F953" s="88"/>
      <c r="G953" s="87"/>
    </row>
    <row r="954" spans="5:7" ht="12.75">
      <c r="E954" s="87"/>
      <c r="F954" s="88"/>
      <c r="G954" s="87"/>
    </row>
    <row r="955" spans="5:7" ht="12.75">
      <c r="E955" s="87"/>
      <c r="F955" s="88"/>
      <c r="G955" s="87"/>
    </row>
    <row r="956" spans="5:7" ht="12.75">
      <c r="E956" s="87"/>
      <c r="F956" s="88"/>
      <c r="G956" s="87"/>
    </row>
    <row r="957" spans="5:7" ht="12.75">
      <c r="E957" s="87"/>
      <c r="F957" s="88"/>
      <c r="G957" s="87"/>
    </row>
    <row r="958" spans="5:7" ht="12.75">
      <c r="E958" s="87"/>
      <c r="F958" s="88"/>
      <c r="G958" s="87"/>
    </row>
    <row r="959" spans="5:7" ht="12.75">
      <c r="E959" s="87"/>
      <c r="F959" s="88"/>
      <c r="G959" s="87"/>
    </row>
    <row r="960" spans="5:7" ht="12.75">
      <c r="E960" s="87"/>
      <c r="F960" s="88"/>
      <c r="G960" s="87"/>
    </row>
    <row r="961" spans="5:7" ht="12.75">
      <c r="E961" s="87"/>
      <c r="F961" s="88"/>
      <c r="G961" s="87"/>
    </row>
    <row r="962" spans="5:7" ht="12.75">
      <c r="E962" s="87"/>
      <c r="F962" s="88"/>
      <c r="G962" s="87"/>
    </row>
    <row r="963" spans="5:7" ht="12.75">
      <c r="E963" s="87"/>
      <c r="F963" s="88"/>
      <c r="G963" s="87"/>
    </row>
    <row r="964" spans="5:7" ht="12.75">
      <c r="E964" s="87"/>
      <c r="F964" s="88"/>
      <c r="G964" s="87"/>
    </row>
    <row r="965" spans="5:7" ht="12.75">
      <c r="E965" s="87"/>
      <c r="F965" s="88"/>
      <c r="G965" s="87"/>
    </row>
    <row r="966" spans="5:7" ht="12.75">
      <c r="E966" s="87"/>
      <c r="F966" s="88"/>
      <c r="G966" s="87"/>
    </row>
    <row r="967" spans="5:7" ht="12.75">
      <c r="E967" s="87"/>
      <c r="F967" s="88"/>
      <c r="G967" s="87"/>
    </row>
    <row r="968" spans="5:7" ht="12.75">
      <c r="E968" s="87"/>
      <c r="F968" s="88"/>
      <c r="G968" s="87"/>
    </row>
    <row r="969" spans="5:7" ht="12.75">
      <c r="E969" s="87"/>
      <c r="F969" s="88"/>
      <c r="G969" s="87"/>
    </row>
    <row r="970" spans="5:7" ht="12.75">
      <c r="E970" s="87"/>
      <c r="F970" s="88"/>
      <c r="G970" s="87"/>
    </row>
    <row r="971" spans="5:7" ht="12.75">
      <c r="E971" s="87"/>
      <c r="F971" s="88"/>
      <c r="G971" s="87"/>
    </row>
    <row r="972" spans="5:7" ht="12.75">
      <c r="E972" s="87"/>
      <c r="F972" s="88"/>
      <c r="G972" s="87"/>
    </row>
    <row r="973" spans="5:7" ht="12.75">
      <c r="E973" s="87"/>
      <c r="F973" s="88"/>
      <c r="G973" s="87"/>
    </row>
    <row r="974" spans="5:7" ht="12.75">
      <c r="E974" s="87"/>
      <c r="F974" s="88"/>
      <c r="G974" s="87"/>
    </row>
    <row r="975" spans="5:7" ht="12.75">
      <c r="E975" s="87"/>
      <c r="F975" s="88"/>
      <c r="G975" s="87"/>
    </row>
    <row r="976" spans="5:7" ht="12.75">
      <c r="E976" s="87"/>
      <c r="F976" s="88"/>
      <c r="G976" s="87"/>
    </row>
    <row r="977" spans="5:7" ht="12.75">
      <c r="E977" s="87"/>
      <c r="F977" s="88"/>
      <c r="G977" s="87"/>
    </row>
    <row r="978" spans="5:7" ht="12.75">
      <c r="E978" s="87"/>
      <c r="F978" s="88"/>
      <c r="G978" s="87"/>
    </row>
    <row r="979" spans="5:7" ht="12.75">
      <c r="E979" s="87"/>
      <c r="F979" s="88"/>
      <c r="G979" s="87"/>
    </row>
    <row r="980" spans="5:7" ht="12.75">
      <c r="E980" s="87"/>
      <c r="F980" s="88"/>
      <c r="G980" s="87"/>
    </row>
    <row r="981" spans="5:7" ht="12.75">
      <c r="E981" s="87"/>
      <c r="F981" s="88"/>
      <c r="G981" s="87"/>
    </row>
    <row r="982" spans="5:7" ht="12.75">
      <c r="E982" s="87"/>
      <c r="F982" s="88"/>
      <c r="G982" s="87"/>
    </row>
    <row r="983" spans="5:7" ht="12.75">
      <c r="E983" s="87"/>
      <c r="F983" s="88"/>
      <c r="G983" s="87"/>
    </row>
    <row r="984" spans="5:7" ht="12.75">
      <c r="E984" s="87"/>
      <c r="F984" s="88"/>
      <c r="G984" s="87"/>
    </row>
    <row r="985" spans="5:7" ht="12.75">
      <c r="E985" s="87"/>
      <c r="F985" s="88"/>
      <c r="G985" s="87"/>
    </row>
    <row r="986" spans="5:7" ht="12.75">
      <c r="E986" s="87"/>
      <c r="F986" s="88"/>
      <c r="G986" s="87"/>
    </row>
    <row r="987" spans="5:7" ht="12.75">
      <c r="E987" s="87"/>
      <c r="F987" s="88"/>
      <c r="G987" s="87"/>
    </row>
    <row r="988" spans="5:7" ht="12.75">
      <c r="E988" s="87"/>
      <c r="F988" s="88"/>
      <c r="G988" s="87"/>
    </row>
    <row r="989" spans="5:7" ht="12.75">
      <c r="E989" s="87"/>
      <c r="F989" s="88"/>
      <c r="G989" s="87"/>
    </row>
    <row r="990" spans="5:7" ht="12.75">
      <c r="E990" s="87"/>
      <c r="F990" s="88"/>
      <c r="G990" s="87"/>
    </row>
    <row r="991" spans="5:7" ht="12.75">
      <c r="E991" s="87"/>
      <c r="F991" s="88"/>
      <c r="G991" s="87"/>
    </row>
    <row r="992" spans="5:7" ht="12.75">
      <c r="E992" s="87"/>
      <c r="F992" s="88"/>
      <c r="G992" s="87"/>
    </row>
    <row r="993" spans="5:7" ht="12.75">
      <c r="E993" s="87"/>
      <c r="F993" s="88"/>
      <c r="G993" s="87"/>
    </row>
    <row r="994" spans="5:7" ht="12.75">
      <c r="E994" s="87"/>
      <c r="F994" s="88"/>
      <c r="G994" s="87"/>
    </row>
    <row r="995" spans="5:7" ht="12.75">
      <c r="E995" s="87"/>
      <c r="F995" s="88"/>
      <c r="G995" s="87"/>
    </row>
    <row r="996" spans="5:7" ht="12.75">
      <c r="E996" s="87"/>
      <c r="F996" s="88"/>
      <c r="G996" s="87"/>
    </row>
    <row r="997" spans="5:7" ht="12.75">
      <c r="E997" s="87"/>
      <c r="F997" s="88"/>
      <c r="G997" s="87"/>
    </row>
    <row r="998" spans="5:7" ht="12.75">
      <c r="E998" s="87"/>
      <c r="F998" s="88"/>
      <c r="G998" s="87"/>
    </row>
    <row r="999" spans="5:7" ht="12.75">
      <c r="E999" s="87"/>
      <c r="F999" s="88"/>
      <c r="G999" s="87"/>
    </row>
    <row r="1000" spans="5:7" ht="12.75">
      <c r="E1000" s="87"/>
      <c r="F1000" s="88"/>
      <c r="G1000" s="87"/>
    </row>
    <row r="1001" spans="5:7" ht="12.75">
      <c r="E1001" s="87"/>
      <c r="F1001" s="88"/>
      <c r="G1001" s="87"/>
    </row>
    <row r="1002" spans="5:7" ht="12.75">
      <c r="E1002" s="87"/>
      <c r="F1002" s="88"/>
      <c r="G1002" s="87"/>
    </row>
    <row r="1003" spans="5:7" ht="12.75">
      <c r="E1003" s="87"/>
      <c r="F1003" s="88"/>
      <c r="G1003" s="87"/>
    </row>
    <row r="1004" spans="5:7" ht="12.75">
      <c r="E1004" s="87"/>
      <c r="F1004" s="88"/>
      <c r="G1004" s="87"/>
    </row>
    <row r="1005" spans="5:7" ht="12.75">
      <c r="E1005" s="87"/>
      <c r="F1005" s="88"/>
      <c r="G1005" s="87"/>
    </row>
    <row r="1006" spans="5:7" ht="12.75">
      <c r="E1006" s="87"/>
      <c r="F1006" s="88"/>
      <c r="G1006" s="87"/>
    </row>
    <row r="1007" spans="5:7" ht="12.75">
      <c r="E1007" s="87"/>
      <c r="F1007" s="88"/>
      <c r="G1007" s="87"/>
    </row>
  </sheetData>
  <sheetProtection algorithmName="SHA-512" hashValue="LcqQRpbgegaJH3rLrTZSESRpKU2clRK/Ok0F2Dw2He7G5N6pm3b/TzecwscQ0uP8gBzcoV8+Fo9P9PeZ7KZtCA==" saltValue="FBRcHP0cRHRq9sJ4p3yirw==" spinCount="100000" sheet="1" selectLockedCells="1"/>
  <dataConsolidate link="1"/>
  <mergeCells count="20">
    <mergeCell ref="C5:J5"/>
    <mergeCell ref="A1:A2"/>
    <mergeCell ref="B1:J1"/>
    <mergeCell ref="K1:K2"/>
    <mergeCell ref="B2:J2"/>
    <mergeCell ref="B4:J4"/>
    <mergeCell ref="E33:J34"/>
    <mergeCell ref="A6:A30"/>
    <mergeCell ref="B6:J6"/>
    <mergeCell ref="K6:K30"/>
    <mergeCell ref="L6:Q7"/>
    <mergeCell ref="B7:J7"/>
    <mergeCell ref="B8:J8"/>
    <mergeCell ref="L8:Q8"/>
    <mergeCell ref="C9:J9"/>
    <mergeCell ref="L9:Q9"/>
    <mergeCell ref="C10:J10"/>
    <mergeCell ref="C11:J11"/>
    <mergeCell ref="C12:J12"/>
    <mergeCell ref="B13:I13"/>
  </mergeCells>
  <conditionalFormatting sqref="C34">
    <cfRule type="cellIs" dxfId="5" priority="5" operator="lessThan">
      <formula>200000</formula>
    </cfRule>
  </conditionalFormatting>
  <conditionalFormatting sqref="E15:E30">
    <cfRule type="cellIs" dxfId="4" priority="3" operator="greaterThanOrEqual">
      <formula>5000000</formula>
    </cfRule>
  </conditionalFormatting>
  <conditionalFormatting sqref="E33">
    <cfRule type="notContainsBlanks" dxfId="3" priority="4">
      <formula>LEN(TRIM(E33))&gt;0</formula>
    </cfRule>
  </conditionalFormatting>
  <conditionalFormatting sqref="H15:H30">
    <cfRule type="cellIs" dxfId="2" priority="2" operator="lessThan">
      <formula>2</formula>
    </cfRule>
  </conditionalFormatting>
  <conditionalFormatting sqref="J14:J30">
    <cfRule type="expression" dxfId="1" priority="1">
      <formula>$D$39=FALSE</formula>
    </cfRule>
  </conditionalFormatting>
  <pageMargins left="0.7" right="0.7" top="0.75" bottom="0.75" header="0.3" footer="0.3"/>
  <pageSetup scale="65" orientation="landscape"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C6372-A49B-44D0-A856-2D9932A354E7}">
  <sheetPr codeName="Sheet10">
    <pageSetUpPr fitToPage="1"/>
  </sheetPr>
  <dimension ref="A1:K38"/>
  <sheetViews>
    <sheetView zoomScale="85" zoomScaleNormal="85" workbookViewId="0">
      <selection activeCell="I20" sqref="I20"/>
    </sheetView>
  </sheetViews>
  <sheetFormatPr defaultColWidth="9.140625" defaultRowHeight="15"/>
  <cols>
    <col min="1" max="1" width="23.140625" style="99" customWidth="1"/>
    <col min="2" max="2" width="11.7109375" style="232" customWidth="1"/>
    <col min="3" max="3" width="9.42578125" style="99" customWidth="1"/>
    <col min="4" max="4" width="15.42578125" style="99" bestFit="1" customWidth="1"/>
    <col min="5" max="5" width="15.85546875" style="99" customWidth="1"/>
    <col min="6" max="6" width="12.140625" style="99" customWidth="1"/>
    <col min="7" max="7" width="21" style="99" customWidth="1"/>
    <col min="8" max="8" width="23" style="99" bestFit="1" customWidth="1"/>
    <col min="9" max="9" width="17.85546875" style="232" customWidth="1"/>
    <col min="10" max="10" width="12.140625" style="99" customWidth="1"/>
    <col min="11" max="11" width="12.85546875" style="99" customWidth="1"/>
    <col min="12" max="14" width="9.140625" style="99"/>
    <col min="15" max="15" width="12" style="99" bestFit="1" customWidth="1"/>
    <col min="16" max="16384" width="9.140625" style="99"/>
  </cols>
  <sheetData>
    <row r="1" spans="1:11" ht="40.5" customHeight="1">
      <c r="A1" s="220" t="s">
        <v>130</v>
      </c>
      <c r="B1" s="221" t="s">
        <v>296</v>
      </c>
      <c r="C1" s="220" t="s">
        <v>312</v>
      </c>
      <c r="D1" s="220"/>
      <c r="E1" s="220" t="s">
        <v>297</v>
      </c>
      <c r="F1" s="220" t="s">
        <v>298</v>
      </c>
      <c r="G1" s="220" t="s">
        <v>299</v>
      </c>
      <c r="H1" s="221" t="s">
        <v>300</v>
      </c>
      <c r="I1" s="220" t="s">
        <v>301</v>
      </c>
      <c r="K1" s="220" t="s">
        <v>302</v>
      </c>
    </row>
    <row r="2" spans="1:11" ht="15.75" customHeight="1">
      <c r="A2" s="222"/>
      <c r="B2" s="223"/>
      <c r="C2" s="222"/>
      <c r="D2" s="224" t="s">
        <v>303</v>
      </c>
      <c r="E2" s="225" t="e">
        <f t="shared" ref="E2:E11" si="0">(C2/(660*B2))*1000000</f>
        <v>#DIV/0!</v>
      </c>
      <c r="F2" s="222"/>
      <c r="G2" s="225" t="e">
        <f t="shared" ref="G2:G11" si="1">(E2*F2/3)-F2</f>
        <v>#DIV/0!</v>
      </c>
      <c r="H2" s="222"/>
      <c r="I2" s="225" t="e">
        <f t="shared" ref="I2:I11" si="2">(H2/(660*B2))*1000000</f>
        <v>#DIV/0!</v>
      </c>
      <c r="K2" s="226" t="s">
        <v>304</v>
      </c>
    </row>
    <row r="3" spans="1:11" ht="15.75" customHeight="1">
      <c r="A3" s="222"/>
      <c r="B3" s="223"/>
      <c r="C3" s="222"/>
      <c r="D3" s="224" t="s">
        <v>303</v>
      </c>
      <c r="E3" s="225" t="e">
        <f t="shared" si="0"/>
        <v>#DIV/0!</v>
      </c>
      <c r="F3" s="222"/>
      <c r="G3" s="225" t="e">
        <f t="shared" si="1"/>
        <v>#DIV/0!</v>
      </c>
      <c r="H3" s="222"/>
      <c r="I3" s="225" t="e">
        <f t="shared" si="2"/>
        <v>#DIV/0!</v>
      </c>
      <c r="K3" s="222" t="s">
        <v>305</v>
      </c>
    </row>
    <row r="4" spans="1:11" ht="15.75" customHeight="1">
      <c r="A4" s="222"/>
      <c r="B4" s="223"/>
      <c r="C4" s="222"/>
      <c r="D4" s="224" t="s">
        <v>303</v>
      </c>
      <c r="E4" s="225" t="e">
        <f t="shared" si="0"/>
        <v>#DIV/0!</v>
      </c>
      <c r="F4" s="222"/>
      <c r="G4" s="225" t="e">
        <f t="shared" si="1"/>
        <v>#DIV/0!</v>
      </c>
      <c r="H4" s="227"/>
      <c r="I4" s="225" t="e">
        <f t="shared" si="2"/>
        <v>#DIV/0!</v>
      </c>
    </row>
    <row r="5" spans="1:11" ht="15.75" customHeight="1">
      <c r="A5" s="222"/>
      <c r="B5" s="223"/>
      <c r="C5" s="222"/>
      <c r="D5" s="224" t="s">
        <v>303</v>
      </c>
      <c r="E5" s="225" t="e">
        <f t="shared" si="0"/>
        <v>#DIV/0!</v>
      </c>
      <c r="F5" s="222"/>
      <c r="G5" s="225" t="e">
        <f t="shared" si="1"/>
        <v>#DIV/0!</v>
      </c>
      <c r="H5" s="227"/>
      <c r="I5" s="225" t="e">
        <f t="shared" si="2"/>
        <v>#DIV/0!</v>
      </c>
    </row>
    <row r="6" spans="1:11" ht="15.75" customHeight="1">
      <c r="A6" s="222"/>
      <c r="B6" s="223"/>
      <c r="C6" s="222"/>
      <c r="D6" s="224" t="s">
        <v>303</v>
      </c>
      <c r="E6" s="225" t="e">
        <f t="shared" si="0"/>
        <v>#DIV/0!</v>
      </c>
      <c r="F6" s="222"/>
      <c r="G6" s="225" t="e">
        <f t="shared" si="1"/>
        <v>#DIV/0!</v>
      </c>
      <c r="H6" s="227"/>
      <c r="I6" s="225" t="e">
        <f t="shared" si="2"/>
        <v>#DIV/0!</v>
      </c>
    </row>
    <row r="7" spans="1:11" ht="15.75" customHeight="1">
      <c r="A7" s="222"/>
      <c r="B7" s="223"/>
      <c r="C7" s="222"/>
      <c r="D7" s="224" t="s">
        <v>303</v>
      </c>
      <c r="E7" s="225" t="e">
        <f t="shared" si="0"/>
        <v>#DIV/0!</v>
      </c>
      <c r="F7" s="222"/>
      <c r="G7" s="225" t="e">
        <f t="shared" si="1"/>
        <v>#DIV/0!</v>
      </c>
      <c r="H7" s="227"/>
      <c r="I7" s="225" t="e">
        <f t="shared" si="2"/>
        <v>#DIV/0!</v>
      </c>
    </row>
    <row r="8" spans="1:11" ht="15.75" customHeight="1">
      <c r="A8" s="222"/>
      <c r="B8" s="223"/>
      <c r="C8" s="222"/>
      <c r="D8" s="224" t="s">
        <v>303</v>
      </c>
      <c r="E8" s="225" t="e">
        <f t="shared" si="0"/>
        <v>#DIV/0!</v>
      </c>
      <c r="F8" s="222"/>
      <c r="G8" s="225" t="e">
        <f t="shared" si="1"/>
        <v>#DIV/0!</v>
      </c>
      <c r="H8" s="222"/>
      <c r="I8" s="225" t="e">
        <f t="shared" si="2"/>
        <v>#DIV/0!</v>
      </c>
    </row>
    <row r="9" spans="1:11">
      <c r="A9" s="222"/>
      <c r="B9" s="223"/>
      <c r="C9" s="222"/>
      <c r="D9" s="224" t="s">
        <v>303</v>
      </c>
      <c r="E9" s="225" t="e">
        <f t="shared" si="0"/>
        <v>#DIV/0!</v>
      </c>
      <c r="F9" s="222"/>
      <c r="G9" s="225" t="e">
        <f t="shared" si="1"/>
        <v>#DIV/0!</v>
      </c>
      <c r="H9" s="227"/>
      <c r="I9" s="225" t="e">
        <f t="shared" si="2"/>
        <v>#DIV/0!</v>
      </c>
    </row>
    <row r="10" spans="1:11">
      <c r="A10" s="222"/>
      <c r="B10" s="223"/>
      <c r="C10" s="222"/>
      <c r="D10" s="224" t="s">
        <v>303</v>
      </c>
      <c r="E10" s="225" t="e">
        <f t="shared" si="0"/>
        <v>#DIV/0!</v>
      </c>
      <c r="F10" s="222"/>
      <c r="G10" s="225" t="e">
        <f t="shared" si="1"/>
        <v>#DIV/0!</v>
      </c>
      <c r="H10" s="227"/>
      <c r="I10" s="225" t="e">
        <f t="shared" si="2"/>
        <v>#DIV/0!</v>
      </c>
    </row>
    <row r="11" spans="1:11">
      <c r="A11" s="222"/>
      <c r="B11" s="223"/>
      <c r="C11" s="222"/>
      <c r="D11" s="224" t="s">
        <v>303</v>
      </c>
      <c r="E11" s="225" t="e">
        <f t="shared" si="0"/>
        <v>#DIV/0!</v>
      </c>
      <c r="F11" s="222"/>
      <c r="G11" s="225" t="e">
        <f t="shared" si="1"/>
        <v>#DIV/0!</v>
      </c>
      <c r="H11" s="227"/>
      <c r="I11" s="225" t="e">
        <f t="shared" si="2"/>
        <v>#DIV/0!</v>
      </c>
    </row>
    <row r="14" spans="1:11" ht="15.75">
      <c r="A14" s="228" t="s">
        <v>306</v>
      </c>
      <c r="B14" s="229"/>
      <c r="C14" s="228"/>
      <c r="D14" s="228"/>
      <c r="E14" s="228"/>
      <c r="F14" s="228"/>
      <c r="G14" s="228"/>
      <c r="H14" s="229"/>
      <c r="I14" s="229"/>
      <c r="J14" s="229"/>
    </row>
    <row r="15" spans="1:11" ht="31.5">
      <c r="A15" s="220" t="s">
        <v>130</v>
      </c>
      <c r="B15" s="221" t="s">
        <v>301</v>
      </c>
      <c r="C15" s="220"/>
      <c r="D15" s="220" t="s">
        <v>307</v>
      </c>
      <c r="E15" s="220" t="s">
        <v>308</v>
      </c>
      <c r="F15" s="220" t="s">
        <v>309</v>
      </c>
      <c r="G15" s="220" t="s">
        <v>310</v>
      </c>
      <c r="H15" s="220" t="s">
        <v>183</v>
      </c>
      <c r="I15" s="220" t="s">
        <v>311</v>
      </c>
      <c r="J15" s="220" t="s">
        <v>312</v>
      </c>
    </row>
    <row r="16" spans="1:11" ht="15.75">
      <c r="A16" s="224">
        <f t="shared" ref="A16:A21" si="3">A2</f>
        <v>0</v>
      </c>
      <c r="B16" s="230" t="e">
        <f>E2</f>
        <v>#DIV/0!</v>
      </c>
      <c r="C16" s="226" t="s">
        <v>313</v>
      </c>
      <c r="D16" s="225" t="e">
        <f>C29</f>
        <v>#DIV/0!</v>
      </c>
      <c r="E16" s="225" t="e">
        <f>3/B16*D16*50</f>
        <v>#DIV/0!</v>
      </c>
      <c r="F16" s="231"/>
      <c r="G16" s="226">
        <v>1</v>
      </c>
      <c r="H16" s="227" t="e">
        <f>SUM(E16:E24)</f>
        <v>#DIV/0!</v>
      </c>
      <c r="I16" s="227" t="e">
        <f>50-H16</f>
        <v>#DIV/0!</v>
      </c>
      <c r="J16" s="222"/>
    </row>
    <row r="17" spans="1:9" ht="15.75">
      <c r="A17" s="224">
        <f t="shared" si="3"/>
        <v>0</v>
      </c>
      <c r="B17" s="230" t="e">
        <f t="shared" ref="B17:B24" si="4">E3</f>
        <v>#DIV/0!</v>
      </c>
      <c r="C17" s="226" t="s">
        <v>313</v>
      </c>
      <c r="D17" s="225" t="e">
        <f t="shared" ref="D17:D24" si="5">C30</f>
        <v>#DIV/0!</v>
      </c>
      <c r="E17" s="225" t="e">
        <f>3/B17*D17*50</f>
        <v>#DIV/0!</v>
      </c>
      <c r="F17" s="231"/>
      <c r="G17" s="226">
        <v>2</v>
      </c>
      <c r="I17" s="99"/>
    </row>
    <row r="18" spans="1:9" ht="15.75">
      <c r="A18" s="224">
        <f t="shared" si="3"/>
        <v>0</v>
      </c>
      <c r="B18" s="230" t="e">
        <f t="shared" si="4"/>
        <v>#DIV/0!</v>
      </c>
      <c r="C18" s="226" t="s">
        <v>313</v>
      </c>
      <c r="D18" s="225" t="e">
        <f t="shared" si="5"/>
        <v>#DIV/0!</v>
      </c>
      <c r="E18" s="225" t="e">
        <f t="shared" ref="E18:E24" si="6">3/B18*D18*50</f>
        <v>#DIV/0!</v>
      </c>
      <c r="F18" s="231"/>
      <c r="G18" s="226">
        <v>3</v>
      </c>
      <c r="I18" s="99"/>
    </row>
    <row r="19" spans="1:9" ht="15.75">
      <c r="A19" s="224">
        <f t="shared" si="3"/>
        <v>0</v>
      </c>
      <c r="B19" s="230" t="e">
        <f t="shared" si="4"/>
        <v>#DIV/0!</v>
      </c>
      <c r="C19" s="226" t="s">
        <v>313</v>
      </c>
      <c r="D19" s="225" t="e">
        <f t="shared" si="5"/>
        <v>#DIV/0!</v>
      </c>
      <c r="E19" s="225" t="e">
        <f t="shared" si="6"/>
        <v>#DIV/0!</v>
      </c>
      <c r="F19" s="231"/>
      <c r="G19" s="226">
        <v>4</v>
      </c>
      <c r="I19" s="99"/>
    </row>
    <row r="20" spans="1:9" ht="15.75">
      <c r="A20" s="224">
        <f t="shared" si="3"/>
        <v>0</v>
      </c>
      <c r="B20" s="230" t="e">
        <f t="shared" si="4"/>
        <v>#DIV/0!</v>
      </c>
      <c r="C20" s="226" t="s">
        <v>313</v>
      </c>
      <c r="D20" s="225" t="e">
        <f t="shared" si="5"/>
        <v>#DIV/0!</v>
      </c>
      <c r="E20" s="225" t="e">
        <f t="shared" si="6"/>
        <v>#DIV/0!</v>
      </c>
      <c r="F20" s="231"/>
      <c r="G20" s="226">
        <v>5</v>
      </c>
      <c r="I20" s="99"/>
    </row>
    <row r="21" spans="1:9" ht="15.75">
      <c r="A21" s="224">
        <f t="shared" si="3"/>
        <v>0</v>
      </c>
      <c r="B21" s="230" t="e">
        <f t="shared" si="4"/>
        <v>#DIV/0!</v>
      </c>
      <c r="C21" s="226" t="s">
        <v>313</v>
      </c>
      <c r="D21" s="225" t="e">
        <f t="shared" si="5"/>
        <v>#DIV/0!</v>
      </c>
      <c r="E21" s="225" t="e">
        <f t="shared" si="6"/>
        <v>#DIV/0!</v>
      </c>
      <c r="F21" s="231"/>
      <c r="G21" s="226">
        <v>6</v>
      </c>
      <c r="I21" s="99"/>
    </row>
    <row r="22" spans="1:9" ht="15.75">
      <c r="A22" s="224">
        <f>A10</f>
        <v>0</v>
      </c>
      <c r="B22" s="230" t="e">
        <f t="shared" si="4"/>
        <v>#DIV/0!</v>
      </c>
      <c r="C22" s="226" t="s">
        <v>313</v>
      </c>
      <c r="D22" s="225" t="e">
        <f t="shared" si="5"/>
        <v>#DIV/0!</v>
      </c>
      <c r="E22" s="225" t="e">
        <f t="shared" si="6"/>
        <v>#DIV/0!</v>
      </c>
      <c r="F22" s="231"/>
      <c r="G22" s="226">
        <v>7</v>
      </c>
      <c r="I22" s="99"/>
    </row>
    <row r="23" spans="1:9" ht="15.75">
      <c r="A23" s="224">
        <f>A12</f>
        <v>0</v>
      </c>
      <c r="B23" s="230" t="e">
        <f t="shared" si="4"/>
        <v>#DIV/0!</v>
      </c>
      <c r="C23" s="226" t="s">
        <v>313</v>
      </c>
      <c r="D23" s="225" t="e">
        <f t="shared" si="5"/>
        <v>#DIV/0!</v>
      </c>
      <c r="E23" s="225" t="e">
        <f t="shared" si="6"/>
        <v>#DIV/0!</v>
      </c>
      <c r="F23" s="231"/>
      <c r="G23" s="226">
        <v>8</v>
      </c>
      <c r="I23" s="99"/>
    </row>
    <row r="24" spans="1:9" ht="15.75">
      <c r="A24" s="224">
        <f>A13</f>
        <v>0</v>
      </c>
      <c r="B24" s="230" t="e">
        <f t="shared" si="4"/>
        <v>#DIV/0!</v>
      </c>
      <c r="C24" s="226" t="s">
        <v>313</v>
      </c>
      <c r="D24" s="225" t="e">
        <f t="shared" si="5"/>
        <v>#DIV/0!</v>
      </c>
      <c r="E24" s="225" t="e">
        <f t="shared" si="6"/>
        <v>#DIV/0!</v>
      </c>
      <c r="F24" s="231"/>
      <c r="G24" s="226">
        <v>9</v>
      </c>
      <c r="I24" s="99"/>
    </row>
    <row r="25" spans="1:9">
      <c r="D25" s="99" t="e">
        <f>SUM(D16:D20)</f>
        <v>#DIV/0!</v>
      </c>
      <c r="E25" s="232"/>
    </row>
    <row r="26" spans="1:9">
      <c r="E26" s="232"/>
    </row>
    <row r="27" spans="1:9">
      <c r="E27" s="232"/>
    </row>
    <row r="28" spans="1:9" ht="15.75">
      <c r="A28" s="220" t="s">
        <v>130</v>
      </c>
      <c r="B28" s="220" t="s">
        <v>314</v>
      </c>
      <c r="C28" s="220" t="s">
        <v>315</v>
      </c>
    </row>
    <row r="29" spans="1:9">
      <c r="A29" s="224">
        <f t="shared" ref="A29:A37" si="7">A2</f>
        <v>0</v>
      </c>
      <c r="B29" s="227"/>
      <c r="C29" s="233" t="e">
        <f>B29/B$38</f>
        <v>#DIV/0!</v>
      </c>
    </row>
    <row r="30" spans="1:9">
      <c r="A30" s="224">
        <f t="shared" si="7"/>
        <v>0</v>
      </c>
      <c r="B30" s="227"/>
      <c r="C30" s="233" t="e">
        <f t="shared" ref="C30:C37" si="8">B30/B$38</f>
        <v>#DIV/0!</v>
      </c>
    </row>
    <row r="31" spans="1:9">
      <c r="A31" s="224">
        <f t="shared" si="7"/>
        <v>0</v>
      </c>
      <c r="B31" s="227"/>
      <c r="C31" s="233" t="e">
        <f t="shared" si="8"/>
        <v>#DIV/0!</v>
      </c>
    </row>
    <row r="32" spans="1:9">
      <c r="A32" s="224">
        <f t="shared" si="7"/>
        <v>0</v>
      </c>
      <c r="B32" s="227"/>
      <c r="C32" s="233" t="e">
        <f t="shared" si="8"/>
        <v>#DIV/0!</v>
      </c>
    </row>
    <row r="33" spans="1:3">
      <c r="A33" s="224">
        <f t="shared" si="7"/>
        <v>0</v>
      </c>
      <c r="B33" s="227"/>
      <c r="C33" s="233" t="e">
        <f t="shared" si="8"/>
        <v>#DIV/0!</v>
      </c>
    </row>
    <row r="34" spans="1:3">
      <c r="A34" s="224">
        <f t="shared" si="7"/>
        <v>0</v>
      </c>
      <c r="B34" s="227"/>
      <c r="C34" s="233" t="e">
        <f t="shared" si="8"/>
        <v>#DIV/0!</v>
      </c>
    </row>
    <row r="35" spans="1:3">
      <c r="A35" s="224">
        <f t="shared" si="7"/>
        <v>0</v>
      </c>
      <c r="B35" s="227"/>
      <c r="C35" s="233" t="e">
        <f t="shared" si="8"/>
        <v>#DIV/0!</v>
      </c>
    </row>
    <row r="36" spans="1:3">
      <c r="A36" s="224">
        <f t="shared" si="7"/>
        <v>0</v>
      </c>
      <c r="B36" s="227"/>
      <c r="C36" s="233" t="e">
        <f t="shared" si="8"/>
        <v>#DIV/0!</v>
      </c>
    </row>
    <row r="37" spans="1:3">
      <c r="A37" s="224">
        <f t="shared" si="7"/>
        <v>0</v>
      </c>
      <c r="B37" s="227"/>
      <c r="C37" s="233" t="e">
        <f t="shared" si="8"/>
        <v>#DIV/0!</v>
      </c>
    </row>
    <row r="38" spans="1:3">
      <c r="A38" s="232" t="s">
        <v>104</v>
      </c>
      <c r="B38" s="232">
        <f>SUM(B29:B37)</f>
        <v>0</v>
      </c>
      <c r="C38" s="140" t="e">
        <f>SUM(C29:C37)</f>
        <v>#DIV/0!</v>
      </c>
    </row>
  </sheetData>
  <dataValidations count="3">
    <dataValidation allowBlank="1" showInputMessage="1" showErrorMessage="1" promptTitle="Library Name" prompt="Library Name provided by the submitter and corresponding to the &quot;Library&quot; tab. All libraries (incl. multiplex libraries) should be listed only once." sqref="A2" xr:uid="{C17ED140-079E-44DF-91FE-3D50E26FAC07}"/>
    <dataValidation allowBlank="1" showInputMessage="1" showErrorMessage="1" promptTitle="Sample Name" prompt="Informative sample identifier provided by submitter. Only use letters, numbers or underscores [A-Za-z0-9_], no other characters, please." sqref="A3:A8 A29:A38" xr:uid="{AED2C020-590C-406D-A7C8-9D58AFA6E820}"/>
    <dataValidation allowBlank="1" showInputMessage="1" showErrorMessage="1" promptTitle="Library Name" prompt="Name or identifier of the sequencing library provided by the submitter. Multiplex libraries containing N barcoded samples should be listed N times. Only use letters, numbers or underscores [A-Za-z0-9_], no other characters, please." sqref="A3:A8 A29:A38" xr:uid="{E4E18DEF-4A3F-4C0A-863B-B98B1F065AA4}"/>
  </dataValidations>
  <pageMargins left="0.7" right="0.7" top="0.75" bottom="0.75" header="0.3" footer="0.3"/>
  <pageSetup paperSize="9" scale="4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C9D8-2B2B-421E-B3B0-C7547F4B99E1}">
  <dimension ref="A1:D385"/>
  <sheetViews>
    <sheetView workbookViewId="0">
      <selection activeCell="C14" sqref="C14:C17"/>
    </sheetView>
  </sheetViews>
  <sheetFormatPr defaultRowHeight="15"/>
  <cols>
    <col min="1" max="1" width="27.5703125" customWidth="1"/>
    <col min="2" max="2" width="27.42578125" customWidth="1"/>
  </cols>
  <sheetData>
    <row r="1" spans="1:4">
      <c r="A1" t="s">
        <v>526</v>
      </c>
      <c r="B1" t="s">
        <v>527</v>
      </c>
      <c r="C1" t="s">
        <v>528</v>
      </c>
      <c r="D1" t="s">
        <v>1297</v>
      </c>
    </row>
    <row r="2" spans="1:4">
      <c r="A2" s="278" t="s">
        <v>529</v>
      </c>
      <c r="B2" t="s">
        <v>529</v>
      </c>
      <c r="C2" t="s">
        <v>530</v>
      </c>
      <c r="D2">
        <v>1</v>
      </c>
    </row>
    <row r="3" spans="1:4">
      <c r="A3" s="278" t="s">
        <v>553</v>
      </c>
      <c r="B3" t="s">
        <v>553</v>
      </c>
      <c r="C3" t="s">
        <v>554</v>
      </c>
      <c r="D3">
        <v>2</v>
      </c>
    </row>
    <row r="4" spans="1:4">
      <c r="A4" s="278" t="s">
        <v>577</v>
      </c>
      <c r="B4" t="s">
        <v>577</v>
      </c>
      <c r="C4" t="s">
        <v>578</v>
      </c>
      <c r="D4">
        <v>3</v>
      </c>
    </row>
    <row r="5" spans="1:4">
      <c r="A5" s="278" t="s">
        <v>601</v>
      </c>
      <c r="B5" t="s">
        <v>601</v>
      </c>
      <c r="C5" t="s">
        <v>602</v>
      </c>
      <c r="D5">
        <v>4</v>
      </c>
    </row>
    <row r="6" spans="1:4">
      <c r="A6" s="278" t="s">
        <v>625</v>
      </c>
      <c r="B6" t="s">
        <v>625</v>
      </c>
      <c r="C6" t="s">
        <v>626</v>
      </c>
      <c r="D6">
        <v>5</v>
      </c>
    </row>
    <row r="7" spans="1:4">
      <c r="A7" s="278" t="s">
        <v>649</v>
      </c>
      <c r="B7" t="s">
        <v>649</v>
      </c>
      <c r="C7" t="s">
        <v>650</v>
      </c>
      <c r="D7">
        <v>6</v>
      </c>
    </row>
    <row r="8" spans="1:4">
      <c r="A8" s="278" t="s">
        <v>673</v>
      </c>
      <c r="B8" t="s">
        <v>673</v>
      </c>
      <c r="C8" t="s">
        <v>674</v>
      </c>
      <c r="D8">
        <v>7</v>
      </c>
    </row>
    <row r="9" spans="1:4">
      <c r="A9" s="278" t="s">
        <v>697</v>
      </c>
      <c r="B9" t="s">
        <v>697</v>
      </c>
      <c r="C9" t="s">
        <v>698</v>
      </c>
      <c r="D9">
        <v>8</v>
      </c>
    </row>
    <row r="10" spans="1:4">
      <c r="A10" s="278" t="s">
        <v>531</v>
      </c>
      <c r="B10" t="s">
        <v>531</v>
      </c>
      <c r="C10" t="s">
        <v>532</v>
      </c>
      <c r="D10">
        <v>9</v>
      </c>
    </row>
    <row r="11" spans="1:4">
      <c r="A11" s="278" t="s">
        <v>555</v>
      </c>
      <c r="B11" t="s">
        <v>555</v>
      </c>
      <c r="C11" t="s">
        <v>556</v>
      </c>
      <c r="D11">
        <v>10</v>
      </c>
    </row>
    <row r="12" spans="1:4">
      <c r="A12" s="278" t="s">
        <v>579</v>
      </c>
      <c r="B12" t="s">
        <v>579</v>
      </c>
      <c r="C12" t="s">
        <v>580</v>
      </c>
      <c r="D12">
        <v>11</v>
      </c>
    </row>
    <row r="13" spans="1:4">
      <c r="A13" s="278" t="s">
        <v>603</v>
      </c>
      <c r="B13" t="s">
        <v>603</v>
      </c>
      <c r="C13" t="s">
        <v>604</v>
      </c>
      <c r="D13">
        <v>12</v>
      </c>
    </row>
    <row r="14" spans="1:4">
      <c r="A14" s="278" t="s">
        <v>627</v>
      </c>
      <c r="B14" t="s">
        <v>627</v>
      </c>
      <c r="C14" t="s">
        <v>628</v>
      </c>
      <c r="D14">
        <v>13</v>
      </c>
    </row>
    <row r="15" spans="1:4">
      <c r="A15" s="278" t="s">
        <v>651</v>
      </c>
      <c r="B15" t="s">
        <v>651</v>
      </c>
      <c r="C15" t="s">
        <v>652</v>
      </c>
      <c r="D15">
        <v>14</v>
      </c>
    </row>
    <row r="16" spans="1:4">
      <c r="A16" s="278" t="s">
        <v>675</v>
      </c>
      <c r="B16" t="s">
        <v>675</v>
      </c>
      <c r="C16" t="s">
        <v>676</v>
      </c>
      <c r="D16">
        <v>15</v>
      </c>
    </row>
    <row r="17" spans="1:4">
      <c r="A17" s="278" t="s">
        <v>699</v>
      </c>
      <c r="B17" t="s">
        <v>699</v>
      </c>
      <c r="C17" t="s">
        <v>700</v>
      </c>
      <c r="D17">
        <v>16</v>
      </c>
    </row>
    <row r="18" spans="1:4">
      <c r="A18" s="278" t="s">
        <v>533</v>
      </c>
      <c r="B18" t="s">
        <v>533</v>
      </c>
      <c r="C18" t="s">
        <v>534</v>
      </c>
      <c r="D18">
        <v>17</v>
      </c>
    </row>
    <row r="19" spans="1:4">
      <c r="A19" s="278" t="s">
        <v>557</v>
      </c>
      <c r="B19" t="s">
        <v>557</v>
      </c>
      <c r="C19" t="s">
        <v>558</v>
      </c>
      <c r="D19">
        <v>18</v>
      </c>
    </row>
    <row r="20" spans="1:4">
      <c r="A20" s="278" t="s">
        <v>581</v>
      </c>
      <c r="B20" t="s">
        <v>581</v>
      </c>
      <c r="C20" t="s">
        <v>582</v>
      </c>
      <c r="D20">
        <v>19</v>
      </c>
    </row>
    <row r="21" spans="1:4">
      <c r="A21" s="278" t="s">
        <v>605</v>
      </c>
      <c r="B21" t="s">
        <v>605</v>
      </c>
      <c r="C21" t="s">
        <v>606</v>
      </c>
      <c r="D21">
        <v>20</v>
      </c>
    </row>
    <row r="22" spans="1:4">
      <c r="A22" s="278" t="s">
        <v>629</v>
      </c>
      <c r="B22" t="s">
        <v>629</v>
      </c>
      <c r="C22" t="s">
        <v>630</v>
      </c>
      <c r="D22">
        <v>21</v>
      </c>
    </row>
    <row r="23" spans="1:4">
      <c r="A23" s="278" t="s">
        <v>653</v>
      </c>
      <c r="B23" t="s">
        <v>653</v>
      </c>
      <c r="C23" t="s">
        <v>654</v>
      </c>
      <c r="D23">
        <v>22</v>
      </c>
    </row>
    <row r="24" spans="1:4">
      <c r="A24" s="278" t="s">
        <v>677</v>
      </c>
      <c r="B24" t="s">
        <v>677</v>
      </c>
      <c r="C24" t="s">
        <v>678</v>
      </c>
      <c r="D24">
        <v>23</v>
      </c>
    </row>
    <row r="25" spans="1:4">
      <c r="A25" s="278" t="s">
        <v>701</v>
      </c>
      <c r="B25" t="s">
        <v>701</v>
      </c>
      <c r="C25" t="s">
        <v>702</v>
      </c>
      <c r="D25">
        <v>24</v>
      </c>
    </row>
    <row r="26" spans="1:4">
      <c r="A26" s="278" t="s">
        <v>535</v>
      </c>
      <c r="B26" t="s">
        <v>535</v>
      </c>
      <c r="C26" t="s">
        <v>536</v>
      </c>
      <c r="D26">
        <v>25</v>
      </c>
    </row>
    <row r="27" spans="1:4">
      <c r="A27" s="278" t="s">
        <v>559</v>
      </c>
      <c r="B27" t="s">
        <v>559</v>
      </c>
      <c r="C27" t="s">
        <v>560</v>
      </c>
      <c r="D27">
        <v>26</v>
      </c>
    </row>
    <row r="28" spans="1:4">
      <c r="A28" s="278" t="s">
        <v>583</v>
      </c>
      <c r="B28" t="s">
        <v>583</v>
      </c>
      <c r="C28" t="s">
        <v>584</v>
      </c>
      <c r="D28">
        <v>27</v>
      </c>
    </row>
    <row r="29" spans="1:4">
      <c r="A29" s="278" t="s">
        <v>607</v>
      </c>
      <c r="B29" t="s">
        <v>607</v>
      </c>
      <c r="C29" t="s">
        <v>608</v>
      </c>
      <c r="D29">
        <v>28</v>
      </c>
    </row>
    <row r="30" spans="1:4">
      <c r="A30" s="278" t="s">
        <v>631</v>
      </c>
      <c r="B30" t="s">
        <v>631</v>
      </c>
      <c r="C30" t="s">
        <v>632</v>
      </c>
      <c r="D30">
        <v>29</v>
      </c>
    </row>
    <row r="31" spans="1:4">
      <c r="A31" s="278" t="s">
        <v>655</v>
      </c>
      <c r="B31" t="s">
        <v>655</v>
      </c>
      <c r="C31" t="s">
        <v>656</v>
      </c>
      <c r="D31">
        <v>30</v>
      </c>
    </row>
    <row r="32" spans="1:4">
      <c r="A32" s="278" t="s">
        <v>679</v>
      </c>
      <c r="B32" t="s">
        <v>679</v>
      </c>
      <c r="C32" t="s">
        <v>680</v>
      </c>
      <c r="D32">
        <v>31</v>
      </c>
    </row>
    <row r="33" spans="1:4">
      <c r="A33" s="278" t="s">
        <v>703</v>
      </c>
      <c r="B33" t="s">
        <v>703</v>
      </c>
      <c r="C33" t="s">
        <v>704</v>
      </c>
      <c r="D33">
        <v>32</v>
      </c>
    </row>
    <row r="34" spans="1:4">
      <c r="A34" s="278" t="s">
        <v>537</v>
      </c>
      <c r="B34" t="s">
        <v>537</v>
      </c>
      <c r="C34" t="s">
        <v>538</v>
      </c>
      <c r="D34">
        <v>33</v>
      </c>
    </row>
    <row r="35" spans="1:4">
      <c r="A35" s="278" t="s">
        <v>561</v>
      </c>
      <c r="B35" t="s">
        <v>561</v>
      </c>
      <c r="C35" t="s">
        <v>562</v>
      </c>
      <c r="D35">
        <v>34</v>
      </c>
    </row>
    <row r="36" spans="1:4">
      <c r="A36" s="278" t="s">
        <v>585</v>
      </c>
      <c r="B36" t="s">
        <v>585</v>
      </c>
      <c r="C36" t="s">
        <v>586</v>
      </c>
      <c r="D36">
        <v>35</v>
      </c>
    </row>
    <row r="37" spans="1:4">
      <c r="A37" s="278" t="s">
        <v>609</v>
      </c>
      <c r="B37" t="s">
        <v>609</v>
      </c>
      <c r="C37" t="s">
        <v>610</v>
      </c>
      <c r="D37">
        <v>36</v>
      </c>
    </row>
    <row r="38" spans="1:4">
      <c r="A38" s="278" t="s">
        <v>633</v>
      </c>
      <c r="B38" t="s">
        <v>633</v>
      </c>
      <c r="C38" t="s">
        <v>634</v>
      </c>
      <c r="D38">
        <v>37</v>
      </c>
    </row>
    <row r="39" spans="1:4">
      <c r="A39" s="278" t="s">
        <v>657</v>
      </c>
      <c r="B39" t="s">
        <v>657</v>
      </c>
      <c r="C39" t="s">
        <v>658</v>
      </c>
      <c r="D39">
        <v>38</v>
      </c>
    </row>
    <row r="40" spans="1:4">
      <c r="A40" s="278" t="s">
        <v>681</v>
      </c>
      <c r="B40" t="s">
        <v>681</v>
      </c>
      <c r="C40" t="s">
        <v>682</v>
      </c>
      <c r="D40">
        <v>39</v>
      </c>
    </row>
    <row r="41" spans="1:4">
      <c r="A41" s="278" t="s">
        <v>705</v>
      </c>
      <c r="B41" t="s">
        <v>705</v>
      </c>
      <c r="C41" t="s">
        <v>706</v>
      </c>
      <c r="D41">
        <v>40</v>
      </c>
    </row>
    <row r="42" spans="1:4">
      <c r="A42" s="278" t="s">
        <v>539</v>
      </c>
      <c r="B42" t="s">
        <v>539</v>
      </c>
      <c r="C42" t="s">
        <v>540</v>
      </c>
      <c r="D42">
        <v>41</v>
      </c>
    </row>
    <row r="43" spans="1:4">
      <c r="A43" s="278" t="s">
        <v>563</v>
      </c>
      <c r="B43" t="s">
        <v>563</v>
      </c>
      <c r="C43" t="s">
        <v>564</v>
      </c>
      <c r="D43">
        <v>42</v>
      </c>
    </row>
    <row r="44" spans="1:4">
      <c r="A44" s="278" t="s">
        <v>587</v>
      </c>
      <c r="B44" t="s">
        <v>587</v>
      </c>
      <c r="C44" t="s">
        <v>588</v>
      </c>
      <c r="D44">
        <v>43</v>
      </c>
    </row>
    <row r="45" spans="1:4">
      <c r="A45" s="278" t="s">
        <v>611</v>
      </c>
      <c r="B45" t="s">
        <v>611</v>
      </c>
      <c r="C45" t="s">
        <v>612</v>
      </c>
      <c r="D45">
        <v>44</v>
      </c>
    </row>
    <row r="46" spans="1:4">
      <c r="A46" s="278" t="s">
        <v>635</v>
      </c>
      <c r="B46" t="s">
        <v>635</v>
      </c>
      <c r="C46" t="s">
        <v>636</v>
      </c>
      <c r="D46">
        <v>45</v>
      </c>
    </row>
    <row r="47" spans="1:4">
      <c r="A47" s="278" t="s">
        <v>659</v>
      </c>
      <c r="B47" t="s">
        <v>659</v>
      </c>
      <c r="C47" t="s">
        <v>660</v>
      </c>
      <c r="D47">
        <v>46</v>
      </c>
    </row>
    <row r="48" spans="1:4">
      <c r="A48" s="278" t="s">
        <v>683</v>
      </c>
      <c r="B48" t="s">
        <v>683</v>
      </c>
      <c r="C48" t="s">
        <v>684</v>
      </c>
      <c r="D48">
        <v>47</v>
      </c>
    </row>
    <row r="49" spans="1:4">
      <c r="A49" s="278" t="s">
        <v>707</v>
      </c>
      <c r="B49" t="s">
        <v>707</v>
      </c>
      <c r="C49" t="s">
        <v>708</v>
      </c>
      <c r="D49">
        <v>48</v>
      </c>
    </row>
    <row r="50" spans="1:4">
      <c r="A50" s="278" t="s">
        <v>541</v>
      </c>
      <c r="B50" t="s">
        <v>541</v>
      </c>
      <c r="C50" t="s">
        <v>542</v>
      </c>
      <c r="D50">
        <v>49</v>
      </c>
    </row>
    <row r="51" spans="1:4">
      <c r="A51" s="278" t="s">
        <v>565</v>
      </c>
      <c r="B51" t="s">
        <v>565</v>
      </c>
      <c r="C51" t="s">
        <v>566</v>
      </c>
      <c r="D51">
        <v>50</v>
      </c>
    </row>
    <row r="52" spans="1:4">
      <c r="A52" s="278" t="s">
        <v>589</v>
      </c>
      <c r="B52" t="s">
        <v>589</v>
      </c>
      <c r="C52" t="s">
        <v>590</v>
      </c>
      <c r="D52">
        <v>52</v>
      </c>
    </row>
    <row r="53" spans="1:4">
      <c r="A53" s="278" t="s">
        <v>613</v>
      </c>
      <c r="B53" t="s">
        <v>613</v>
      </c>
      <c r="C53" t="s">
        <v>614</v>
      </c>
      <c r="D53">
        <v>52</v>
      </c>
    </row>
    <row r="54" spans="1:4">
      <c r="A54" s="278" t="s">
        <v>637</v>
      </c>
      <c r="B54" t="s">
        <v>637</v>
      </c>
      <c r="C54" t="s">
        <v>638</v>
      </c>
      <c r="D54">
        <v>53</v>
      </c>
    </row>
    <row r="55" spans="1:4">
      <c r="A55" s="278" t="s">
        <v>661</v>
      </c>
      <c r="B55" t="s">
        <v>661</v>
      </c>
      <c r="C55" t="s">
        <v>662</v>
      </c>
      <c r="D55">
        <v>54</v>
      </c>
    </row>
    <row r="56" spans="1:4">
      <c r="A56" s="278" t="s">
        <v>685</v>
      </c>
      <c r="B56" t="s">
        <v>685</v>
      </c>
      <c r="C56" t="s">
        <v>686</v>
      </c>
      <c r="D56">
        <v>55</v>
      </c>
    </row>
    <row r="57" spans="1:4">
      <c r="A57" s="278" t="s">
        <v>709</v>
      </c>
      <c r="B57" t="s">
        <v>709</v>
      </c>
      <c r="C57" t="s">
        <v>710</v>
      </c>
      <c r="D57">
        <v>56</v>
      </c>
    </row>
    <row r="58" spans="1:4">
      <c r="A58" s="278" t="s">
        <v>543</v>
      </c>
      <c r="B58" t="s">
        <v>543</v>
      </c>
      <c r="C58" t="s">
        <v>544</v>
      </c>
      <c r="D58">
        <v>57</v>
      </c>
    </row>
    <row r="59" spans="1:4">
      <c r="A59" s="278" t="s">
        <v>567</v>
      </c>
      <c r="B59" t="s">
        <v>567</v>
      </c>
      <c r="C59" t="s">
        <v>568</v>
      </c>
      <c r="D59">
        <v>58</v>
      </c>
    </row>
    <row r="60" spans="1:4">
      <c r="A60" s="278" t="s">
        <v>591</v>
      </c>
      <c r="B60" t="s">
        <v>591</v>
      </c>
      <c r="C60" t="s">
        <v>592</v>
      </c>
      <c r="D60">
        <v>59</v>
      </c>
    </row>
    <row r="61" spans="1:4">
      <c r="A61" s="278" t="s">
        <v>615</v>
      </c>
      <c r="B61" t="s">
        <v>615</v>
      </c>
      <c r="C61" t="s">
        <v>616</v>
      </c>
      <c r="D61">
        <v>60</v>
      </c>
    </row>
    <row r="62" spans="1:4">
      <c r="A62" s="278" t="s">
        <v>639</v>
      </c>
      <c r="B62" t="s">
        <v>639</v>
      </c>
      <c r="C62" t="s">
        <v>640</v>
      </c>
      <c r="D62">
        <v>61</v>
      </c>
    </row>
    <row r="63" spans="1:4">
      <c r="A63" s="278" t="s">
        <v>663</v>
      </c>
      <c r="B63" t="s">
        <v>663</v>
      </c>
      <c r="C63" t="s">
        <v>664</v>
      </c>
      <c r="D63">
        <v>62</v>
      </c>
    </row>
    <row r="64" spans="1:4">
      <c r="A64" s="278" t="s">
        <v>687</v>
      </c>
      <c r="B64" t="s">
        <v>687</v>
      </c>
      <c r="C64" t="s">
        <v>688</v>
      </c>
      <c r="D64">
        <v>63</v>
      </c>
    </row>
    <row r="65" spans="1:4">
      <c r="A65" s="278" t="s">
        <v>711</v>
      </c>
      <c r="B65" t="s">
        <v>711</v>
      </c>
      <c r="C65" t="s">
        <v>712</v>
      </c>
      <c r="D65">
        <v>64</v>
      </c>
    </row>
    <row r="66" spans="1:4">
      <c r="A66" s="278" t="s">
        <v>545</v>
      </c>
      <c r="B66" t="s">
        <v>545</v>
      </c>
      <c r="C66" t="s">
        <v>546</v>
      </c>
      <c r="D66">
        <v>65</v>
      </c>
    </row>
    <row r="67" spans="1:4">
      <c r="A67" s="278" t="s">
        <v>569</v>
      </c>
      <c r="B67" t="s">
        <v>569</v>
      </c>
      <c r="C67" t="s">
        <v>570</v>
      </c>
      <c r="D67">
        <v>66</v>
      </c>
    </row>
    <row r="68" spans="1:4">
      <c r="A68" s="278" t="s">
        <v>593</v>
      </c>
      <c r="B68" t="s">
        <v>593</v>
      </c>
      <c r="C68" t="s">
        <v>594</v>
      </c>
      <c r="D68">
        <v>67</v>
      </c>
    </row>
    <row r="69" spans="1:4">
      <c r="A69" s="278" t="s">
        <v>617</v>
      </c>
      <c r="B69" t="s">
        <v>617</v>
      </c>
      <c r="C69" t="s">
        <v>618</v>
      </c>
      <c r="D69">
        <v>68</v>
      </c>
    </row>
    <row r="70" spans="1:4">
      <c r="A70" s="278" t="s">
        <v>641</v>
      </c>
      <c r="B70" t="s">
        <v>641</v>
      </c>
      <c r="C70" t="s">
        <v>642</v>
      </c>
      <c r="D70">
        <v>69</v>
      </c>
    </row>
    <row r="71" spans="1:4">
      <c r="A71" s="278" t="s">
        <v>665</v>
      </c>
      <c r="B71" t="s">
        <v>665</v>
      </c>
      <c r="C71" t="s">
        <v>666</v>
      </c>
      <c r="D71">
        <v>70</v>
      </c>
    </row>
    <row r="72" spans="1:4">
      <c r="A72" s="278" t="s">
        <v>689</v>
      </c>
      <c r="B72" t="s">
        <v>689</v>
      </c>
      <c r="C72" t="s">
        <v>690</v>
      </c>
      <c r="D72">
        <v>71</v>
      </c>
    </row>
    <row r="73" spans="1:4">
      <c r="A73" s="278" t="s">
        <v>713</v>
      </c>
      <c r="B73" t="s">
        <v>713</v>
      </c>
      <c r="C73" t="s">
        <v>714</v>
      </c>
      <c r="D73">
        <v>72</v>
      </c>
    </row>
    <row r="74" spans="1:4">
      <c r="A74" s="278" t="s">
        <v>547</v>
      </c>
      <c r="B74" t="s">
        <v>547</v>
      </c>
      <c r="C74" t="s">
        <v>548</v>
      </c>
      <c r="D74">
        <v>73</v>
      </c>
    </row>
    <row r="75" spans="1:4">
      <c r="A75" s="278" t="s">
        <v>571</v>
      </c>
      <c r="B75" t="s">
        <v>571</v>
      </c>
      <c r="C75" t="s">
        <v>572</v>
      </c>
      <c r="D75">
        <v>74</v>
      </c>
    </row>
    <row r="76" spans="1:4">
      <c r="A76" s="278" t="s">
        <v>595</v>
      </c>
      <c r="B76" t="s">
        <v>595</v>
      </c>
      <c r="C76" t="s">
        <v>596</v>
      </c>
      <c r="D76">
        <v>75</v>
      </c>
    </row>
    <row r="77" spans="1:4">
      <c r="A77" s="278" t="s">
        <v>619</v>
      </c>
      <c r="B77" t="s">
        <v>619</v>
      </c>
      <c r="C77" t="s">
        <v>620</v>
      </c>
      <c r="D77">
        <v>76</v>
      </c>
    </row>
    <row r="78" spans="1:4">
      <c r="A78" s="278" t="s">
        <v>643</v>
      </c>
      <c r="B78" t="s">
        <v>643</v>
      </c>
      <c r="C78" t="s">
        <v>644</v>
      </c>
      <c r="D78">
        <v>77</v>
      </c>
    </row>
    <row r="79" spans="1:4">
      <c r="A79" s="278" t="s">
        <v>667</v>
      </c>
      <c r="B79" t="s">
        <v>667</v>
      </c>
      <c r="C79" t="s">
        <v>668</v>
      </c>
      <c r="D79">
        <v>78</v>
      </c>
    </row>
    <row r="80" spans="1:4">
      <c r="A80" s="278" t="s">
        <v>691</v>
      </c>
      <c r="B80" t="s">
        <v>691</v>
      </c>
      <c r="C80" t="s">
        <v>692</v>
      </c>
      <c r="D80">
        <v>79</v>
      </c>
    </row>
    <row r="81" spans="1:4">
      <c r="A81" s="278" t="s">
        <v>715</v>
      </c>
      <c r="B81" t="s">
        <v>715</v>
      </c>
      <c r="C81" t="s">
        <v>716</v>
      </c>
      <c r="D81">
        <v>80</v>
      </c>
    </row>
    <row r="82" spans="1:4">
      <c r="A82" s="278" t="s">
        <v>549</v>
      </c>
      <c r="B82" t="s">
        <v>549</v>
      </c>
      <c r="C82" t="s">
        <v>550</v>
      </c>
      <c r="D82">
        <v>81</v>
      </c>
    </row>
    <row r="83" spans="1:4">
      <c r="A83" s="278" t="s">
        <v>573</v>
      </c>
      <c r="B83" t="s">
        <v>573</v>
      </c>
      <c r="C83" t="s">
        <v>574</v>
      </c>
      <c r="D83">
        <v>82</v>
      </c>
    </row>
    <row r="84" spans="1:4">
      <c r="A84" s="278" t="s">
        <v>597</v>
      </c>
      <c r="B84" t="s">
        <v>597</v>
      </c>
      <c r="C84" t="s">
        <v>598</v>
      </c>
      <c r="D84">
        <v>83</v>
      </c>
    </row>
    <row r="85" spans="1:4">
      <c r="A85" s="278" t="s">
        <v>621</v>
      </c>
      <c r="B85" t="s">
        <v>621</v>
      </c>
      <c r="C85" t="s">
        <v>622</v>
      </c>
      <c r="D85">
        <v>84</v>
      </c>
    </row>
    <row r="86" spans="1:4">
      <c r="A86" s="278" t="s">
        <v>645</v>
      </c>
      <c r="B86" t="s">
        <v>645</v>
      </c>
      <c r="C86" t="s">
        <v>646</v>
      </c>
      <c r="D86">
        <v>85</v>
      </c>
    </row>
    <row r="87" spans="1:4">
      <c r="A87" s="278" t="s">
        <v>669</v>
      </c>
      <c r="B87" t="s">
        <v>669</v>
      </c>
      <c r="C87" t="s">
        <v>670</v>
      </c>
      <c r="D87">
        <v>86</v>
      </c>
    </row>
    <row r="88" spans="1:4">
      <c r="A88" s="278" t="s">
        <v>693</v>
      </c>
      <c r="B88" t="s">
        <v>693</v>
      </c>
      <c r="C88" t="s">
        <v>694</v>
      </c>
      <c r="D88">
        <v>87</v>
      </c>
    </row>
    <row r="89" spans="1:4">
      <c r="A89" s="278" t="s">
        <v>717</v>
      </c>
      <c r="B89" t="s">
        <v>717</v>
      </c>
      <c r="C89" t="s">
        <v>718</v>
      </c>
      <c r="D89">
        <v>88</v>
      </c>
    </row>
    <row r="90" spans="1:4">
      <c r="A90" s="278" t="s">
        <v>551</v>
      </c>
      <c r="B90" t="s">
        <v>551</v>
      </c>
      <c r="C90" t="s">
        <v>552</v>
      </c>
      <c r="D90">
        <v>89</v>
      </c>
    </row>
    <row r="91" spans="1:4">
      <c r="A91" s="278" t="s">
        <v>575</v>
      </c>
      <c r="B91" t="s">
        <v>575</v>
      </c>
      <c r="C91" t="s">
        <v>576</v>
      </c>
      <c r="D91">
        <v>90</v>
      </c>
    </row>
    <row r="92" spans="1:4">
      <c r="A92" s="278" t="s">
        <v>599</v>
      </c>
      <c r="B92" t="s">
        <v>599</v>
      </c>
      <c r="C92" t="s">
        <v>600</v>
      </c>
      <c r="D92">
        <v>91</v>
      </c>
    </row>
    <row r="93" spans="1:4">
      <c r="A93" s="278" t="s">
        <v>623</v>
      </c>
      <c r="B93" t="s">
        <v>623</v>
      </c>
      <c r="C93" t="s">
        <v>624</v>
      </c>
      <c r="D93">
        <v>92</v>
      </c>
    </row>
    <row r="94" spans="1:4">
      <c r="A94" s="278" t="s">
        <v>647</v>
      </c>
      <c r="B94" t="s">
        <v>647</v>
      </c>
      <c r="C94" t="s">
        <v>648</v>
      </c>
      <c r="D94">
        <v>93</v>
      </c>
    </row>
    <row r="95" spans="1:4">
      <c r="A95" s="278" t="s">
        <v>671</v>
      </c>
      <c r="B95" t="s">
        <v>671</v>
      </c>
      <c r="C95" t="s">
        <v>672</v>
      </c>
      <c r="D95">
        <v>94</v>
      </c>
    </row>
    <row r="96" spans="1:4">
      <c r="A96" s="278" t="s">
        <v>695</v>
      </c>
      <c r="B96" t="s">
        <v>695</v>
      </c>
      <c r="C96" t="s">
        <v>696</v>
      </c>
      <c r="D96">
        <v>95</v>
      </c>
    </row>
    <row r="97" spans="1:4">
      <c r="A97" s="278" t="s">
        <v>719</v>
      </c>
      <c r="B97" t="s">
        <v>719</v>
      </c>
      <c r="C97" t="s">
        <v>720</v>
      </c>
      <c r="D97">
        <v>96</v>
      </c>
    </row>
    <row r="98" spans="1:4">
      <c r="A98" s="278" t="s">
        <v>721</v>
      </c>
      <c r="B98" t="s">
        <v>721</v>
      </c>
      <c r="C98" t="s">
        <v>722</v>
      </c>
    </row>
    <row r="99" spans="1:4">
      <c r="A99" s="278" t="s">
        <v>723</v>
      </c>
      <c r="B99" t="s">
        <v>723</v>
      </c>
      <c r="C99" t="s">
        <v>724</v>
      </c>
    </row>
    <row r="100" spans="1:4">
      <c r="A100" s="278" t="s">
        <v>725</v>
      </c>
      <c r="B100" t="s">
        <v>725</v>
      </c>
      <c r="C100" t="s">
        <v>726</v>
      </c>
    </row>
    <row r="101" spans="1:4">
      <c r="A101" s="278" t="s">
        <v>727</v>
      </c>
      <c r="B101" t="s">
        <v>727</v>
      </c>
      <c r="C101" t="s">
        <v>728</v>
      </c>
    </row>
    <row r="102" spans="1:4">
      <c r="A102" s="278" t="s">
        <v>729</v>
      </c>
      <c r="B102" t="s">
        <v>729</v>
      </c>
      <c r="C102" t="s">
        <v>730</v>
      </c>
    </row>
    <row r="103" spans="1:4">
      <c r="A103" s="278" t="s">
        <v>731</v>
      </c>
      <c r="B103" t="s">
        <v>731</v>
      </c>
      <c r="C103" t="s">
        <v>732</v>
      </c>
    </row>
    <row r="104" spans="1:4">
      <c r="A104" s="278" t="s">
        <v>733</v>
      </c>
      <c r="B104" t="s">
        <v>733</v>
      </c>
      <c r="C104" t="s">
        <v>734</v>
      </c>
    </row>
    <row r="105" spans="1:4">
      <c r="A105" s="278" t="s">
        <v>735</v>
      </c>
      <c r="B105" t="s">
        <v>735</v>
      </c>
      <c r="C105" t="s">
        <v>736</v>
      </c>
    </row>
    <row r="106" spans="1:4">
      <c r="A106" s="278" t="s">
        <v>737</v>
      </c>
      <c r="B106" t="s">
        <v>737</v>
      </c>
      <c r="C106" t="s">
        <v>738</v>
      </c>
    </row>
    <row r="107" spans="1:4">
      <c r="A107" s="278" t="s">
        <v>739</v>
      </c>
      <c r="B107" t="s">
        <v>739</v>
      </c>
      <c r="C107" t="s">
        <v>740</v>
      </c>
    </row>
    <row r="108" spans="1:4">
      <c r="A108" s="278" t="s">
        <v>741</v>
      </c>
      <c r="B108" t="s">
        <v>741</v>
      </c>
      <c r="C108" t="s">
        <v>742</v>
      </c>
    </row>
    <row r="109" spans="1:4">
      <c r="A109" s="278" t="s">
        <v>743</v>
      </c>
      <c r="B109" t="s">
        <v>743</v>
      </c>
      <c r="C109" t="s">
        <v>744</v>
      </c>
    </row>
    <row r="110" spans="1:4">
      <c r="A110" s="278" t="s">
        <v>745</v>
      </c>
      <c r="B110" t="s">
        <v>745</v>
      </c>
      <c r="C110" t="s">
        <v>746</v>
      </c>
    </row>
    <row r="111" spans="1:4">
      <c r="A111" s="278" t="s">
        <v>747</v>
      </c>
      <c r="B111" t="s">
        <v>747</v>
      </c>
      <c r="C111" t="s">
        <v>748</v>
      </c>
    </row>
    <row r="112" spans="1:4">
      <c r="A112" s="278" t="s">
        <v>749</v>
      </c>
      <c r="B112" t="s">
        <v>749</v>
      </c>
      <c r="C112" t="s">
        <v>750</v>
      </c>
    </row>
    <row r="113" spans="1:3">
      <c r="A113" s="278" t="s">
        <v>751</v>
      </c>
      <c r="B113" t="s">
        <v>751</v>
      </c>
      <c r="C113" t="s">
        <v>752</v>
      </c>
    </row>
    <row r="114" spans="1:3">
      <c r="A114" s="278" t="s">
        <v>753</v>
      </c>
      <c r="B114" t="s">
        <v>753</v>
      </c>
      <c r="C114" t="s">
        <v>754</v>
      </c>
    </row>
    <row r="115" spans="1:3">
      <c r="A115" s="278" t="s">
        <v>755</v>
      </c>
      <c r="B115" t="s">
        <v>755</v>
      </c>
      <c r="C115" t="s">
        <v>756</v>
      </c>
    </row>
    <row r="116" spans="1:3">
      <c r="A116" s="278" t="s">
        <v>757</v>
      </c>
      <c r="B116" t="s">
        <v>757</v>
      </c>
      <c r="C116" t="s">
        <v>758</v>
      </c>
    </row>
    <row r="117" spans="1:3">
      <c r="A117" s="278" t="s">
        <v>759</v>
      </c>
      <c r="B117" t="s">
        <v>759</v>
      </c>
      <c r="C117" t="s">
        <v>760</v>
      </c>
    </row>
    <row r="118" spans="1:3">
      <c r="A118" s="278" t="s">
        <v>761</v>
      </c>
      <c r="B118" t="s">
        <v>761</v>
      </c>
      <c r="C118" t="s">
        <v>762</v>
      </c>
    </row>
    <row r="119" spans="1:3">
      <c r="A119" s="278" t="s">
        <v>763</v>
      </c>
      <c r="B119" t="s">
        <v>763</v>
      </c>
      <c r="C119" t="s">
        <v>764</v>
      </c>
    </row>
    <row r="120" spans="1:3">
      <c r="A120" s="278" t="s">
        <v>765</v>
      </c>
      <c r="B120" t="s">
        <v>765</v>
      </c>
      <c r="C120" t="s">
        <v>766</v>
      </c>
    </row>
    <row r="121" spans="1:3">
      <c r="A121" s="278" t="s">
        <v>767</v>
      </c>
      <c r="B121" t="s">
        <v>767</v>
      </c>
      <c r="C121" t="s">
        <v>768</v>
      </c>
    </row>
    <row r="122" spans="1:3">
      <c r="A122" s="278" t="s">
        <v>769</v>
      </c>
      <c r="B122" t="s">
        <v>769</v>
      </c>
      <c r="C122" t="s">
        <v>770</v>
      </c>
    </row>
    <row r="123" spans="1:3">
      <c r="A123" s="278" t="s">
        <v>771</v>
      </c>
      <c r="B123" t="s">
        <v>771</v>
      </c>
      <c r="C123" t="s">
        <v>772</v>
      </c>
    </row>
    <row r="124" spans="1:3">
      <c r="A124" s="278" t="s">
        <v>773</v>
      </c>
      <c r="B124" t="s">
        <v>773</v>
      </c>
      <c r="C124" t="s">
        <v>774</v>
      </c>
    </row>
    <row r="125" spans="1:3">
      <c r="A125" s="278" t="s">
        <v>775</v>
      </c>
      <c r="B125" t="s">
        <v>775</v>
      </c>
      <c r="C125" t="s">
        <v>776</v>
      </c>
    </row>
    <row r="126" spans="1:3">
      <c r="A126" s="278" t="s">
        <v>777</v>
      </c>
      <c r="B126" t="s">
        <v>777</v>
      </c>
      <c r="C126" t="s">
        <v>778</v>
      </c>
    </row>
    <row r="127" spans="1:3">
      <c r="A127" s="278" t="s">
        <v>779</v>
      </c>
      <c r="B127" t="s">
        <v>779</v>
      </c>
      <c r="C127" t="s">
        <v>780</v>
      </c>
    </row>
    <row r="128" spans="1:3">
      <c r="A128" s="278" t="s">
        <v>781</v>
      </c>
      <c r="B128" t="s">
        <v>781</v>
      </c>
      <c r="C128" t="s">
        <v>782</v>
      </c>
    </row>
    <row r="129" spans="1:3">
      <c r="A129" s="278" t="s">
        <v>783</v>
      </c>
      <c r="B129" t="s">
        <v>783</v>
      </c>
      <c r="C129" t="s">
        <v>784</v>
      </c>
    </row>
    <row r="130" spans="1:3">
      <c r="A130" s="278" t="s">
        <v>785</v>
      </c>
      <c r="B130" t="s">
        <v>785</v>
      </c>
      <c r="C130" t="s">
        <v>786</v>
      </c>
    </row>
    <row r="131" spans="1:3">
      <c r="A131" s="278" t="s">
        <v>787</v>
      </c>
      <c r="B131" t="s">
        <v>787</v>
      </c>
      <c r="C131" t="s">
        <v>788</v>
      </c>
    </row>
    <row r="132" spans="1:3">
      <c r="A132" s="278" t="s">
        <v>789</v>
      </c>
      <c r="B132" t="s">
        <v>789</v>
      </c>
      <c r="C132" t="s">
        <v>790</v>
      </c>
    </row>
    <row r="133" spans="1:3">
      <c r="A133" s="278" t="s">
        <v>791</v>
      </c>
      <c r="B133" t="s">
        <v>791</v>
      </c>
      <c r="C133" t="s">
        <v>792</v>
      </c>
    </row>
    <row r="134" spans="1:3">
      <c r="A134" s="278" t="s">
        <v>793</v>
      </c>
      <c r="B134" t="s">
        <v>793</v>
      </c>
      <c r="C134" t="s">
        <v>794</v>
      </c>
    </row>
    <row r="135" spans="1:3">
      <c r="A135" s="278" t="s">
        <v>795</v>
      </c>
      <c r="B135" t="s">
        <v>795</v>
      </c>
      <c r="C135" t="s">
        <v>796</v>
      </c>
    </row>
    <row r="136" spans="1:3">
      <c r="A136" s="278" t="s">
        <v>797</v>
      </c>
      <c r="B136" t="s">
        <v>797</v>
      </c>
      <c r="C136" t="s">
        <v>798</v>
      </c>
    </row>
    <row r="137" spans="1:3">
      <c r="A137" s="278" t="s">
        <v>799</v>
      </c>
      <c r="B137" t="s">
        <v>799</v>
      </c>
      <c r="C137" t="s">
        <v>800</v>
      </c>
    </row>
    <row r="138" spans="1:3">
      <c r="A138" s="278" t="s">
        <v>801</v>
      </c>
      <c r="B138" t="s">
        <v>801</v>
      </c>
      <c r="C138" t="s">
        <v>802</v>
      </c>
    </row>
    <row r="139" spans="1:3">
      <c r="A139" s="278" t="s">
        <v>803</v>
      </c>
      <c r="B139" t="s">
        <v>803</v>
      </c>
      <c r="C139" t="s">
        <v>804</v>
      </c>
    </row>
    <row r="140" spans="1:3">
      <c r="A140" s="278" t="s">
        <v>805</v>
      </c>
      <c r="B140" t="s">
        <v>805</v>
      </c>
      <c r="C140" t="s">
        <v>806</v>
      </c>
    </row>
    <row r="141" spans="1:3">
      <c r="A141" s="278" t="s">
        <v>807</v>
      </c>
      <c r="B141" t="s">
        <v>807</v>
      </c>
      <c r="C141" t="s">
        <v>808</v>
      </c>
    </row>
    <row r="142" spans="1:3">
      <c r="A142" s="278" t="s">
        <v>809</v>
      </c>
      <c r="B142" t="s">
        <v>809</v>
      </c>
      <c r="C142" t="s">
        <v>810</v>
      </c>
    </row>
    <row r="143" spans="1:3">
      <c r="A143" s="278" t="s">
        <v>811</v>
      </c>
      <c r="B143" t="s">
        <v>811</v>
      </c>
      <c r="C143" t="s">
        <v>812</v>
      </c>
    </row>
    <row r="144" spans="1:3">
      <c r="A144" s="278" t="s">
        <v>813</v>
      </c>
      <c r="B144" t="s">
        <v>813</v>
      </c>
      <c r="C144" t="s">
        <v>814</v>
      </c>
    </row>
    <row r="145" spans="1:3">
      <c r="A145" s="278" t="s">
        <v>815</v>
      </c>
      <c r="B145" t="s">
        <v>815</v>
      </c>
      <c r="C145" t="s">
        <v>816</v>
      </c>
    </row>
    <row r="146" spans="1:3">
      <c r="A146" s="278" t="s">
        <v>817</v>
      </c>
      <c r="B146" t="s">
        <v>817</v>
      </c>
      <c r="C146" t="s">
        <v>818</v>
      </c>
    </row>
    <row r="147" spans="1:3">
      <c r="A147" s="278" t="s">
        <v>819</v>
      </c>
      <c r="B147" t="s">
        <v>819</v>
      </c>
      <c r="C147" t="s">
        <v>820</v>
      </c>
    </row>
    <row r="148" spans="1:3">
      <c r="A148" s="278" t="s">
        <v>821</v>
      </c>
      <c r="B148" t="s">
        <v>821</v>
      </c>
      <c r="C148" t="s">
        <v>822</v>
      </c>
    </row>
    <row r="149" spans="1:3">
      <c r="A149" s="278" t="s">
        <v>823</v>
      </c>
      <c r="B149" t="s">
        <v>823</v>
      </c>
      <c r="C149" t="s">
        <v>824</v>
      </c>
    </row>
    <row r="150" spans="1:3">
      <c r="A150" s="278" t="s">
        <v>825</v>
      </c>
      <c r="B150" t="s">
        <v>825</v>
      </c>
      <c r="C150" t="s">
        <v>826</v>
      </c>
    </row>
    <row r="151" spans="1:3">
      <c r="A151" s="278" t="s">
        <v>827</v>
      </c>
      <c r="B151" t="s">
        <v>827</v>
      </c>
      <c r="C151" t="s">
        <v>828</v>
      </c>
    </row>
    <row r="152" spans="1:3">
      <c r="A152" s="278" t="s">
        <v>829</v>
      </c>
      <c r="B152" t="s">
        <v>829</v>
      </c>
      <c r="C152" t="s">
        <v>830</v>
      </c>
    </row>
    <row r="153" spans="1:3">
      <c r="A153" s="278" t="s">
        <v>831</v>
      </c>
      <c r="B153" t="s">
        <v>831</v>
      </c>
      <c r="C153" t="s">
        <v>832</v>
      </c>
    </row>
    <row r="154" spans="1:3">
      <c r="A154" s="278" t="s">
        <v>833</v>
      </c>
      <c r="B154" t="s">
        <v>833</v>
      </c>
      <c r="C154" t="s">
        <v>834</v>
      </c>
    </row>
    <row r="155" spans="1:3">
      <c r="A155" s="278" t="s">
        <v>835</v>
      </c>
      <c r="B155" t="s">
        <v>835</v>
      </c>
      <c r="C155" t="s">
        <v>836</v>
      </c>
    </row>
    <row r="156" spans="1:3">
      <c r="A156" s="278" t="s">
        <v>837</v>
      </c>
      <c r="B156" t="s">
        <v>837</v>
      </c>
      <c r="C156" t="s">
        <v>838</v>
      </c>
    </row>
    <row r="157" spans="1:3">
      <c r="A157" s="278" t="s">
        <v>839</v>
      </c>
      <c r="B157" t="s">
        <v>839</v>
      </c>
      <c r="C157" t="s">
        <v>840</v>
      </c>
    </row>
    <row r="158" spans="1:3">
      <c r="A158" s="278" t="s">
        <v>841</v>
      </c>
      <c r="B158" t="s">
        <v>841</v>
      </c>
      <c r="C158" t="s">
        <v>842</v>
      </c>
    </row>
    <row r="159" spans="1:3">
      <c r="A159" s="278" t="s">
        <v>843</v>
      </c>
      <c r="B159" t="s">
        <v>843</v>
      </c>
      <c r="C159" t="s">
        <v>844</v>
      </c>
    </row>
    <row r="160" spans="1:3">
      <c r="A160" s="278" t="s">
        <v>845</v>
      </c>
      <c r="B160" t="s">
        <v>845</v>
      </c>
      <c r="C160" t="s">
        <v>846</v>
      </c>
    </row>
    <row r="161" spans="1:3">
      <c r="A161" s="278" t="s">
        <v>847</v>
      </c>
      <c r="B161" t="s">
        <v>847</v>
      </c>
      <c r="C161" t="s">
        <v>848</v>
      </c>
    </row>
    <row r="162" spans="1:3">
      <c r="A162" s="278" t="s">
        <v>849</v>
      </c>
      <c r="B162" t="s">
        <v>849</v>
      </c>
      <c r="C162" t="s">
        <v>850</v>
      </c>
    </row>
    <row r="163" spans="1:3">
      <c r="A163" s="278" t="s">
        <v>851</v>
      </c>
      <c r="B163" t="s">
        <v>851</v>
      </c>
      <c r="C163" t="s">
        <v>852</v>
      </c>
    </row>
    <row r="164" spans="1:3">
      <c r="A164" s="278" t="s">
        <v>853</v>
      </c>
      <c r="B164" t="s">
        <v>853</v>
      </c>
      <c r="C164" t="s">
        <v>854</v>
      </c>
    </row>
    <row r="165" spans="1:3">
      <c r="A165" s="278" t="s">
        <v>855</v>
      </c>
      <c r="B165" t="s">
        <v>855</v>
      </c>
      <c r="C165" t="s">
        <v>856</v>
      </c>
    </row>
    <row r="166" spans="1:3">
      <c r="A166" s="278" t="s">
        <v>857</v>
      </c>
      <c r="B166" t="s">
        <v>857</v>
      </c>
      <c r="C166" t="s">
        <v>858</v>
      </c>
    </row>
    <row r="167" spans="1:3">
      <c r="A167" s="278" t="s">
        <v>859</v>
      </c>
      <c r="B167" t="s">
        <v>859</v>
      </c>
      <c r="C167" t="s">
        <v>860</v>
      </c>
    </row>
    <row r="168" spans="1:3">
      <c r="A168" s="278" t="s">
        <v>861</v>
      </c>
      <c r="B168" t="s">
        <v>861</v>
      </c>
      <c r="C168" t="s">
        <v>862</v>
      </c>
    </row>
    <row r="169" spans="1:3">
      <c r="A169" s="278" t="s">
        <v>863</v>
      </c>
      <c r="B169" t="s">
        <v>863</v>
      </c>
      <c r="C169" t="s">
        <v>864</v>
      </c>
    </row>
    <row r="170" spans="1:3">
      <c r="A170" s="278" t="s">
        <v>865</v>
      </c>
      <c r="B170" t="s">
        <v>865</v>
      </c>
      <c r="C170" t="s">
        <v>866</v>
      </c>
    </row>
    <row r="171" spans="1:3">
      <c r="A171" s="278" t="s">
        <v>867</v>
      </c>
      <c r="B171" t="s">
        <v>867</v>
      </c>
      <c r="C171" t="s">
        <v>868</v>
      </c>
    </row>
    <row r="172" spans="1:3">
      <c r="A172" s="278" t="s">
        <v>869</v>
      </c>
      <c r="B172" t="s">
        <v>869</v>
      </c>
      <c r="C172" t="s">
        <v>870</v>
      </c>
    </row>
    <row r="173" spans="1:3">
      <c r="A173" s="278" t="s">
        <v>871</v>
      </c>
      <c r="B173" t="s">
        <v>871</v>
      </c>
      <c r="C173" t="s">
        <v>872</v>
      </c>
    </row>
    <row r="174" spans="1:3">
      <c r="A174" s="278" t="s">
        <v>873</v>
      </c>
      <c r="B174" t="s">
        <v>873</v>
      </c>
      <c r="C174" t="s">
        <v>874</v>
      </c>
    </row>
    <row r="175" spans="1:3">
      <c r="A175" s="278" t="s">
        <v>875</v>
      </c>
      <c r="B175" t="s">
        <v>875</v>
      </c>
      <c r="C175" t="s">
        <v>876</v>
      </c>
    </row>
    <row r="176" spans="1:3">
      <c r="A176" s="278" t="s">
        <v>877</v>
      </c>
      <c r="B176" t="s">
        <v>877</v>
      </c>
      <c r="C176" t="s">
        <v>878</v>
      </c>
    </row>
    <row r="177" spans="1:3">
      <c r="A177" s="278" t="s">
        <v>879</v>
      </c>
      <c r="B177" t="s">
        <v>879</v>
      </c>
      <c r="C177" t="s">
        <v>880</v>
      </c>
    </row>
    <row r="178" spans="1:3">
      <c r="A178" s="278" t="s">
        <v>881</v>
      </c>
      <c r="B178" t="s">
        <v>881</v>
      </c>
      <c r="C178" t="s">
        <v>882</v>
      </c>
    </row>
    <row r="179" spans="1:3">
      <c r="A179" s="278" t="s">
        <v>883</v>
      </c>
      <c r="B179" t="s">
        <v>883</v>
      </c>
      <c r="C179" t="s">
        <v>884</v>
      </c>
    </row>
    <row r="180" spans="1:3">
      <c r="A180" s="278" t="s">
        <v>885</v>
      </c>
      <c r="B180" t="s">
        <v>885</v>
      </c>
      <c r="C180" t="s">
        <v>886</v>
      </c>
    </row>
    <row r="181" spans="1:3">
      <c r="A181" s="278" t="s">
        <v>887</v>
      </c>
      <c r="B181" t="s">
        <v>887</v>
      </c>
      <c r="C181" t="s">
        <v>888</v>
      </c>
    </row>
    <row r="182" spans="1:3">
      <c r="A182" s="278" t="s">
        <v>889</v>
      </c>
      <c r="B182" t="s">
        <v>889</v>
      </c>
      <c r="C182" t="s">
        <v>890</v>
      </c>
    </row>
    <row r="183" spans="1:3">
      <c r="A183" s="278" t="s">
        <v>891</v>
      </c>
      <c r="B183" t="s">
        <v>891</v>
      </c>
      <c r="C183" t="s">
        <v>892</v>
      </c>
    </row>
    <row r="184" spans="1:3">
      <c r="A184" s="278" t="s">
        <v>893</v>
      </c>
      <c r="B184" t="s">
        <v>893</v>
      </c>
      <c r="C184" t="s">
        <v>894</v>
      </c>
    </row>
    <row r="185" spans="1:3">
      <c r="A185" s="278" t="s">
        <v>895</v>
      </c>
      <c r="B185" t="s">
        <v>895</v>
      </c>
      <c r="C185" t="s">
        <v>896</v>
      </c>
    </row>
    <row r="186" spans="1:3">
      <c r="A186" s="278" t="s">
        <v>897</v>
      </c>
      <c r="B186" t="s">
        <v>897</v>
      </c>
      <c r="C186" t="s">
        <v>898</v>
      </c>
    </row>
    <row r="187" spans="1:3">
      <c r="A187" s="278" t="s">
        <v>899</v>
      </c>
      <c r="B187" t="s">
        <v>899</v>
      </c>
      <c r="C187" t="s">
        <v>900</v>
      </c>
    </row>
    <row r="188" spans="1:3">
      <c r="A188" s="278" t="s">
        <v>901</v>
      </c>
      <c r="B188" t="s">
        <v>901</v>
      </c>
      <c r="C188" t="s">
        <v>902</v>
      </c>
    </row>
    <row r="189" spans="1:3">
      <c r="A189" s="278" t="s">
        <v>903</v>
      </c>
      <c r="B189" t="s">
        <v>903</v>
      </c>
      <c r="C189" t="s">
        <v>904</v>
      </c>
    </row>
    <row r="190" spans="1:3">
      <c r="A190" s="278" t="s">
        <v>905</v>
      </c>
      <c r="B190" t="s">
        <v>905</v>
      </c>
      <c r="C190" t="s">
        <v>906</v>
      </c>
    </row>
    <row r="191" spans="1:3">
      <c r="A191" s="278" t="s">
        <v>907</v>
      </c>
      <c r="B191" t="s">
        <v>907</v>
      </c>
      <c r="C191" t="s">
        <v>908</v>
      </c>
    </row>
    <row r="192" spans="1:3">
      <c r="A192" s="278" t="s">
        <v>909</v>
      </c>
      <c r="B192" t="s">
        <v>909</v>
      </c>
      <c r="C192" t="s">
        <v>910</v>
      </c>
    </row>
    <row r="193" spans="1:3">
      <c r="A193" s="278" t="s">
        <v>911</v>
      </c>
      <c r="B193" t="s">
        <v>911</v>
      </c>
      <c r="C193" t="s">
        <v>912</v>
      </c>
    </row>
    <row r="194" spans="1:3">
      <c r="A194" s="278" t="s">
        <v>913</v>
      </c>
      <c r="B194" t="s">
        <v>913</v>
      </c>
      <c r="C194" t="s">
        <v>914</v>
      </c>
    </row>
    <row r="195" spans="1:3">
      <c r="A195" s="278" t="s">
        <v>915</v>
      </c>
      <c r="B195" t="s">
        <v>915</v>
      </c>
      <c r="C195" t="s">
        <v>916</v>
      </c>
    </row>
    <row r="196" spans="1:3">
      <c r="A196" s="278" t="s">
        <v>917</v>
      </c>
      <c r="B196" t="s">
        <v>917</v>
      </c>
      <c r="C196" t="s">
        <v>918</v>
      </c>
    </row>
    <row r="197" spans="1:3">
      <c r="A197" s="278" t="s">
        <v>919</v>
      </c>
      <c r="B197" t="s">
        <v>919</v>
      </c>
      <c r="C197" t="s">
        <v>920</v>
      </c>
    </row>
    <row r="198" spans="1:3">
      <c r="A198" s="278" t="s">
        <v>921</v>
      </c>
      <c r="B198" t="s">
        <v>921</v>
      </c>
      <c r="C198" t="s">
        <v>922</v>
      </c>
    </row>
    <row r="199" spans="1:3">
      <c r="A199" s="278" t="s">
        <v>923</v>
      </c>
      <c r="B199" t="s">
        <v>923</v>
      </c>
      <c r="C199" t="s">
        <v>924</v>
      </c>
    </row>
    <row r="200" spans="1:3">
      <c r="A200" s="278" t="s">
        <v>925</v>
      </c>
      <c r="B200" t="s">
        <v>925</v>
      </c>
      <c r="C200" t="s">
        <v>926</v>
      </c>
    </row>
    <row r="201" spans="1:3">
      <c r="A201" s="278" t="s">
        <v>927</v>
      </c>
      <c r="B201" t="s">
        <v>927</v>
      </c>
      <c r="C201" t="s">
        <v>928</v>
      </c>
    </row>
    <row r="202" spans="1:3">
      <c r="A202" s="278" t="s">
        <v>929</v>
      </c>
      <c r="B202" t="s">
        <v>929</v>
      </c>
      <c r="C202" t="s">
        <v>930</v>
      </c>
    </row>
    <row r="203" spans="1:3">
      <c r="A203" s="278" t="s">
        <v>931</v>
      </c>
      <c r="B203" t="s">
        <v>931</v>
      </c>
      <c r="C203" t="s">
        <v>932</v>
      </c>
    </row>
    <row r="204" spans="1:3">
      <c r="A204" s="278" t="s">
        <v>933</v>
      </c>
      <c r="B204" t="s">
        <v>933</v>
      </c>
      <c r="C204" t="s">
        <v>934</v>
      </c>
    </row>
    <row r="205" spans="1:3">
      <c r="A205" s="278" t="s">
        <v>935</v>
      </c>
      <c r="B205" t="s">
        <v>935</v>
      </c>
      <c r="C205" t="s">
        <v>936</v>
      </c>
    </row>
    <row r="206" spans="1:3">
      <c r="A206" s="278" t="s">
        <v>937</v>
      </c>
      <c r="B206" t="s">
        <v>937</v>
      </c>
      <c r="C206" t="s">
        <v>938</v>
      </c>
    </row>
    <row r="207" spans="1:3">
      <c r="A207" s="278" t="s">
        <v>939</v>
      </c>
      <c r="B207" t="s">
        <v>939</v>
      </c>
      <c r="C207" t="s">
        <v>940</v>
      </c>
    </row>
    <row r="208" spans="1:3">
      <c r="A208" s="278" t="s">
        <v>941</v>
      </c>
      <c r="B208" t="s">
        <v>941</v>
      </c>
      <c r="C208" t="s">
        <v>942</v>
      </c>
    </row>
    <row r="209" spans="1:3">
      <c r="A209" s="278" t="s">
        <v>943</v>
      </c>
      <c r="B209" t="s">
        <v>943</v>
      </c>
      <c r="C209" t="s">
        <v>944</v>
      </c>
    </row>
    <row r="210" spans="1:3">
      <c r="A210" s="278" t="s">
        <v>945</v>
      </c>
      <c r="B210" t="s">
        <v>945</v>
      </c>
      <c r="C210" t="s">
        <v>946</v>
      </c>
    </row>
    <row r="211" spans="1:3">
      <c r="A211" s="278" t="s">
        <v>947</v>
      </c>
      <c r="B211" t="s">
        <v>947</v>
      </c>
      <c r="C211" t="s">
        <v>948</v>
      </c>
    </row>
    <row r="212" spans="1:3">
      <c r="A212" s="278" t="s">
        <v>949</v>
      </c>
      <c r="B212" t="s">
        <v>949</v>
      </c>
      <c r="C212" t="s">
        <v>950</v>
      </c>
    </row>
    <row r="213" spans="1:3">
      <c r="A213" s="278" t="s">
        <v>951</v>
      </c>
      <c r="B213" t="s">
        <v>951</v>
      </c>
      <c r="C213" t="s">
        <v>952</v>
      </c>
    </row>
    <row r="214" spans="1:3">
      <c r="A214" s="278" t="s">
        <v>953</v>
      </c>
      <c r="B214" t="s">
        <v>953</v>
      </c>
      <c r="C214" t="s">
        <v>954</v>
      </c>
    </row>
    <row r="215" spans="1:3">
      <c r="A215" s="278" t="s">
        <v>955</v>
      </c>
      <c r="B215" t="s">
        <v>955</v>
      </c>
      <c r="C215" t="s">
        <v>956</v>
      </c>
    </row>
    <row r="216" spans="1:3">
      <c r="A216" s="278" t="s">
        <v>957</v>
      </c>
      <c r="B216" t="s">
        <v>957</v>
      </c>
      <c r="C216" t="s">
        <v>958</v>
      </c>
    </row>
    <row r="217" spans="1:3">
      <c r="A217" s="278" t="s">
        <v>959</v>
      </c>
      <c r="B217" t="s">
        <v>959</v>
      </c>
      <c r="C217" t="s">
        <v>960</v>
      </c>
    </row>
    <row r="218" spans="1:3">
      <c r="A218" s="278" t="s">
        <v>961</v>
      </c>
      <c r="B218" t="s">
        <v>961</v>
      </c>
      <c r="C218" t="s">
        <v>962</v>
      </c>
    </row>
    <row r="219" spans="1:3">
      <c r="A219" s="278" t="s">
        <v>963</v>
      </c>
      <c r="B219" t="s">
        <v>963</v>
      </c>
      <c r="C219" t="s">
        <v>964</v>
      </c>
    </row>
    <row r="220" spans="1:3">
      <c r="A220" s="278" t="s">
        <v>965</v>
      </c>
      <c r="B220" t="s">
        <v>965</v>
      </c>
      <c r="C220" t="s">
        <v>966</v>
      </c>
    </row>
    <row r="221" spans="1:3">
      <c r="A221" s="278" t="s">
        <v>967</v>
      </c>
      <c r="B221" t="s">
        <v>967</v>
      </c>
      <c r="C221" t="s">
        <v>968</v>
      </c>
    </row>
    <row r="222" spans="1:3">
      <c r="A222" s="278" t="s">
        <v>969</v>
      </c>
      <c r="B222" t="s">
        <v>969</v>
      </c>
      <c r="C222" t="s">
        <v>970</v>
      </c>
    </row>
    <row r="223" spans="1:3">
      <c r="A223" s="278" t="s">
        <v>971</v>
      </c>
      <c r="B223" t="s">
        <v>971</v>
      </c>
      <c r="C223" t="s">
        <v>972</v>
      </c>
    </row>
    <row r="224" spans="1:3">
      <c r="A224" s="278" t="s">
        <v>973</v>
      </c>
      <c r="B224" t="s">
        <v>973</v>
      </c>
      <c r="C224" t="s">
        <v>974</v>
      </c>
    </row>
    <row r="225" spans="1:3">
      <c r="A225" s="278" t="s">
        <v>975</v>
      </c>
      <c r="B225" t="s">
        <v>975</v>
      </c>
      <c r="C225" t="s">
        <v>976</v>
      </c>
    </row>
    <row r="226" spans="1:3">
      <c r="A226" s="278" t="s">
        <v>977</v>
      </c>
      <c r="B226" t="s">
        <v>977</v>
      </c>
      <c r="C226" t="s">
        <v>978</v>
      </c>
    </row>
    <row r="227" spans="1:3">
      <c r="A227" s="278" t="s">
        <v>979</v>
      </c>
      <c r="B227" t="s">
        <v>979</v>
      </c>
      <c r="C227" t="s">
        <v>980</v>
      </c>
    </row>
    <row r="228" spans="1:3">
      <c r="A228" s="278" t="s">
        <v>981</v>
      </c>
      <c r="B228" t="s">
        <v>981</v>
      </c>
      <c r="C228" t="s">
        <v>982</v>
      </c>
    </row>
    <row r="229" spans="1:3">
      <c r="A229" s="278" t="s">
        <v>983</v>
      </c>
      <c r="B229" t="s">
        <v>983</v>
      </c>
      <c r="C229" t="s">
        <v>984</v>
      </c>
    </row>
    <row r="230" spans="1:3">
      <c r="A230" s="278" t="s">
        <v>985</v>
      </c>
      <c r="B230" t="s">
        <v>985</v>
      </c>
      <c r="C230" t="s">
        <v>986</v>
      </c>
    </row>
    <row r="231" spans="1:3">
      <c r="A231" s="278" t="s">
        <v>987</v>
      </c>
      <c r="B231" t="s">
        <v>987</v>
      </c>
      <c r="C231" t="s">
        <v>988</v>
      </c>
    </row>
    <row r="232" spans="1:3">
      <c r="A232" s="278" t="s">
        <v>989</v>
      </c>
      <c r="B232" t="s">
        <v>989</v>
      </c>
      <c r="C232" t="s">
        <v>990</v>
      </c>
    </row>
    <row r="233" spans="1:3">
      <c r="A233" s="278" t="s">
        <v>991</v>
      </c>
      <c r="B233" t="s">
        <v>991</v>
      </c>
      <c r="C233" t="s">
        <v>992</v>
      </c>
    </row>
    <row r="234" spans="1:3">
      <c r="A234" s="278" t="s">
        <v>993</v>
      </c>
      <c r="B234" t="s">
        <v>993</v>
      </c>
      <c r="C234" t="s">
        <v>994</v>
      </c>
    </row>
    <row r="235" spans="1:3">
      <c r="A235" s="278" t="s">
        <v>995</v>
      </c>
      <c r="B235" t="s">
        <v>995</v>
      </c>
      <c r="C235" t="s">
        <v>996</v>
      </c>
    </row>
    <row r="236" spans="1:3">
      <c r="A236" s="278" t="s">
        <v>997</v>
      </c>
      <c r="B236" t="s">
        <v>997</v>
      </c>
      <c r="C236" t="s">
        <v>998</v>
      </c>
    </row>
    <row r="237" spans="1:3">
      <c r="A237" s="278" t="s">
        <v>999</v>
      </c>
      <c r="B237" t="s">
        <v>999</v>
      </c>
      <c r="C237" t="s">
        <v>1000</v>
      </c>
    </row>
    <row r="238" spans="1:3">
      <c r="A238" s="278" t="s">
        <v>1001</v>
      </c>
      <c r="B238" t="s">
        <v>1001</v>
      </c>
      <c r="C238" t="s">
        <v>1002</v>
      </c>
    </row>
    <row r="239" spans="1:3">
      <c r="A239" s="278" t="s">
        <v>1003</v>
      </c>
      <c r="B239" t="s">
        <v>1003</v>
      </c>
      <c r="C239" t="s">
        <v>1004</v>
      </c>
    </row>
    <row r="240" spans="1:3">
      <c r="A240" s="278" t="s">
        <v>1005</v>
      </c>
      <c r="B240" t="s">
        <v>1005</v>
      </c>
      <c r="C240" t="s">
        <v>1006</v>
      </c>
    </row>
    <row r="241" spans="1:3">
      <c r="A241" s="278" t="s">
        <v>1007</v>
      </c>
      <c r="B241" t="s">
        <v>1007</v>
      </c>
      <c r="C241" t="s">
        <v>1008</v>
      </c>
    </row>
    <row r="242" spans="1:3">
      <c r="A242" s="278" t="s">
        <v>1009</v>
      </c>
      <c r="B242" t="s">
        <v>1009</v>
      </c>
      <c r="C242" t="s">
        <v>1010</v>
      </c>
    </row>
    <row r="243" spans="1:3">
      <c r="A243" s="278" t="s">
        <v>1011</v>
      </c>
      <c r="B243" t="s">
        <v>1011</v>
      </c>
      <c r="C243" t="s">
        <v>1012</v>
      </c>
    </row>
    <row r="244" spans="1:3">
      <c r="A244" s="278" t="s">
        <v>1013</v>
      </c>
      <c r="B244" t="s">
        <v>1013</v>
      </c>
      <c r="C244" t="s">
        <v>1014</v>
      </c>
    </row>
    <row r="245" spans="1:3">
      <c r="A245" s="278" t="s">
        <v>1015</v>
      </c>
      <c r="B245" t="s">
        <v>1015</v>
      </c>
      <c r="C245" t="s">
        <v>1016</v>
      </c>
    </row>
    <row r="246" spans="1:3">
      <c r="A246" s="278" t="s">
        <v>1017</v>
      </c>
      <c r="B246" t="s">
        <v>1017</v>
      </c>
      <c r="C246" t="s">
        <v>1018</v>
      </c>
    </row>
    <row r="247" spans="1:3">
      <c r="A247" s="278" t="s">
        <v>1019</v>
      </c>
      <c r="B247" t="s">
        <v>1019</v>
      </c>
      <c r="C247" t="s">
        <v>1020</v>
      </c>
    </row>
    <row r="248" spans="1:3">
      <c r="A248" s="278" t="s">
        <v>1021</v>
      </c>
      <c r="B248" t="s">
        <v>1021</v>
      </c>
      <c r="C248" t="s">
        <v>1022</v>
      </c>
    </row>
    <row r="249" spans="1:3">
      <c r="A249" s="278" t="s">
        <v>1023</v>
      </c>
      <c r="B249" t="s">
        <v>1023</v>
      </c>
      <c r="C249" t="s">
        <v>1024</v>
      </c>
    </row>
    <row r="250" spans="1:3">
      <c r="A250" s="278" t="s">
        <v>1025</v>
      </c>
      <c r="B250" t="s">
        <v>1025</v>
      </c>
      <c r="C250" t="s">
        <v>1026</v>
      </c>
    </row>
    <row r="251" spans="1:3">
      <c r="A251" s="278" t="s">
        <v>1027</v>
      </c>
      <c r="B251" t="s">
        <v>1027</v>
      </c>
      <c r="C251" t="s">
        <v>1028</v>
      </c>
    </row>
    <row r="252" spans="1:3">
      <c r="A252" s="278" t="s">
        <v>1029</v>
      </c>
      <c r="B252" t="s">
        <v>1029</v>
      </c>
      <c r="C252" t="s">
        <v>1030</v>
      </c>
    </row>
    <row r="253" spans="1:3">
      <c r="A253" s="278" t="s">
        <v>1031</v>
      </c>
      <c r="B253" t="s">
        <v>1031</v>
      </c>
      <c r="C253" t="s">
        <v>1032</v>
      </c>
    </row>
    <row r="254" spans="1:3">
      <c r="A254" s="278" t="s">
        <v>1033</v>
      </c>
      <c r="B254" t="s">
        <v>1033</v>
      </c>
      <c r="C254" t="s">
        <v>1034</v>
      </c>
    </row>
    <row r="255" spans="1:3">
      <c r="A255" s="278" t="s">
        <v>1035</v>
      </c>
      <c r="B255" t="s">
        <v>1035</v>
      </c>
      <c r="C255" t="s">
        <v>1036</v>
      </c>
    </row>
    <row r="256" spans="1:3">
      <c r="A256" s="278" t="s">
        <v>1037</v>
      </c>
      <c r="B256" t="s">
        <v>1037</v>
      </c>
      <c r="C256" t="s">
        <v>1038</v>
      </c>
    </row>
    <row r="257" spans="1:3">
      <c r="A257" s="278" t="s">
        <v>1039</v>
      </c>
      <c r="B257" t="s">
        <v>1039</v>
      </c>
      <c r="C257" t="s">
        <v>1040</v>
      </c>
    </row>
    <row r="258" spans="1:3">
      <c r="A258" s="278" t="s">
        <v>1041</v>
      </c>
      <c r="B258" t="s">
        <v>1041</v>
      </c>
      <c r="C258" t="s">
        <v>1042</v>
      </c>
    </row>
    <row r="259" spans="1:3">
      <c r="A259" s="278" t="s">
        <v>1043</v>
      </c>
      <c r="B259" t="s">
        <v>1043</v>
      </c>
      <c r="C259" t="s">
        <v>1044</v>
      </c>
    </row>
    <row r="260" spans="1:3">
      <c r="A260" s="278" t="s">
        <v>1045</v>
      </c>
      <c r="B260" t="s">
        <v>1045</v>
      </c>
      <c r="C260" t="s">
        <v>1046</v>
      </c>
    </row>
    <row r="261" spans="1:3">
      <c r="A261" s="278" t="s">
        <v>1047</v>
      </c>
      <c r="B261" t="s">
        <v>1047</v>
      </c>
      <c r="C261" t="s">
        <v>1048</v>
      </c>
    </row>
    <row r="262" spans="1:3">
      <c r="A262" s="278" t="s">
        <v>1049</v>
      </c>
      <c r="B262" t="s">
        <v>1049</v>
      </c>
      <c r="C262" t="s">
        <v>1050</v>
      </c>
    </row>
    <row r="263" spans="1:3">
      <c r="A263" s="278" t="s">
        <v>1051</v>
      </c>
      <c r="B263" t="s">
        <v>1051</v>
      </c>
      <c r="C263" t="s">
        <v>1052</v>
      </c>
    </row>
    <row r="264" spans="1:3">
      <c r="A264" s="278" t="s">
        <v>1053</v>
      </c>
      <c r="B264" t="s">
        <v>1053</v>
      </c>
      <c r="C264" t="s">
        <v>1054</v>
      </c>
    </row>
    <row r="265" spans="1:3">
      <c r="A265" s="278" t="s">
        <v>1055</v>
      </c>
      <c r="B265" t="s">
        <v>1055</v>
      </c>
      <c r="C265" t="s">
        <v>1056</v>
      </c>
    </row>
    <row r="266" spans="1:3">
      <c r="A266" s="278" t="s">
        <v>1057</v>
      </c>
      <c r="B266" t="s">
        <v>1057</v>
      </c>
      <c r="C266" t="s">
        <v>1058</v>
      </c>
    </row>
    <row r="267" spans="1:3">
      <c r="A267" s="278" t="s">
        <v>1059</v>
      </c>
      <c r="B267" t="s">
        <v>1059</v>
      </c>
      <c r="C267" t="s">
        <v>1060</v>
      </c>
    </row>
    <row r="268" spans="1:3">
      <c r="A268" s="278" t="s">
        <v>1061</v>
      </c>
      <c r="B268" t="s">
        <v>1061</v>
      </c>
      <c r="C268" t="s">
        <v>1062</v>
      </c>
    </row>
    <row r="269" spans="1:3">
      <c r="A269" s="278" t="s">
        <v>1063</v>
      </c>
      <c r="B269" t="s">
        <v>1063</v>
      </c>
      <c r="C269" t="s">
        <v>1064</v>
      </c>
    </row>
    <row r="270" spans="1:3">
      <c r="A270" s="278" t="s">
        <v>1065</v>
      </c>
      <c r="B270" t="s">
        <v>1065</v>
      </c>
      <c r="C270" t="s">
        <v>1066</v>
      </c>
    </row>
    <row r="271" spans="1:3">
      <c r="A271" s="278" t="s">
        <v>1067</v>
      </c>
      <c r="B271" t="s">
        <v>1067</v>
      </c>
      <c r="C271" t="s">
        <v>1068</v>
      </c>
    </row>
    <row r="272" spans="1:3">
      <c r="A272" s="278" t="s">
        <v>1069</v>
      </c>
      <c r="B272" t="s">
        <v>1069</v>
      </c>
      <c r="C272" t="s">
        <v>1070</v>
      </c>
    </row>
    <row r="273" spans="1:3">
      <c r="A273" s="278" t="s">
        <v>1071</v>
      </c>
      <c r="B273" t="s">
        <v>1071</v>
      </c>
      <c r="C273" t="s">
        <v>1072</v>
      </c>
    </row>
    <row r="274" spans="1:3">
      <c r="A274" s="278" t="s">
        <v>1073</v>
      </c>
      <c r="B274" t="s">
        <v>1073</v>
      </c>
      <c r="C274" t="s">
        <v>1074</v>
      </c>
    </row>
    <row r="275" spans="1:3">
      <c r="A275" s="278" t="s">
        <v>1075</v>
      </c>
      <c r="B275" t="s">
        <v>1075</v>
      </c>
      <c r="C275" t="s">
        <v>1076</v>
      </c>
    </row>
    <row r="276" spans="1:3">
      <c r="A276" s="278" t="s">
        <v>1077</v>
      </c>
      <c r="B276" t="s">
        <v>1077</v>
      </c>
      <c r="C276" t="s">
        <v>1078</v>
      </c>
    </row>
    <row r="277" spans="1:3">
      <c r="A277" s="278" t="s">
        <v>1079</v>
      </c>
      <c r="B277" t="s">
        <v>1079</v>
      </c>
      <c r="C277" t="s">
        <v>1080</v>
      </c>
    </row>
    <row r="278" spans="1:3">
      <c r="A278" s="278" t="s">
        <v>1081</v>
      </c>
      <c r="B278" t="s">
        <v>1081</v>
      </c>
      <c r="C278" t="s">
        <v>1082</v>
      </c>
    </row>
    <row r="279" spans="1:3">
      <c r="A279" s="278" t="s">
        <v>1083</v>
      </c>
      <c r="B279" t="s">
        <v>1083</v>
      </c>
      <c r="C279" t="s">
        <v>1084</v>
      </c>
    </row>
    <row r="280" spans="1:3">
      <c r="A280" s="278" t="s">
        <v>1085</v>
      </c>
      <c r="B280" t="s">
        <v>1085</v>
      </c>
      <c r="C280" t="s">
        <v>1086</v>
      </c>
    </row>
    <row r="281" spans="1:3">
      <c r="A281" s="278" t="s">
        <v>1087</v>
      </c>
      <c r="B281" t="s">
        <v>1087</v>
      </c>
      <c r="C281" t="s">
        <v>1088</v>
      </c>
    </row>
    <row r="282" spans="1:3">
      <c r="A282" s="278" t="s">
        <v>1089</v>
      </c>
      <c r="B282" t="s">
        <v>1089</v>
      </c>
      <c r="C282" t="s">
        <v>1090</v>
      </c>
    </row>
    <row r="283" spans="1:3">
      <c r="A283" s="278" t="s">
        <v>1091</v>
      </c>
      <c r="B283" t="s">
        <v>1091</v>
      </c>
      <c r="C283" t="s">
        <v>1092</v>
      </c>
    </row>
    <row r="284" spans="1:3">
      <c r="A284" s="278" t="s">
        <v>1093</v>
      </c>
      <c r="B284" t="s">
        <v>1093</v>
      </c>
      <c r="C284" t="s">
        <v>1094</v>
      </c>
    </row>
    <row r="285" spans="1:3">
      <c r="A285" s="278" t="s">
        <v>1095</v>
      </c>
      <c r="B285" t="s">
        <v>1095</v>
      </c>
      <c r="C285" t="s">
        <v>1096</v>
      </c>
    </row>
    <row r="286" spans="1:3">
      <c r="A286" s="278" t="s">
        <v>1097</v>
      </c>
      <c r="B286" t="s">
        <v>1097</v>
      </c>
      <c r="C286" t="s">
        <v>1098</v>
      </c>
    </row>
    <row r="287" spans="1:3">
      <c r="A287" s="278" t="s">
        <v>1099</v>
      </c>
      <c r="B287" t="s">
        <v>1099</v>
      </c>
      <c r="C287" t="s">
        <v>1100</v>
      </c>
    </row>
    <row r="288" spans="1:3">
      <c r="A288" s="278" t="s">
        <v>1101</v>
      </c>
      <c r="B288" t="s">
        <v>1101</v>
      </c>
      <c r="C288" t="s">
        <v>1102</v>
      </c>
    </row>
    <row r="289" spans="1:3">
      <c r="A289" s="278" t="s">
        <v>1103</v>
      </c>
      <c r="B289" t="s">
        <v>1103</v>
      </c>
      <c r="C289" t="s">
        <v>1104</v>
      </c>
    </row>
    <row r="290" spans="1:3">
      <c r="A290" s="278" t="s">
        <v>1105</v>
      </c>
      <c r="B290" t="s">
        <v>1105</v>
      </c>
      <c r="C290" t="s">
        <v>1106</v>
      </c>
    </row>
    <row r="291" spans="1:3">
      <c r="A291" s="278" t="s">
        <v>1107</v>
      </c>
      <c r="B291" t="s">
        <v>1107</v>
      </c>
      <c r="C291" t="s">
        <v>1108</v>
      </c>
    </row>
    <row r="292" spans="1:3">
      <c r="A292" s="278" t="s">
        <v>1109</v>
      </c>
      <c r="B292" t="s">
        <v>1109</v>
      </c>
      <c r="C292" t="s">
        <v>1110</v>
      </c>
    </row>
    <row r="293" spans="1:3">
      <c r="A293" s="278" t="s">
        <v>1111</v>
      </c>
      <c r="B293" t="s">
        <v>1111</v>
      </c>
      <c r="C293" t="s">
        <v>1112</v>
      </c>
    </row>
    <row r="294" spans="1:3">
      <c r="A294" s="278" t="s">
        <v>1113</v>
      </c>
      <c r="B294" t="s">
        <v>1113</v>
      </c>
      <c r="C294" t="s">
        <v>1114</v>
      </c>
    </row>
    <row r="295" spans="1:3">
      <c r="A295" s="278" t="s">
        <v>1115</v>
      </c>
      <c r="B295" t="s">
        <v>1115</v>
      </c>
      <c r="C295" t="s">
        <v>1116</v>
      </c>
    </row>
    <row r="296" spans="1:3">
      <c r="A296" s="278" t="s">
        <v>1117</v>
      </c>
      <c r="B296" t="s">
        <v>1117</v>
      </c>
      <c r="C296" t="s">
        <v>1118</v>
      </c>
    </row>
    <row r="297" spans="1:3">
      <c r="A297" s="278" t="s">
        <v>1119</v>
      </c>
      <c r="B297" t="s">
        <v>1119</v>
      </c>
      <c r="C297" t="s">
        <v>1120</v>
      </c>
    </row>
    <row r="298" spans="1:3">
      <c r="A298" s="278" t="s">
        <v>1121</v>
      </c>
      <c r="B298" t="s">
        <v>1121</v>
      </c>
      <c r="C298" t="s">
        <v>1122</v>
      </c>
    </row>
    <row r="299" spans="1:3">
      <c r="A299" s="278" t="s">
        <v>1123</v>
      </c>
      <c r="B299" t="s">
        <v>1123</v>
      </c>
      <c r="C299" t="s">
        <v>1124</v>
      </c>
    </row>
    <row r="300" spans="1:3">
      <c r="A300" s="278" t="s">
        <v>1125</v>
      </c>
      <c r="B300" t="s">
        <v>1125</v>
      </c>
      <c r="C300" t="s">
        <v>1126</v>
      </c>
    </row>
    <row r="301" spans="1:3">
      <c r="A301" s="278" t="s">
        <v>1127</v>
      </c>
      <c r="B301" t="s">
        <v>1127</v>
      </c>
      <c r="C301" t="s">
        <v>1128</v>
      </c>
    </row>
    <row r="302" spans="1:3">
      <c r="A302" s="278" t="s">
        <v>1129</v>
      </c>
      <c r="B302" t="s">
        <v>1129</v>
      </c>
      <c r="C302" t="s">
        <v>1130</v>
      </c>
    </row>
    <row r="303" spans="1:3">
      <c r="A303" s="278" t="s">
        <v>1131</v>
      </c>
      <c r="B303" t="s">
        <v>1131</v>
      </c>
      <c r="C303" t="s">
        <v>1132</v>
      </c>
    </row>
    <row r="304" spans="1:3">
      <c r="A304" s="278" t="s">
        <v>1133</v>
      </c>
      <c r="B304" t="s">
        <v>1133</v>
      </c>
      <c r="C304" t="s">
        <v>1134</v>
      </c>
    </row>
    <row r="305" spans="1:3">
      <c r="A305" s="278" t="s">
        <v>1135</v>
      </c>
      <c r="B305" t="s">
        <v>1135</v>
      </c>
      <c r="C305" t="s">
        <v>1136</v>
      </c>
    </row>
    <row r="306" spans="1:3">
      <c r="A306" s="278" t="s">
        <v>1137</v>
      </c>
      <c r="B306" t="s">
        <v>1137</v>
      </c>
      <c r="C306" t="s">
        <v>1138</v>
      </c>
    </row>
    <row r="307" spans="1:3">
      <c r="A307" s="278" t="s">
        <v>1139</v>
      </c>
      <c r="B307" t="s">
        <v>1139</v>
      </c>
      <c r="C307" t="s">
        <v>1140</v>
      </c>
    </row>
    <row r="308" spans="1:3">
      <c r="A308" s="278" t="s">
        <v>1141</v>
      </c>
      <c r="B308" t="s">
        <v>1141</v>
      </c>
      <c r="C308" t="s">
        <v>1142</v>
      </c>
    </row>
    <row r="309" spans="1:3">
      <c r="A309" s="278" t="s">
        <v>1143</v>
      </c>
      <c r="B309" t="s">
        <v>1143</v>
      </c>
      <c r="C309" t="s">
        <v>1144</v>
      </c>
    </row>
    <row r="310" spans="1:3">
      <c r="A310" s="278" t="s">
        <v>1145</v>
      </c>
      <c r="B310" t="s">
        <v>1145</v>
      </c>
      <c r="C310" t="s">
        <v>1146</v>
      </c>
    </row>
    <row r="311" spans="1:3">
      <c r="A311" s="278" t="s">
        <v>1147</v>
      </c>
      <c r="B311" t="s">
        <v>1147</v>
      </c>
      <c r="C311" t="s">
        <v>1148</v>
      </c>
    </row>
    <row r="312" spans="1:3">
      <c r="A312" s="278" t="s">
        <v>1149</v>
      </c>
      <c r="B312" t="s">
        <v>1149</v>
      </c>
      <c r="C312" t="s">
        <v>1150</v>
      </c>
    </row>
    <row r="313" spans="1:3">
      <c r="A313" s="278" t="s">
        <v>1151</v>
      </c>
      <c r="B313" t="s">
        <v>1151</v>
      </c>
      <c r="C313" t="s">
        <v>1152</v>
      </c>
    </row>
    <row r="314" spans="1:3">
      <c r="A314" s="278" t="s">
        <v>1153</v>
      </c>
      <c r="B314" t="s">
        <v>1153</v>
      </c>
      <c r="C314" t="s">
        <v>1154</v>
      </c>
    </row>
    <row r="315" spans="1:3">
      <c r="A315" s="278" t="s">
        <v>1155</v>
      </c>
      <c r="B315" t="s">
        <v>1155</v>
      </c>
      <c r="C315" t="s">
        <v>1156</v>
      </c>
    </row>
    <row r="316" spans="1:3">
      <c r="A316" s="278" t="s">
        <v>1157</v>
      </c>
      <c r="B316" t="s">
        <v>1157</v>
      </c>
      <c r="C316" t="s">
        <v>1158</v>
      </c>
    </row>
    <row r="317" spans="1:3">
      <c r="A317" s="278" t="s">
        <v>1159</v>
      </c>
      <c r="B317" t="s">
        <v>1159</v>
      </c>
      <c r="C317" t="s">
        <v>1160</v>
      </c>
    </row>
    <row r="318" spans="1:3">
      <c r="A318" s="278" t="s">
        <v>1161</v>
      </c>
      <c r="B318" t="s">
        <v>1161</v>
      </c>
      <c r="C318" t="s">
        <v>1162</v>
      </c>
    </row>
    <row r="319" spans="1:3">
      <c r="A319" s="278" t="s">
        <v>1163</v>
      </c>
      <c r="B319" t="s">
        <v>1163</v>
      </c>
      <c r="C319" t="s">
        <v>1164</v>
      </c>
    </row>
    <row r="320" spans="1:3">
      <c r="A320" s="278" t="s">
        <v>1165</v>
      </c>
      <c r="B320" t="s">
        <v>1165</v>
      </c>
      <c r="C320" t="s">
        <v>1166</v>
      </c>
    </row>
    <row r="321" spans="1:3">
      <c r="A321" s="278" t="s">
        <v>1167</v>
      </c>
      <c r="B321" t="s">
        <v>1167</v>
      </c>
      <c r="C321" t="s">
        <v>1168</v>
      </c>
    </row>
    <row r="322" spans="1:3">
      <c r="A322" s="278" t="s">
        <v>1169</v>
      </c>
      <c r="B322" t="s">
        <v>1169</v>
      </c>
      <c r="C322" t="s">
        <v>1170</v>
      </c>
    </row>
    <row r="323" spans="1:3">
      <c r="A323" s="278" t="s">
        <v>1171</v>
      </c>
      <c r="B323" t="s">
        <v>1171</v>
      </c>
      <c r="C323" t="s">
        <v>1172</v>
      </c>
    </row>
    <row r="324" spans="1:3">
      <c r="A324" s="278" t="s">
        <v>1173</v>
      </c>
      <c r="B324" t="s">
        <v>1173</v>
      </c>
      <c r="C324" t="s">
        <v>1174</v>
      </c>
    </row>
    <row r="325" spans="1:3">
      <c r="A325" s="278" t="s">
        <v>1175</v>
      </c>
      <c r="B325" t="s">
        <v>1175</v>
      </c>
      <c r="C325" t="s">
        <v>1176</v>
      </c>
    </row>
    <row r="326" spans="1:3">
      <c r="A326" s="278" t="s">
        <v>1177</v>
      </c>
      <c r="B326" t="s">
        <v>1177</v>
      </c>
      <c r="C326" t="s">
        <v>1178</v>
      </c>
    </row>
    <row r="327" spans="1:3">
      <c r="A327" s="278" t="s">
        <v>1179</v>
      </c>
      <c r="B327" t="s">
        <v>1179</v>
      </c>
      <c r="C327" t="s">
        <v>1180</v>
      </c>
    </row>
    <row r="328" spans="1:3">
      <c r="A328" s="278" t="s">
        <v>1181</v>
      </c>
      <c r="B328" t="s">
        <v>1181</v>
      </c>
      <c r="C328" t="s">
        <v>1182</v>
      </c>
    </row>
    <row r="329" spans="1:3">
      <c r="A329" s="278" t="s">
        <v>1183</v>
      </c>
      <c r="B329" t="s">
        <v>1183</v>
      </c>
      <c r="C329" t="s">
        <v>1184</v>
      </c>
    </row>
    <row r="330" spans="1:3">
      <c r="A330" s="278" t="s">
        <v>1185</v>
      </c>
      <c r="B330" t="s">
        <v>1185</v>
      </c>
      <c r="C330" t="s">
        <v>1186</v>
      </c>
    </row>
    <row r="331" spans="1:3">
      <c r="A331" s="278" t="s">
        <v>1187</v>
      </c>
      <c r="B331" t="s">
        <v>1187</v>
      </c>
      <c r="C331" t="s">
        <v>1188</v>
      </c>
    </row>
    <row r="332" spans="1:3">
      <c r="A332" s="278" t="s">
        <v>1189</v>
      </c>
      <c r="B332" t="s">
        <v>1189</v>
      </c>
      <c r="C332" t="s">
        <v>1190</v>
      </c>
    </row>
    <row r="333" spans="1:3">
      <c r="A333" s="278" t="s">
        <v>1191</v>
      </c>
      <c r="B333" t="s">
        <v>1191</v>
      </c>
      <c r="C333" t="s">
        <v>1192</v>
      </c>
    </row>
    <row r="334" spans="1:3">
      <c r="A334" s="278" t="s">
        <v>1193</v>
      </c>
      <c r="B334" t="s">
        <v>1193</v>
      </c>
      <c r="C334" t="s">
        <v>1194</v>
      </c>
    </row>
    <row r="335" spans="1:3">
      <c r="A335" s="278" t="s">
        <v>1195</v>
      </c>
      <c r="B335" t="s">
        <v>1195</v>
      </c>
      <c r="C335" t="s">
        <v>1196</v>
      </c>
    </row>
    <row r="336" spans="1:3">
      <c r="A336" s="278" t="s">
        <v>1197</v>
      </c>
      <c r="B336" t="s">
        <v>1197</v>
      </c>
      <c r="C336" t="s">
        <v>1198</v>
      </c>
    </row>
    <row r="337" spans="1:3">
      <c r="A337" s="278" t="s">
        <v>1199</v>
      </c>
      <c r="B337" t="s">
        <v>1199</v>
      </c>
      <c r="C337" t="s">
        <v>1200</v>
      </c>
    </row>
    <row r="338" spans="1:3">
      <c r="A338" s="278" t="s">
        <v>1201</v>
      </c>
      <c r="B338" t="s">
        <v>1201</v>
      </c>
      <c r="C338" t="s">
        <v>1202</v>
      </c>
    </row>
    <row r="339" spans="1:3">
      <c r="A339" s="278" t="s">
        <v>1203</v>
      </c>
      <c r="B339" t="s">
        <v>1203</v>
      </c>
      <c r="C339" t="s">
        <v>1204</v>
      </c>
    </row>
    <row r="340" spans="1:3">
      <c r="A340" s="278" t="s">
        <v>1205</v>
      </c>
      <c r="B340" t="s">
        <v>1205</v>
      </c>
      <c r="C340" t="s">
        <v>1206</v>
      </c>
    </row>
    <row r="341" spans="1:3">
      <c r="A341" s="278" t="s">
        <v>1207</v>
      </c>
      <c r="B341" t="s">
        <v>1207</v>
      </c>
      <c r="C341" t="s">
        <v>1208</v>
      </c>
    </row>
    <row r="342" spans="1:3">
      <c r="A342" s="278" t="s">
        <v>1209</v>
      </c>
      <c r="B342" t="s">
        <v>1209</v>
      </c>
      <c r="C342" t="s">
        <v>1210</v>
      </c>
    </row>
    <row r="343" spans="1:3">
      <c r="A343" s="278" t="s">
        <v>1211</v>
      </c>
      <c r="B343" t="s">
        <v>1211</v>
      </c>
      <c r="C343" t="s">
        <v>1212</v>
      </c>
    </row>
    <row r="344" spans="1:3">
      <c r="A344" s="278" t="s">
        <v>1213</v>
      </c>
      <c r="B344" t="s">
        <v>1213</v>
      </c>
      <c r="C344" t="s">
        <v>1214</v>
      </c>
    </row>
    <row r="345" spans="1:3">
      <c r="A345" s="278" t="s">
        <v>1215</v>
      </c>
      <c r="B345" t="s">
        <v>1215</v>
      </c>
      <c r="C345" t="s">
        <v>1216</v>
      </c>
    </row>
    <row r="346" spans="1:3">
      <c r="A346" s="278" t="s">
        <v>1217</v>
      </c>
      <c r="B346" t="s">
        <v>1217</v>
      </c>
      <c r="C346" t="s">
        <v>1218</v>
      </c>
    </row>
    <row r="347" spans="1:3">
      <c r="A347" s="278" t="s">
        <v>1219</v>
      </c>
      <c r="B347" t="s">
        <v>1219</v>
      </c>
      <c r="C347" t="s">
        <v>1220</v>
      </c>
    </row>
    <row r="348" spans="1:3">
      <c r="A348" s="278" t="s">
        <v>1221</v>
      </c>
      <c r="B348" t="s">
        <v>1221</v>
      </c>
      <c r="C348" t="s">
        <v>1222</v>
      </c>
    </row>
    <row r="349" spans="1:3">
      <c r="A349" s="278" t="s">
        <v>1223</v>
      </c>
      <c r="B349" t="s">
        <v>1223</v>
      </c>
      <c r="C349" t="s">
        <v>1224</v>
      </c>
    </row>
    <row r="350" spans="1:3">
      <c r="A350" s="278" t="s">
        <v>1225</v>
      </c>
      <c r="B350" t="s">
        <v>1225</v>
      </c>
      <c r="C350" t="s">
        <v>1226</v>
      </c>
    </row>
    <row r="351" spans="1:3">
      <c r="A351" s="278" t="s">
        <v>1227</v>
      </c>
      <c r="B351" t="s">
        <v>1227</v>
      </c>
      <c r="C351" t="s">
        <v>1228</v>
      </c>
    </row>
    <row r="352" spans="1:3">
      <c r="A352" s="278" t="s">
        <v>1229</v>
      </c>
      <c r="B352" t="s">
        <v>1229</v>
      </c>
      <c r="C352" t="s">
        <v>1230</v>
      </c>
    </row>
    <row r="353" spans="1:3">
      <c r="A353" s="278" t="s">
        <v>1231</v>
      </c>
      <c r="B353" t="s">
        <v>1231</v>
      </c>
      <c r="C353" t="s">
        <v>1232</v>
      </c>
    </row>
    <row r="354" spans="1:3">
      <c r="A354" s="278" t="s">
        <v>1233</v>
      </c>
      <c r="B354" t="s">
        <v>1233</v>
      </c>
      <c r="C354" t="s">
        <v>1234</v>
      </c>
    </row>
    <row r="355" spans="1:3">
      <c r="A355" s="278" t="s">
        <v>1235</v>
      </c>
      <c r="B355" t="s">
        <v>1235</v>
      </c>
      <c r="C355" t="s">
        <v>1236</v>
      </c>
    </row>
    <row r="356" spans="1:3">
      <c r="A356" s="278" t="s">
        <v>1237</v>
      </c>
      <c r="B356" t="s">
        <v>1237</v>
      </c>
      <c r="C356" t="s">
        <v>1238</v>
      </c>
    </row>
    <row r="357" spans="1:3">
      <c r="A357" s="278" t="s">
        <v>1239</v>
      </c>
      <c r="B357" t="s">
        <v>1239</v>
      </c>
      <c r="C357" t="s">
        <v>1240</v>
      </c>
    </row>
    <row r="358" spans="1:3">
      <c r="A358" s="278" t="s">
        <v>1241</v>
      </c>
      <c r="B358" t="s">
        <v>1241</v>
      </c>
      <c r="C358" t="s">
        <v>1242</v>
      </c>
    </row>
    <row r="359" spans="1:3">
      <c r="A359" s="278" t="s">
        <v>1243</v>
      </c>
      <c r="B359" t="s">
        <v>1243</v>
      </c>
      <c r="C359" t="s">
        <v>1244</v>
      </c>
    </row>
    <row r="360" spans="1:3">
      <c r="A360" s="278" t="s">
        <v>1245</v>
      </c>
      <c r="B360" t="s">
        <v>1245</v>
      </c>
      <c r="C360" t="s">
        <v>1246</v>
      </c>
    </row>
    <row r="361" spans="1:3">
      <c r="A361" s="278" t="s">
        <v>1247</v>
      </c>
      <c r="B361" t="s">
        <v>1247</v>
      </c>
      <c r="C361" t="s">
        <v>1248</v>
      </c>
    </row>
    <row r="362" spans="1:3">
      <c r="A362" s="278" t="s">
        <v>1249</v>
      </c>
      <c r="B362" t="s">
        <v>1249</v>
      </c>
      <c r="C362" t="s">
        <v>1250</v>
      </c>
    </row>
    <row r="363" spans="1:3">
      <c r="A363" s="278" t="s">
        <v>1251</v>
      </c>
      <c r="B363" t="s">
        <v>1251</v>
      </c>
      <c r="C363" t="s">
        <v>1252</v>
      </c>
    </row>
    <row r="364" spans="1:3">
      <c r="A364" s="278" t="s">
        <v>1253</v>
      </c>
      <c r="B364" t="s">
        <v>1253</v>
      </c>
      <c r="C364" t="s">
        <v>1254</v>
      </c>
    </row>
    <row r="365" spans="1:3">
      <c r="A365" s="278" t="s">
        <v>1255</v>
      </c>
      <c r="B365" t="s">
        <v>1255</v>
      </c>
      <c r="C365" t="s">
        <v>1256</v>
      </c>
    </row>
    <row r="366" spans="1:3">
      <c r="A366" s="278" t="s">
        <v>1257</v>
      </c>
      <c r="B366" t="s">
        <v>1257</v>
      </c>
      <c r="C366" t="s">
        <v>1258</v>
      </c>
    </row>
    <row r="367" spans="1:3">
      <c r="A367" s="278" t="s">
        <v>1259</v>
      </c>
      <c r="B367" t="s">
        <v>1259</v>
      </c>
      <c r="C367" t="s">
        <v>1260</v>
      </c>
    </row>
    <row r="368" spans="1:3">
      <c r="A368" s="278" t="s">
        <v>1261</v>
      </c>
      <c r="B368" t="s">
        <v>1261</v>
      </c>
      <c r="C368" t="s">
        <v>1262</v>
      </c>
    </row>
    <row r="369" spans="1:3">
      <c r="A369" s="278" t="s">
        <v>1263</v>
      </c>
      <c r="B369" t="s">
        <v>1263</v>
      </c>
      <c r="C369" t="s">
        <v>1264</v>
      </c>
    </row>
    <row r="370" spans="1:3">
      <c r="A370" s="278" t="s">
        <v>1265</v>
      </c>
      <c r="B370" t="s">
        <v>1265</v>
      </c>
      <c r="C370" t="s">
        <v>1266</v>
      </c>
    </row>
    <row r="371" spans="1:3">
      <c r="A371" s="278" t="s">
        <v>1267</v>
      </c>
      <c r="B371" t="s">
        <v>1267</v>
      </c>
      <c r="C371" t="s">
        <v>1268</v>
      </c>
    </row>
    <row r="372" spans="1:3">
      <c r="A372" s="278" t="s">
        <v>1269</v>
      </c>
      <c r="B372" t="s">
        <v>1269</v>
      </c>
      <c r="C372" t="s">
        <v>1270</v>
      </c>
    </row>
    <row r="373" spans="1:3">
      <c r="A373" s="278" t="s">
        <v>1271</v>
      </c>
      <c r="B373" t="s">
        <v>1271</v>
      </c>
      <c r="C373" t="s">
        <v>1272</v>
      </c>
    </row>
    <row r="374" spans="1:3">
      <c r="A374" s="278" t="s">
        <v>1273</v>
      </c>
      <c r="B374" t="s">
        <v>1273</v>
      </c>
      <c r="C374" t="s">
        <v>1274</v>
      </c>
    </row>
    <row r="375" spans="1:3">
      <c r="A375" s="278" t="s">
        <v>1275</v>
      </c>
      <c r="B375" t="s">
        <v>1275</v>
      </c>
      <c r="C375" t="s">
        <v>1276</v>
      </c>
    </row>
    <row r="376" spans="1:3">
      <c r="A376" s="278" t="s">
        <v>1277</v>
      </c>
      <c r="B376" t="s">
        <v>1277</v>
      </c>
      <c r="C376" t="s">
        <v>1278</v>
      </c>
    </row>
    <row r="377" spans="1:3">
      <c r="A377" s="278" t="s">
        <v>1279</v>
      </c>
      <c r="B377" t="s">
        <v>1279</v>
      </c>
      <c r="C377" t="s">
        <v>1280</v>
      </c>
    </row>
    <row r="378" spans="1:3">
      <c r="A378" s="278" t="s">
        <v>1281</v>
      </c>
      <c r="B378" t="s">
        <v>1281</v>
      </c>
      <c r="C378" t="s">
        <v>1282</v>
      </c>
    </row>
    <row r="379" spans="1:3">
      <c r="A379" s="278" t="s">
        <v>1283</v>
      </c>
      <c r="B379" t="s">
        <v>1283</v>
      </c>
      <c r="C379" t="s">
        <v>1284</v>
      </c>
    </row>
    <row r="380" spans="1:3">
      <c r="A380" s="278" t="s">
        <v>1285</v>
      </c>
      <c r="B380" t="s">
        <v>1285</v>
      </c>
      <c r="C380" t="s">
        <v>1286</v>
      </c>
    </row>
    <row r="381" spans="1:3">
      <c r="A381" s="278" t="s">
        <v>1287</v>
      </c>
      <c r="B381" t="s">
        <v>1287</v>
      </c>
      <c r="C381" t="s">
        <v>1288</v>
      </c>
    </row>
    <row r="382" spans="1:3">
      <c r="A382" s="278" t="s">
        <v>1289</v>
      </c>
      <c r="B382" t="s">
        <v>1289</v>
      </c>
      <c r="C382" t="s">
        <v>1290</v>
      </c>
    </row>
    <row r="383" spans="1:3">
      <c r="A383" s="278" t="s">
        <v>1291</v>
      </c>
      <c r="B383" t="s">
        <v>1291</v>
      </c>
      <c r="C383" t="s">
        <v>1292</v>
      </c>
    </row>
    <row r="384" spans="1:3">
      <c r="A384" s="278" t="s">
        <v>1293</v>
      </c>
      <c r="B384" t="s">
        <v>1293</v>
      </c>
      <c r="C384" t="s">
        <v>1294</v>
      </c>
    </row>
    <row r="385" spans="1:3">
      <c r="A385" s="278" t="s">
        <v>1295</v>
      </c>
      <c r="B385" t="s">
        <v>1295</v>
      </c>
      <c r="C385" t="s">
        <v>1296</v>
      </c>
    </row>
  </sheetData>
  <sortState xmlns:xlrd2="http://schemas.microsoft.com/office/spreadsheetml/2017/richdata2" ref="A2:D387">
    <sortCondition ref="D1:D38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prep_table</vt:lpstr>
      <vt:lpstr>10X_table</vt:lpstr>
      <vt:lpstr>FLEX_table</vt:lpstr>
      <vt:lpstr>3' GEMX</vt:lpstr>
      <vt:lpstr>3'_OCM_4plex</vt:lpstr>
      <vt:lpstr>Flex_GEMX_v2</vt:lpstr>
      <vt:lpstr>5'_GEMX</vt:lpstr>
      <vt:lpstr>5'_OCM_4plex</vt:lpstr>
      <vt:lpstr>Equal_Pooling_RevB</vt:lpstr>
      <vt:lpstr>Pooling</vt:lpstr>
      <vt:lpstr>Sheet1</vt:lpstr>
      <vt:lpstr>'3'' GEMX'!_Hlk114062637</vt:lpstr>
      <vt:lpstr>'3''_OCM_4plex'!_Hlk114062637</vt:lpstr>
      <vt:lpstr>'5''_GEMX'!_Hlk114062637</vt:lpstr>
      <vt:lpstr>'5''_OCM_4plex'!_Hlk114062637</vt:lpstr>
      <vt:lpstr>Flex_GEMX_v2!_Hlk114062637</vt:lpstr>
      <vt:lpstr>Equal_Pooling_RevB!Print_Area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Laine</dc:creator>
  <cp:lastModifiedBy>Hannah Riegler</cp:lastModifiedBy>
  <cp:lastPrinted>2023-07-26T11:50:48Z</cp:lastPrinted>
  <dcterms:created xsi:type="dcterms:W3CDTF">2020-10-15T11:36:41Z</dcterms:created>
  <dcterms:modified xsi:type="dcterms:W3CDTF">2026-09-01T08:00:22Z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efb97e-6a22-4658-b35c-bacc77de03e2_Enabled">
    <vt:lpwstr>true</vt:lpwstr>
  </property>
  <property fmtid="{D5CDD505-2E9C-101B-9397-08002B2CF9AE}" pid="3" name="MSIP_Label_17efb97e-6a22-4658-b35c-bacc77de03e2_SetDate">
    <vt:lpwstr>2023-07-26T09:18:21Z</vt:lpwstr>
  </property>
  <property fmtid="{D5CDD505-2E9C-101B-9397-08002B2CF9AE}" pid="4" name="MSIP_Label_17efb97e-6a22-4658-b35c-bacc77de03e2_Method">
    <vt:lpwstr>Standard</vt:lpwstr>
  </property>
  <property fmtid="{D5CDD505-2E9C-101B-9397-08002B2CF9AE}" pid="5" name="MSIP_Label_17efb97e-6a22-4658-b35c-bacc77de03e2_Name">
    <vt:lpwstr>defa4170-0d19-0005-0004-bc88714345d2</vt:lpwstr>
  </property>
  <property fmtid="{D5CDD505-2E9C-101B-9397-08002B2CF9AE}" pid="6" name="MSIP_Label_17efb97e-6a22-4658-b35c-bacc77de03e2_SiteId">
    <vt:lpwstr>ca39edd1-7349-449a-bbae-314640be0def</vt:lpwstr>
  </property>
  <property fmtid="{D5CDD505-2E9C-101B-9397-08002B2CF9AE}" pid="7" name="MSIP_Label_17efb97e-6a22-4658-b35c-bacc77de03e2_ActionId">
    <vt:lpwstr>f3b00d4b-2e7f-441e-8c2c-7b68d25cea79</vt:lpwstr>
  </property>
  <property fmtid="{D5CDD505-2E9C-101B-9397-08002B2CF9AE}" pid="8" name="MSIP_Label_17efb97e-6a22-4658-b35c-bacc77de03e2_ContentBits">
    <vt:lpwstr>0</vt:lpwstr>
  </property>
</Properties>
</file>