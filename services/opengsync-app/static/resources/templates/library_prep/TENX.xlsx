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drawings/drawing4.xml" ContentType="application/vnd.openxmlformats-officedocument.drawing+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drawings/drawing5.xml" ContentType="application/vnd.openxmlformats-officedocument.drawing+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B8CDCB0F-8164-437B-A695-13AEBE139B89}" xr6:coauthVersionLast="47" xr6:coauthVersionMax="47" xr10:uidLastSave="{00000000-0000-0000-0000-000000000000}"/>
  <bookViews>
    <workbookView xWindow="-120" yWindow="-120" windowWidth="29040" windowHeight="17520" firstSheet="5" activeTab="5" xr2:uid="{FD6D6085-83E5-4D2F-AE9C-0BBF0DDED22F}"/>
  </bookViews>
  <sheets>
    <sheet name="prep_table" sheetId="6" r:id="rId1"/>
    <sheet name="10X_table" sheetId="7" r:id="rId2"/>
    <sheet name="FLEX_table" sheetId="3" r:id="rId3"/>
    <sheet name="3' GEMX" sheetId="15" r:id="rId4"/>
    <sheet name="3'_OCM_4plex" sheetId="13" r:id="rId5"/>
    <sheet name="Flex_GEMX_v2" sheetId="18" r:id="rId6"/>
    <sheet name="5'_GEMX" sheetId="14" r:id="rId7"/>
    <sheet name="5'_OCM_4plex" sheetId="16" r:id="rId8"/>
    <sheet name="Equal_Pooling_RevB" sheetId="4" r:id="rId9"/>
    <sheet name="Pooling" sheetId="11" r:id="rId10"/>
    <sheet name="Sheet1" sheetId="19" r:id="rId11"/>
  </sheets>
  <externalReferences>
    <externalReference r:id="rId12"/>
  </externalReferences>
  <definedNames>
    <definedName name="_Hlk114062637" localSheetId="3">'3'' GEMX'!$C$120</definedName>
    <definedName name="_Hlk114062637" localSheetId="4">'3''_OCM_4plex'!$C$114</definedName>
    <definedName name="_Hlk114062637" localSheetId="6">'5''_GEMX'!$C$216</definedName>
    <definedName name="_Hlk114062637" localSheetId="7">'5''_OCM_4plex'!$C$208</definedName>
    <definedName name="_Hlk114062637" localSheetId="5">Flex_GEMX_v2!$C$199</definedName>
    <definedName name="_xlnm.Print_Area" localSheetId="8">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27" i="18" l="1"/>
  <c r="S124" i="18"/>
  <c r="F82" i="18"/>
  <c r="F83" i="18"/>
  <c r="F81" i="18"/>
  <c r="F17" i="18" l="1"/>
  <c r="E18" i="18"/>
  <c r="F18" i="18" s="1"/>
  <c r="E19" i="18"/>
  <c r="F19" i="18"/>
  <c r="D24" i="18" a="1"/>
  <c r="D24" i="18" s="1"/>
  <c r="H24" i="18" a="1"/>
  <c r="H24" i="18" s="1"/>
  <c r="F38" i="18"/>
  <c r="F39" i="18"/>
  <c r="F40" i="18"/>
  <c r="F41" i="18"/>
  <c r="F42" i="18"/>
  <c r="E43" i="18"/>
  <c r="F43" i="18" s="1"/>
  <c r="D46" i="18" a="1"/>
  <c r="D46" i="18" s="1"/>
  <c r="E46" i="18" a="1"/>
  <c r="E46" i="18" s="1"/>
  <c r="F46" i="18" a="1"/>
  <c r="F46" i="18" s="1"/>
  <c r="I46" i="18" a="1"/>
  <c r="I46" i="18" s="1"/>
  <c r="J46" i="18" a="1"/>
  <c r="J46" i="18" s="1"/>
  <c r="L46" i="18" a="1"/>
  <c r="L46" i="18" s="1"/>
  <c r="F59" i="18"/>
  <c r="F60" i="18"/>
  <c r="F61" i="18"/>
  <c r="F62" i="18"/>
  <c r="E63" i="18"/>
  <c r="F65" i="18"/>
  <c r="F66" i="18"/>
  <c r="F67" i="18"/>
  <c r="E68" i="18"/>
  <c r="F80" i="18"/>
  <c r="E84" i="18"/>
  <c r="F84" i="18"/>
  <c r="E95" i="18"/>
  <c r="F120" i="18"/>
  <c r="F121" i="18"/>
  <c r="F122" i="18"/>
  <c r="F123" i="18"/>
  <c r="E124" i="18"/>
  <c r="F138" i="18"/>
  <c r="F139" i="18"/>
  <c r="F140" i="18"/>
  <c r="E141" i="18"/>
  <c r="F147" i="18"/>
  <c r="F148" i="18"/>
  <c r="F149" i="18"/>
  <c r="F150" i="18"/>
  <c r="E151" i="18"/>
  <c r="F155" i="18"/>
  <c r="F156" i="18"/>
  <c r="F157" i="18"/>
  <c r="E158" i="18"/>
  <c r="B160" i="18"/>
  <c r="C163" i="18"/>
  <c r="D163" i="18"/>
  <c r="E163" i="18"/>
  <c r="F163" i="18"/>
  <c r="G163" i="18"/>
  <c r="H163" i="18"/>
  <c r="I163" i="18"/>
  <c r="J163" i="18"/>
  <c r="K163" i="18"/>
  <c r="L163" i="18"/>
  <c r="M163" i="18"/>
  <c r="N163" i="18"/>
  <c r="C164" i="18"/>
  <c r="D164" i="18"/>
  <c r="E164" i="18"/>
  <c r="F164" i="18"/>
  <c r="G164" i="18"/>
  <c r="H164" i="18"/>
  <c r="I164" i="18"/>
  <c r="J164" i="18"/>
  <c r="K164" i="18"/>
  <c r="L164" i="18"/>
  <c r="M164" i="18"/>
  <c r="N164" i="18"/>
  <c r="C165" i="18"/>
  <c r="D165" i="18"/>
  <c r="E165" i="18"/>
  <c r="F165" i="18"/>
  <c r="G165" i="18"/>
  <c r="H165" i="18"/>
  <c r="I165" i="18"/>
  <c r="J165" i="18"/>
  <c r="K165" i="18"/>
  <c r="L165" i="18"/>
  <c r="M165" i="18"/>
  <c r="N165" i="18"/>
  <c r="C166" i="18"/>
  <c r="D166" i="18"/>
  <c r="E166" i="18"/>
  <c r="F166" i="18"/>
  <c r="G166" i="18"/>
  <c r="H166" i="18"/>
  <c r="I166" i="18"/>
  <c r="J166" i="18"/>
  <c r="K166" i="18"/>
  <c r="L166" i="18"/>
  <c r="M166" i="18"/>
  <c r="N166" i="18"/>
  <c r="C167" i="18"/>
  <c r="D167" i="18"/>
  <c r="E167" i="18"/>
  <c r="F167" i="18"/>
  <c r="G167" i="18"/>
  <c r="H167" i="18"/>
  <c r="I167" i="18"/>
  <c r="J167" i="18"/>
  <c r="K167" i="18"/>
  <c r="L167" i="18"/>
  <c r="M167" i="18"/>
  <c r="N167" i="18"/>
  <c r="C168" i="18"/>
  <c r="D168" i="18"/>
  <c r="E168" i="18"/>
  <c r="F168" i="18"/>
  <c r="G168" i="18"/>
  <c r="H168" i="18"/>
  <c r="I168" i="18"/>
  <c r="J168" i="18"/>
  <c r="K168" i="18"/>
  <c r="L168" i="18"/>
  <c r="M168" i="18"/>
  <c r="N168" i="18"/>
  <c r="C169" i="18"/>
  <c r="D169" i="18"/>
  <c r="E169" i="18"/>
  <c r="F169" i="18"/>
  <c r="G169" i="18"/>
  <c r="H169" i="18"/>
  <c r="I169" i="18"/>
  <c r="J169" i="18"/>
  <c r="K169" i="18"/>
  <c r="L169" i="18"/>
  <c r="M169" i="18"/>
  <c r="N169" i="18"/>
  <c r="C170" i="18"/>
  <c r="D170" i="18"/>
  <c r="E170" i="18"/>
  <c r="F170" i="18"/>
  <c r="G170" i="18"/>
  <c r="H170" i="18"/>
  <c r="I170" i="18"/>
  <c r="J170" i="18"/>
  <c r="K170" i="18"/>
  <c r="L170" i="18"/>
  <c r="M170" i="18"/>
  <c r="N170" i="18"/>
  <c r="E172" i="18"/>
  <c r="F124" i="18" l="1"/>
  <c r="F68" i="18"/>
  <c r="F151" i="18"/>
  <c r="F63" i="18"/>
  <c r="F158" i="18"/>
  <c r="F141" i="18"/>
  <c r="N192" i="16" l="1"/>
  <c r="M192" i="16"/>
  <c r="L192" i="16"/>
  <c r="K192" i="16"/>
  <c r="J192" i="16"/>
  <c r="I192" i="16"/>
  <c r="H192" i="16"/>
  <c r="G192" i="16"/>
  <c r="F192" i="16"/>
  <c r="E192" i="16"/>
  <c r="D192" i="16"/>
  <c r="C192" i="16"/>
  <c r="N191" i="16"/>
  <c r="M191" i="16"/>
  <c r="L191" i="16"/>
  <c r="K191" i="16"/>
  <c r="J191" i="16"/>
  <c r="I191" i="16"/>
  <c r="H191" i="16"/>
  <c r="G191" i="16"/>
  <c r="F191" i="16"/>
  <c r="E191" i="16"/>
  <c r="D191" i="16"/>
  <c r="C191" i="16"/>
  <c r="N190" i="16"/>
  <c r="M190" i="16"/>
  <c r="L190" i="16"/>
  <c r="K190" i="16"/>
  <c r="J190" i="16"/>
  <c r="I190" i="16"/>
  <c r="H190" i="16"/>
  <c r="G190" i="16"/>
  <c r="F190" i="16"/>
  <c r="E190" i="16"/>
  <c r="D190" i="16"/>
  <c r="C190" i="16"/>
  <c r="N189" i="16"/>
  <c r="M189" i="16"/>
  <c r="L189" i="16"/>
  <c r="K189" i="16"/>
  <c r="J189" i="16"/>
  <c r="I189" i="16"/>
  <c r="H189" i="16"/>
  <c r="G189" i="16"/>
  <c r="F189" i="16"/>
  <c r="E189" i="16"/>
  <c r="D189" i="16"/>
  <c r="C189" i="16"/>
  <c r="N188" i="16"/>
  <c r="M188" i="16"/>
  <c r="L188" i="16"/>
  <c r="K188" i="16"/>
  <c r="J188" i="16"/>
  <c r="I188" i="16"/>
  <c r="H188" i="16"/>
  <c r="G188" i="16"/>
  <c r="F188" i="16"/>
  <c r="E188" i="16"/>
  <c r="D188" i="16"/>
  <c r="C188" i="16"/>
  <c r="N187" i="16"/>
  <c r="M187" i="16"/>
  <c r="L187" i="16"/>
  <c r="K187" i="16"/>
  <c r="J187" i="16"/>
  <c r="I187" i="16"/>
  <c r="H187" i="16"/>
  <c r="G187" i="16"/>
  <c r="F187" i="16"/>
  <c r="E187" i="16"/>
  <c r="D187" i="16"/>
  <c r="C187" i="16"/>
  <c r="N186" i="16"/>
  <c r="M186" i="16"/>
  <c r="L186" i="16"/>
  <c r="K186" i="16"/>
  <c r="J186" i="16"/>
  <c r="I186" i="16"/>
  <c r="H186" i="16"/>
  <c r="G186" i="16"/>
  <c r="F186" i="16"/>
  <c r="E186" i="16"/>
  <c r="D186" i="16"/>
  <c r="C186" i="16"/>
  <c r="N185" i="16"/>
  <c r="M185" i="16"/>
  <c r="L185" i="16"/>
  <c r="K185" i="16"/>
  <c r="J185" i="16"/>
  <c r="I185" i="16"/>
  <c r="H185" i="16"/>
  <c r="G185" i="16"/>
  <c r="F185" i="16"/>
  <c r="E185" i="16"/>
  <c r="D185" i="16"/>
  <c r="C185" i="16"/>
  <c r="E181" i="16"/>
  <c r="F180" i="16"/>
  <c r="F179" i="16"/>
  <c r="F178" i="16"/>
  <c r="E169" i="16"/>
  <c r="N167" i="16"/>
  <c r="M167" i="16"/>
  <c r="L167" i="16"/>
  <c r="K167" i="16"/>
  <c r="J167" i="16"/>
  <c r="I167" i="16"/>
  <c r="H167" i="16"/>
  <c r="G167" i="16"/>
  <c r="F167" i="16"/>
  <c r="E167" i="16"/>
  <c r="D167" i="16"/>
  <c r="C167" i="16"/>
  <c r="N166" i="16"/>
  <c r="M166" i="16"/>
  <c r="L166" i="16"/>
  <c r="K166" i="16"/>
  <c r="J166" i="16"/>
  <c r="I166" i="16"/>
  <c r="H166" i="16"/>
  <c r="G166" i="16"/>
  <c r="F166" i="16"/>
  <c r="E166" i="16"/>
  <c r="D166" i="16"/>
  <c r="C166" i="16"/>
  <c r="N165" i="16"/>
  <c r="M165" i="16"/>
  <c r="L165" i="16"/>
  <c r="K165" i="16"/>
  <c r="J165" i="16"/>
  <c r="I165" i="16"/>
  <c r="H165" i="16"/>
  <c r="G165" i="16"/>
  <c r="F165" i="16"/>
  <c r="E165" i="16"/>
  <c r="D165" i="16"/>
  <c r="C165" i="16"/>
  <c r="N164" i="16"/>
  <c r="M164" i="16"/>
  <c r="L164" i="16"/>
  <c r="K164" i="16"/>
  <c r="J164" i="16"/>
  <c r="I164" i="16"/>
  <c r="H164" i="16"/>
  <c r="G164" i="16"/>
  <c r="F164" i="16"/>
  <c r="E164" i="16"/>
  <c r="D164" i="16"/>
  <c r="C164" i="16"/>
  <c r="N163" i="16"/>
  <c r="M163" i="16"/>
  <c r="L163" i="16"/>
  <c r="K163" i="16"/>
  <c r="J163" i="16"/>
  <c r="I163" i="16"/>
  <c r="H163" i="16"/>
  <c r="G163" i="16"/>
  <c r="F163" i="16"/>
  <c r="E163" i="16"/>
  <c r="D163" i="16"/>
  <c r="C163" i="16"/>
  <c r="N162" i="16"/>
  <c r="M162" i="16"/>
  <c r="L162" i="16"/>
  <c r="K162" i="16"/>
  <c r="J162" i="16"/>
  <c r="I162" i="16"/>
  <c r="H162" i="16"/>
  <c r="G162" i="16"/>
  <c r="F162" i="16"/>
  <c r="E162" i="16"/>
  <c r="D162" i="16"/>
  <c r="C162" i="16"/>
  <c r="N161" i="16"/>
  <c r="M161" i="16"/>
  <c r="L161" i="16"/>
  <c r="K161" i="16"/>
  <c r="J161" i="16"/>
  <c r="I161" i="16"/>
  <c r="H161" i="16"/>
  <c r="G161" i="16"/>
  <c r="F161" i="16"/>
  <c r="E161" i="16"/>
  <c r="D161" i="16"/>
  <c r="C161" i="16"/>
  <c r="N160" i="16"/>
  <c r="M160" i="16"/>
  <c r="L160" i="16"/>
  <c r="K160" i="16"/>
  <c r="J160" i="16"/>
  <c r="I160" i="16"/>
  <c r="H160" i="16"/>
  <c r="G160" i="16"/>
  <c r="F160" i="16"/>
  <c r="E160" i="16"/>
  <c r="D160" i="16"/>
  <c r="C160" i="16"/>
  <c r="B157" i="16"/>
  <c r="E152" i="16"/>
  <c r="F151" i="16"/>
  <c r="F150" i="16"/>
  <c r="F149" i="16"/>
  <c r="E141" i="16"/>
  <c r="F140" i="16"/>
  <c r="F139" i="16"/>
  <c r="F138" i="16"/>
  <c r="E130" i="16"/>
  <c r="N128" i="16"/>
  <c r="M128" i="16"/>
  <c r="L128" i="16"/>
  <c r="K128" i="16"/>
  <c r="J128" i="16"/>
  <c r="I128" i="16"/>
  <c r="H128" i="16"/>
  <c r="G128" i="16"/>
  <c r="F128" i="16"/>
  <c r="E128" i="16"/>
  <c r="D128" i="16"/>
  <c r="C128" i="16"/>
  <c r="N127" i="16"/>
  <c r="M127" i="16"/>
  <c r="L127" i="16"/>
  <c r="K127" i="16"/>
  <c r="J127" i="16"/>
  <c r="I127" i="16"/>
  <c r="H127" i="16"/>
  <c r="G127" i="16"/>
  <c r="F127" i="16"/>
  <c r="E127" i="16"/>
  <c r="D127" i="16"/>
  <c r="C127" i="16"/>
  <c r="N126" i="16"/>
  <c r="M126" i="16"/>
  <c r="L126" i="16"/>
  <c r="K126" i="16"/>
  <c r="J126" i="16"/>
  <c r="I126" i="16"/>
  <c r="H126" i="16"/>
  <c r="G126" i="16"/>
  <c r="F126" i="16"/>
  <c r="E126" i="16"/>
  <c r="D126" i="16"/>
  <c r="C126" i="16"/>
  <c r="N125" i="16"/>
  <c r="M125" i="16"/>
  <c r="L125" i="16"/>
  <c r="K125" i="16"/>
  <c r="J125" i="16"/>
  <c r="I125" i="16"/>
  <c r="H125" i="16"/>
  <c r="G125" i="16"/>
  <c r="F125" i="16"/>
  <c r="E125" i="16"/>
  <c r="D125" i="16"/>
  <c r="C125" i="16"/>
  <c r="N124" i="16"/>
  <c r="M124" i="16"/>
  <c r="L124" i="16"/>
  <c r="K124" i="16"/>
  <c r="J124" i="16"/>
  <c r="I124" i="16"/>
  <c r="H124" i="16"/>
  <c r="G124" i="16"/>
  <c r="F124" i="16"/>
  <c r="E124" i="16"/>
  <c r="D124" i="16"/>
  <c r="C124" i="16"/>
  <c r="N123" i="16"/>
  <c r="M123" i="16"/>
  <c r="L123" i="16"/>
  <c r="K123" i="16"/>
  <c r="J123" i="16"/>
  <c r="I123" i="16"/>
  <c r="H123" i="16"/>
  <c r="G123" i="16"/>
  <c r="F123" i="16"/>
  <c r="E123" i="16"/>
  <c r="D123" i="16"/>
  <c r="C123" i="16"/>
  <c r="N122" i="16"/>
  <c r="M122" i="16"/>
  <c r="L122" i="16"/>
  <c r="K122" i="16"/>
  <c r="J122" i="16"/>
  <c r="I122" i="16"/>
  <c r="H122" i="16"/>
  <c r="G122" i="16"/>
  <c r="F122" i="16"/>
  <c r="E122" i="16"/>
  <c r="D122" i="16"/>
  <c r="C122" i="16"/>
  <c r="N121" i="16"/>
  <c r="M121" i="16"/>
  <c r="L121" i="16"/>
  <c r="K121" i="16"/>
  <c r="J121" i="16"/>
  <c r="I121" i="16"/>
  <c r="H121" i="16"/>
  <c r="G121" i="16"/>
  <c r="F121" i="16"/>
  <c r="E121" i="16"/>
  <c r="D121" i="16"/>
  <c r="C121" i="16"/>
  <c r="B118" i="16"/>
  <c r="E113" i="16"/>
  <c r="F112" i="16"/>
  <c r="F111" i="16"/>
  <c r="F110" i="16"/>
  <c r="E104" i="16"/>
  <c r="F103" i="16"/>
  <c r="F102" i="16"/>
  <c r="F104" i="16" s="1"/>
  <c r="F101" i="16"/>
  <c r="E90" i="16"/>
  <c r="F89" i="16"/>
  <c r="F88" i="16"/>
  <c r="F87" i="16"/>
  <c r="E77" i="16"/>
  <c r="F76" i="16"/>
  <c r="F75" i="16"/>
  <c r="F77" i="16" s="1"/>
  <c r="F74" i="16"/>
  <c r="D25" i="16"/>
  <c r="D26" i="16"/>
  <c r="D27" i="16"/>
  <c r="D28" i="16"/>
  <c r="D29" i="16"/>
  <c r="D30" i="16"/>
  <c r="D31" i="16"/>
  <c r="D24" i="16"/>
  <c r="E20" i="16"/>
  <c r="J56" i="16"/>
  <c r="K55" i="16"/>
  <c r="K54" i="16"/>
  <c r="K53" i="16"/>
  <c r="E51" i="16"/>
  <c r="F50" i="16"/>
  <c r="F49" i="16"/>
  <c r="F48" i="16"/>
  <c r="F47" i="16"/>
  <c r="J46" i="16"/>
  <c r="K45" i="16"/>
  <c r="K44" i="16"/>
  <c r="K43" i="16"/>
  <c r="K42" i="16"/>
  <c r="K41" i="16"/>
  <c r="F19" i="16"/>
  <c r="F18" i="16"/>
  <c r="F17" i="16"/>
  <c r="F16" i="16"/>
  <c r="F15" i="16"/>
  <c r="E99" i="15"/>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79" i="15"/>
  <c r="E71" i="15"/>
  <c r="F70" i="15"/>
  <c r="F69" i="15"/>
  <c r="F68" i="15"/>
  <c r="J57" i="15"/>
  <c r="K56" i="15"/>
  <c r="K55" i="15"/>
  <c r="K54" i="15"/>
  <c r="E52" i="15"/>
  <c r="F51" i="15"/>
  <c r="F50" i="15"/>
  <c r="F49" i="15"/>
  <c r="F52" i="15" s="1"/>
  <c r="F48" i="15"/>
  <c r="J47" i="15"/>
  <c r="K46" i="15"/>
  <c r="K45" i="15"/>
  <c r="K44" i="15"/>
  <c r="K43" i="15"/>
  <c r="K42" i="15"/>
  <c r="E20" i="15"/>
  <c r="F19" i="15"/>
  <c r="F18" i="15"/>
  <c r="F17" i="15"/>
  <c r="F16" i="15"/>
  <c r="F15" i="15"/>
  <c r="F82" i="15" l="1"/>
  <c r="F90" i="16"/>
  <c r="F71" i="15"/>
  <c r="F20" i="15"/>
  <c r="K56" i="16"/>
  <c r="F152" i="16"/>
  <c r="F141" i="16"/>
  <c r="F113" i="16"/>
  <c r="F181" i="16"/>
  <c r="F51" i="16"/>
  <c r="K46" i="16"/>
  <c r="F20" i="16"/>
  <c r="K47" i="15"/>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E152" i="14"/>
  <c r="F151" i="14"/>
  <c r="F150" i="14"/>
  <c r="F149" i="14"/>
  <c r="E141" i="14"/>
  <c r="F140" i="14"/>
  <c r="F139" i="14"/>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1" i="14"/>
  <c r="F110" i="14"/>
  <c r="E104" i="14"/>
  <c r="F103" i="14"/>
  <c r="F102" i="14"/>
  <c r="F101" i="14"/>
  <c r="E90" i="14"/>
  <c r="F89" i="14"/>
  <c r="F88" i="14"/>
  <c r="F87" i="14"/>
  <c r="E77" i="14"/>
  <c r="F76" i="14"/>
  <c r="F75" i="14"/>
  <c r="F74" i="14"/>
  <c r="K57" i="14"/>
  <c r="L56" i="14"/>
  <c r="L55" i="14"/>
  <c r="L54" i="14"/>
  <c r="E52" i="14"/>
  <c r="F51" i="14"/>
  <c r="F50" i="14"/>
  <c r="F49" i="14"/>
  <c r="F48" i="14"/>
  <c r="J47" i="14"/>
  <c r="K46" i="14"/>
  <c r="K45" i="14"/>
  <c r="K44" i="14"/>
  <c r="K43" i="14"/>
  <c r="K42" i="14"/>
  <c r="E21" i="14"/>
  <c r="F20" i="14"/>
  <c r="F19" i="14"/>
  <c r="F18" i="14"/>
  <c r="F17" i="14"/>
  <c r="F16" i="14"/>
  <c r="F181" i="14" l="1"/>
  <c r="F141" i="14"/>
  <c r="F152" i="14"/>
  <c r="L57" i="14"/>
  <c r="F104" i="14"/>
  <c r="F113" i="14"/>
  <c r="F21" i="14"/>
  <c r="F52" i="14"/>
  <c r="K47" i="14"/>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3" i="13"/>
  <c r="E51" i="13"/>
  <c r="F50" i="13"/>
  <c r="F49" i="13"/>
  <c r="F48" i="13"/>
  <c r="F47" i="13"/>
  <c r="J46" i="13"/>
  <c r="K45" i="13"/>
  <c r="K44" i="13"/>
  <c r="K43" i="13"/>
  <c r="K42" i="13"/>
  <c r="K41" i="13"/>
  <c r="E20" i="13"/>
  <c r="F19" i="13"/>
  <c r="F18" i="13"/>
  <c r="F17" i="13"/>
  <c r="F16" i="13"/>
  <c r="F15" i="13"/>
  <c r="K46" i="13" l="1"/>
  <c r="F51" i="13"/>
  <c r="F20" i="13"/>
  <c r="K56" i="13"/>
  <c r="A30" i="1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E18" i="11" s="1"/>
  <c r="B24" i="11"/>
  <c r="B23" i="11"/>
  <c r="B22" i="11"/>
  <c r="E22" i="11" s="1"/>
  <c r="C35" i="11"/>
  <c r="D22" i="11" s="1"/>
  <c r="C33" i="11"/>
  <c r="D20" i="11" s="1"/>
  <c r="B21" i="11"/>
  <c r="C34" i="11"/>
  <c r="D21" i="11" s="1"/>
  <c r="C32" i="11"/>
  <c r="D19" i="11" s="1"/>
  <c r="E19" i="11" s="1"/>
  <c r="B20" i="11"/>
  <c r="E20" i="11" s="1"/>
  <c r="B16" i="11"/>
  <c r="C29" i="11"/>
  <c r="C38" i="11" s="1"/>
  <c r="E17" i="11"/>
  <c r="G4" i="11"/>
  <c r="G3" i="11"/>
  <c r="G5" i="11"/>
  <c r="E23" i="11" l="1"/>
  <c r="E24" i="11"/>
  <c r="E21" i="11"/>
  <c r="D16" i="11"/>
  <c r="D25" i="11" s="1"/>
  <c r="E16" i="11" l="1"/>
  <c r="H16" i="11" s="1"/>
  <c r="I16" i="11" s="1"/>
  <c r="H3" i="7" l="1"/>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D11" i="3"/>
  <c r="F11" i="3" s="1"/>
  <c r="D12" i="3"/>
  <c r="F12" i="3" s="1"/>
  <c r="D13" i="3"/>
  <c r="F13" i="3" s="1"/>
  <c r="D15" i="3"/>
  <c r="F15" i="3" s="1"/>
  <c r="D10" i="3"/>
  <c r="F10" i="3" s="1"/>
  <c r="D3" i="3"/>
  <c r="F3" i="3" s="1"/>
  <c r="D4" i="3"/>
  <c r="F4" i="3" s="1"/>
  <c r="D5" i="3"/>
  <c r="F5" i="3" s="1"/>
  <c r="D6" i="3"/>
  <c r="F6" i="3" s="1"/>
  <c r="D7" i="3"/>
  <c r="F7" i="3" s="1"/>
  <c r="D8" i="3"/>
  <c r="F8" i="3" s="1"/>
  <c r="D9" i="3"/>
  <c r="F9" i="3" s="1"/>
  <c r="D2" i="3"/>
  <c r="F2" i="3" s="1"/>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D31" i="13" s="1"/>
  <c r="E8" i="7"/>
  <c r="D8" i="7"/>
  <c r="C8" i="7"/>
  <c r="D30" i="13" s="1"/>
  <c r="E7" i="7"/>
  <c r="D7" i="7"/>
  <c r="C7" i="7"/>
  <c r="D29" i="13" s="1"/>
  <c r="E6" i="7"/>
  <c r="D6" i="7"/>
  <c r="C6" i="7"/>
  <c r="D28" i="13" s="1"/>
  <c r="E5" i="7"/>
  <c r="D5" i="7"/>
  <c r="C5" i="7"/>
  <c r="D27" i="13" s="1"/>
  <c r="E4" i="7"/>
  <c r="D4" i="7"/>
  <c r="C4" i="7"/>
  <c r="D26" i="13" s="1"/>
  <c r="E3" i="7"/>
  <c r="D3" i="7"/>
  <c r="C3" i="7"/>
  <c r="D25" i="13" s="1"/>
  <c r="E2" i="7"/>
  <c r="D2" i="7"/>
  <c r="C2" i="7"/>
  <c r="D24" i="13" s="1"/>
  <c r="S41" i="18" l="1" a="1"/>
  <c r="S41" i="18" s="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J30" i="4" l="1"/>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<sst xmlns="http://schemas.openxmlformats.org/spreadsheetml/2006/main" count="2596" uniqueCount="1349">
  <si>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</si>
  <si>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</si>
  <si>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</si>
  <si>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</si>
  <si>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</si>
  <si>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</si>
  <si>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</si>
  <si>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</si>
  <si>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</si>
  <si>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</si>
  <si>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</si>
  <si>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</si>
  <si>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</si>
  <si>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</si>
  <si>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</si>
  <si>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</si>
  <si>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</si>
  <si>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</si>
  <si>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</si>
  <si>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</si>
  <si>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</si>
  <si>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</si>
  <si>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</si>
  <si>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</si>
  <si>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</si>
  <si>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</si>
  <si>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</si>
  <si>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</si>
  <si>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</si>
  <si>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</si>
  <si>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</si>
  <si>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</si>
  <si>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</si>
  <si>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</si>
  <si>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</si>
  <si>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</si>
  <si>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</si>
  <si>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</si>
  <si>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</si>
  <si>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</si>
  <si>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</si>
  <si>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</si>
  <si>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</si>
  <si>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</si>
  <si>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</si>
  <si>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</si>
  <si>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</si>
  <si>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</si>
  <si>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</si>
  <si>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</si>
  <si>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</si>
  <si>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</si>
  <si>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</si>
  <si>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</si>
  <si>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</si>
  <si>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</si>
  <si>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</si>
  <si>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</si>
  <si>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</si>
  <si>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</si>
  <si>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</si>
  <si>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</si>
  <si>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</si>
  <si>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</si>
  <si>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</si>
  <si>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</si>
  <si>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</si>
  <si>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</si>
  <si>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</si>
  <si>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</si>
  <si>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</si>
  <si>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</si>
  <si>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</si>
  <si>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</si>
  <si>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</si>
  <si>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</si>
  <si>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</si>
  <si>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</si>
  <si>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</si>
  <si>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</si>
  <si>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</si>
  <si>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</si>
  <si>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</si>
  <si>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</si>
  <si>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</si>
  <si>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</si>
  <si>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</si>
  <si>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</si>
  <si>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</si>
  <si>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</si>
  <si>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</si>
  <si>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</si>
  <si>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</si>
  <si>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</si>
  <si>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</si>
  <si>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</si>
  <si>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</si>
  <si>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</si>
  <si>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</si>
  <si>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</si>
  <si>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</si>
  <si>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</si>
  <si>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</si>
  <si>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</si>
  <si>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</si>
  <si>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</si>
  <si>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</si>
  <si>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</si>
  <si>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</si>
  <si>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</si>
  <si>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</si>
  <si>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</si>
  <si>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</si>
  <si>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</si>
  <si>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</si>
  <si>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</si>
  <si>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</si>
  <si>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</si>
  <si>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</si>
  <si>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</si>
  <si>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</si>
  <si>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</si>
  <si>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</si>
  <si>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</si>
  <si>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</si>
  <si>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</si>
  <si>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</si>
  <si>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</si>
  <si>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</si>
  <si>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</si>
  <si>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</si>
  <si>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</si>
  <si>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</si>
  <si>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</si>
  <si>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</si>
  <si>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</si>
  <si>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Probe Hybridization</t>
  </si>
  <si>
    <t xml:space="preserve"> Hyb Buffer B</t>
  </si>
  <si>
    <t>Enhancer</t>
  </si>
  <si>
    <t>Sample Type</t>
  </si>
  <si>
    <t>Fixed cells</t>
  </si>
  <si>
    <t>Cell input</t>
  </si>
  <si>
    <t>Incubate for 16-24 hours at 42°C. Starting time: __________________</t>
  </si>
  <si>
    <t>Prepare Post- Hyb wash Buffer and keept at RT</t>
  </si>
  <si>
    <t>Conc Post Hyb Buffer</t>
  </si>
  <si>
    <t>Centrifuge at 850 rcf for 5 minutes at room temperature</t>
  </si>
  <si>
    <t xml:space="preserve">Prepare Post- Hyb Resuspension Buffer. Pipette mix 10x and maintain at 4°C </t>
  </si>
  <si>
    <t xml:space="preserve">Reagent </t>
  </si>
  <si>
    <t>Conc. Post- Hyb Buffer</t>
  </si>
  <si>
    <t>Centrifuge the sample at 850 rcf for 5 minutes at room temperature</t>
  </si>
  <si>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</si>
  <si>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</si>
  <si>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</si>
  <si>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</si>
  <si>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</si>
  <si>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</si>
  <si>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</si>
  <si>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</si>
  <si>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</si>
  <si>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</si>
  <si>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</si>
  <si>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</si>
  <si>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</si>
  <si>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</si>
  <si>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</si>
  <si>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PN-1000251</t>
  </si>
  <si>
    <t>10X Dual Index TS Set A</t>
  </si>
  <si>
    <t>custom probes need to be diluted to the correct working concentration see manual</t>
  </si>
  <si>
    <t>Recommended multiplex</t>
  </si>
  <si>
    <t>Recommended singleplex</t>
  </si>
  <si>
    <t xml:space="preserve">Index PCR Mix: </t>
  </si>
  <si>
    <t>Number of GEM reactions:</t>
  </si>
  <si>
    <t>Number of samples:</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</si>
  <si>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</si>
  <si>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</si>
  <si>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</si>
  <si>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</si>
  <si>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</si>
  <si>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</si>
  <si>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</si>
  <si>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</si>
  <si>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</si>
  <si>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</si>
  <si>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</si>
  <si>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</si>
  <si>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</si>
  <si>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</si>
  <si>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</si>
  <si>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</si>
  <si>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</si>
  <si>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</si>
  <si>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</si>
  <si>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</si>
  <si>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</si>
  <si>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</si>
  <si>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</si>
  <si>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</si>
  <si>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</si>
  <si>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</si>
  <si>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</si>
  <si>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</si>
  <si>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</si>
  <si>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</si>
  <si>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</si>
  <si>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</si>
  <si>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</si>
  <si>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</si>
  <si>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</si>
  <si>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</si>
  <si>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</si>
  <si>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Indexplate A:</t>
  </si>
  <si>
    <t>TT Set A</t>
  </si>
  <si>
    <t>GEM kit LOT#:</t>
  </si>
  <si>
    <t>Chip G Kit LOT#</t>
  </si>
  <si>
    <t>Equilibrate beads to RT for 30 min</t>
  </si>
  <si>
    <t>Sample name</t>
  </si>
  <si>
    <t>cell count/mL</t>
  </si>
  <si>
    <t>V H2O [µL]</t>
  </si>
  <si>
    <t xml:space="preserve"> V Sample [µL]</t>
  </si>
  <si>
    <t>normally we target cell number 16500</t>
  </si>
  <si>
    <t>Close lid and put it into chromium</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</si>
  <si>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</si>
  <si>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</si>
  <si>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</si>
  <si>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</si>
  <si>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</si>
  <si>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</si>
  <si>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</si>
  <si>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</si>
  <si>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</si>
  <si>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</si>
  <si>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</si>
  <si>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</si>
  <si>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</si>
  <si>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</si>
  <si>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</si>
  <si>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</si>
  <si>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</si>
  <si>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</si>
  <si>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</si>
  <si>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</si>
  <si>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</si>
  <si>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</si>
  <si>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</si>
  <si>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</si>
  <si>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</si>
  <si>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</si>
  <si>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</si>
  <si>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</si>
  <si>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</si>
  <si>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</si>
  <si>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DNA Ligase</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</si>
  <si>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</si>
  <si>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</si>
  <si>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</si>
  <si>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</si>
  <si>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</si>
  <si>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</si>
  <si>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</si>
  <si>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</si>
  <si>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</si>
  <si>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</si>
  <si>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THIS IS DIFFERENT FROM ANTIBODY CAPTURE TOTALSEQ A</t>
  </si>
  <si>
    <t>GEM Bead Kit LOT#:</t>
  </si>
  <si>
    <t>GEM generation Kit LOT#:</t>
  </si>
  <si>
    <t>Yes</t>
  </si>
  <si>
    <t>Library prep Kit LOT#:</t>
  </si>
  <si>
    <t>Dual Index Kit TT Set A LOT#</t>
  </si>
  <si>
    <t>Calculate the needed dilutions of the sample with the following formula</t>
  </si>
  <si>
    <t>Sample [µL]</t>
  </si>
  <si>
    <t>Remove the 125 µL recovery agent/oil (pink)</t>
  </si>
  <si>
    <t>Special cleanup resulting in two samples: cDNA GEX, hash</t>
  </si>
  <si>
    <t>GEX</t>
  </si>
  <si>
    <t>Hash</t>
  </si>
  <si>
    <t xml:space="preserve">Wash the bead pellet twice with ethanol </t>
  </si>
  <si>
    <t>Elute in 40.5µL EB and incubate for 2 min</t>
  </si>
  <si>
    <t>Incubate 5 min</t>
  </si>
  <si>
    <t xml:space="preserve">recover 40µL </t>
  </si>
  <si>
    <t xml:space="preserve">Wash twice with ethanol </t>
  </si>
  <si>
    <t>proceed with Cell Mutiplexing library construction</t>
  </si>
  <si>
    <t>Mix the following reaction</t>
  </si>
  <si>
    <t>10 cycles</t>
  </si>
  <si>
    <t>Carina Suete</t>
  </si>
  <si>
    <t>sample_name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</si>
  <si>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</si>
  <si>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</si>
  <si>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</si>
  <si>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</si>
  <si>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</si>
  <si>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</si>
  <si>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</si>
  <si>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</si>
  <si>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for low input samples please adjust the checklist to the user guide</t>
  </si>
  <si>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</si>
  <si>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</si>
  <si>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</si>
  <si>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</si>
  <si>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targeted_cellinput</t>
  </si>
  <si>
    <t>Resuspension volume: __________</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</si>
  <si>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</si>
  <si>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</si>
  <si>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</si>
  <si>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</si>
  <si>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</si>
  <si>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</si>
  <si>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</si>
  <si>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</si>
  <si>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</si>
  <si>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</si>
  <si>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</si>
  <si>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</si>
  <si>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</si>
  <si>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</si>
  <si>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</si>
  <si>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</si>
  <si>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</si>
  <si>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</si>
  <si>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</si>
  <si>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</si>
  <si>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</si>
  <si>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</si>
  <si>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</si>
  <si>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</si>
  <si>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</si>
  <si>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</si>
  <si>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</si>
  <si>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</si>
  <si>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</si>
  <si>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</si>
  <si>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</si>
  <si>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</si>
  <si>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</si>
  <si>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</si>
  <si>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</si>
  <si>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</si>
  <si>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</si>
  <si>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</si>
  <si>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</si>
  <si>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</si>
  <si>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</si>
  <si>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</si>
  <si>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</si>
  <si>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</si>
  <si>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</si>
  <si>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</si>
  <si>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</si>
  <si>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</si>
  <si>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</si>
  <si>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</si>
  <si>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</si>
  <si>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Checklist 10X  3’ OCM</t>
  </si>
  <si>
    <t>Checklist 10X  5’ Cell MULTIPLEXING and AB capture</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</si>
  <si>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</si>
  <si>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</si>
  <si>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</si>
  <si>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</si>
  <si>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</si>
  <si>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</si>
  <si>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</si>
  <si>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</si>
  <si>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</si>
  <si>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</si>
  <si>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</si>
  <si>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</si>
  <si>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</si>
  <si>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</si>
  <si>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</si>
  <si>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</si>
  <si>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</si>
  <si>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</si>
  <si>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</si>
  <si>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</si>
  <si>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</si>
  <si>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</si>
  <si>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</si>
  <si>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</si>
  <si>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</si>
  <si>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</si>
  <si>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</si>
  <si>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</si>
  <si>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</si>
  <si>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</si>
  <si>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</si>
  <si>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</si>
  <si>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</si>
  <si>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</si>
  <si>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</si>
  <si>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</si>
  <si>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</si>
  <si>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</si>
  <si>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</si>
  <si>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Chip GEMX 3' Kit LOT#</t>
  </si>
  <si>
    <t>Equilibrate Gel Bead, RT Reagent E, TSO B, Reducing Agent B to RT for 30 min</t>
  </si>
  <si>
    <t>Prepare the following MM and pipet 28.4 µL in each tube on ice</t>
  </si>
  <si>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</si>
  <si>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</si>
  <si>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</si>
  <si>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</si>
  <si>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</si>
  <si>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</si>
  <si>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</si>
  <si>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</si>
  <si>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</si>
  <si>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</si>
  <si>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</si>
  <si>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</si>
  <si>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10X_5'_GEX</t>
  </si>
  <si>
    <t>PN-1000695;PN-1000694;PN-1000698;</t>
  </si>
  <si>
    <t>PN-1000695;PN-1000694;PN-1000698;PN-1000703</t>
  </si>
  <si>
    <t>PN-1000695;PN-1000694;PN-1000698;PN-1000703;BSF005</t>
  </si>
  <si>
    <t>PN-1000695;PN-1000694;PN-1000698;PN-1000703;PN-1000252</t>
  </si>
  <si>
    <t>PN-1000695;PN-1000694;PN-1000698;PN-1000703;PN-1000253</t>
  </si>
  <si>
    <t>PN-1000695;PN-1000694;PN-1000698;PN-1000703;PN-1000252;PN-1000253</t>
  </si>
  <si>
    <t>PN-1000695;PN-1000694;PN-1000698;PN-1000703;PN-1000254</t>
  </si>
  <si>
    <t>PN-1000695;PN-1000694;PN-1000698;PN-1000703;PN-1000255</t>
  </si>
  <si>
    <t>PN-1000695;PN-1000694;PN-1000698;PN-1000703;PN-1000254;PN-1000255</t>
  </si>
  <si>
    <t>Library kit 5' GEX</t>
  </si>
  <si>
    <t>Library kit 5' antibody multiplexing:</t>
  </si>
  <si>
    <t>Library kit 5' Antibody capture:</t>
  </si>
  <si>
    <t>Library kit 5' Antibody capture TCR human</t>
  </si>
  <si>
    <t>Library kit 5' Antibody capture BCR human</t>
  </si>
  <si>
    <t>Library kit 5' Antibody capture TCR and BCR human</t>
  </si>
  <si>
    <t>Library kit 5' Antibody capture TCR mouse</t>
  </si>
  <si>
    <t>Library kit 5' Antibody capture BCR mouse</t>
  </si>
  <si>
    <t>Library kit 5' Antibody capture TCR and BCR mouse</t>
  </si>
  <si>
    <t>10X_3'_GEXOCM</t>
  </si>
  <si>
    <t>PN-1000779;PN-1000747;BSF004;PN-1000215;PN-1000242</t>
  </si>
  <si>
    <t>PN-1000779;PN-1000747;BSF003;PN-1000215</t>
  </si>
  <si>
    <t>PN-1000779;PN-1000747;PN-1000215</t>
  </si>
  <si>
    <t>Library kits 3' OCM:</t>
  </si>
  <si>
    <t>Library kits 3' OCM + Antibody capture:</t>
  </si>
  <si>
    <t>Library kits 3' OCM + Antibody mutliplexing:</t>
  </si>
  <si>
    <t>20260119</t>
  </si>
  <si>
    <t>OCM 5' Chip Kit LOT#</t>
  </si>
  <si>
    <t>Add appropriate volume (total 17µL) of 1x PBS into the MM for each sample and mix</t>
  </si>
  <si>
    <t>normally we target cell number 8250 to load</t>
  </si>
  <si>
    <t>if ANTIBODY CAPTURE take Feature cDNA Primers 4!</t>
  </si>
  <si>
    <t>&lt;500</t>
  </si>
  <si>
    <t>501-2,000</t>
  </si>
  <si>
    <t>&gt;6,000</t>
  </si>
  <si>
    <t>2,001-6,000</t>
  </si>
  <si>
    <t>cycles</t>
  </si>
  <si>
    <t>target recovery</t>
  </si>
  <si>
    <t>Hash/AC</t>
  </si>
  <si>
    <t>10X_5'_GEXOCM</t>
  </si>
  <si>
    <t>Checklist 10X  5’ OCM</t>
  </si>
  <si>
    <t>Checklist 10X  5’ Gene Expression v4 4-plex (OCM)</t>
  </si>
  <si>
    <t>Organism:</t>
  </si>
  <si>
    <t>Chip Kit LOT#</t>
  </si>
  <si>
    <t>Thaw Probes on ice, vortex and centrifuge.</t>
  </si>
  <si>
    <t>Additive A</t>
  </si>
  <si>
    <t>Probes</t>
  </si>
  <si>
    <t>Thaw Addtitive A at RT vortex and centrifuge, maintain on ice.</t>
  </si>
  <si>
    <t>Remove supernatant and resuspend in 50 µl Hyb Mix an transfer to a strip. Keep at RT!</t>
  </si>
  <si>
    <t>Barcode Oligo Hybridization</t>
  </si>
  <si>
    <t>1 sample [µL]</t>
  </si>
  <si>
    <t>Prepare Post- Hyb wash Buffer B and keept at RT</t>
  </si>
  <si>
    <t>Prepare Barcode Oligo Hyb Mix and keept at RT</t>
  </si>
  <si>
    <t>Hyb Buffer B</t>
  </si>
  <si>
    <t>Incubate Barcode Oligo Hyb Mix for at least 5 min</t>
  </si>
  <si>
    <t>Remove samples from overnight incubation and keep at RT for 10 min</t>
  </si>
  <si>
    <t>Add 200µL of Post-Hyb Wash Buffer B to each well</t>
  </si>
  <si>
    <t>Remove supernatant.</t>
  </si>
  <si>
    <t>Add 40µL Barcode Oligo Hyb Mix to each sample. Keep at RT!</t>
  </si>
  <si>
    <t>Retrieve the already thawed Barcoding Oligo plates from ice. Vortex and centrifuge at 850 rcf for 5 min. Without touching the bottom of the plate well, aspirate 10 μl of an individual Barcoding Oligo  and add to each sample tube/well. Pipette mix 5x .Record the Barcoding Oligo Plate, Set (A, B, C, or D) and the well ID used:</t>
  </si>
  <si>
    <t>Incubate for 2h at 42°C.</t>
  </si>
  <si>
    <t>Post hybridization washing workflow &gt;50,000 cells</t>
  </si>
  <si>
    <t>1 sample [mL]</t>
  </si>
  <si>
    <t>Dilute each sample by adding 150 µL Post- Hyb Wash Buffer and pipette mix 5x and pool samples into a reagent reservoir and then transfer into the tube containing the Post Hyb Wash Buffer B.</t>
  </si>
  <si>
    <t>Add 100µL per sample of Post- Hyb Wash Buffer B into a 15 or 50mL tube.</t>
  </si>
  <si>
    <t>Add 200µL  of Post-Hyb Bufer B to each well and transfer into the tube.</t>
  </si>
  <si>
    <t>Invert the tube to mix and centrifuge at 850 rcf for 10 min at RT.</t>
  </si>
  <si>
    <t>Prepare Post- Hyb wash Buffer and keept at RT. Add reagents in order listed!</t>
  </si>
  <si>
    <t>Incubate at 37°C for 10 minutes in a heat block</t>
  </si>
  <si>
    <t>Remove the supernatant without disturbing the pellet. Resuspend cell pellet in 1 mL Post- Hyb Wash Buffer</t>
  </si>
  <si>
    <t xml:space="preserve">Remove the supernatant without disturbing the pellet. Resuspend cell pellet in1 mL Post- Hyb Wash Buffer. Pipette mix 5x. </t>
  </si>
  <si>
    <t>1 pool + 10% [mL]</t>
  </si>
  <si>
    <t>Multiplex 4 pools +10% [mL]</t>
  </si>
  <si>
    <r>
      <t xml:space="preserve">Remove the supernatant without disturbing the pellet. Resuspend cell pellet in an appropriate volume (see SOP) of </t>
    </r>
    <r>
      <rPr>
        <b/>
        <sz val="12"/>
        <color theme="1"/>
        <rFont val="Calibri"/>
        <family val="2"/>
        <scheme val="minor"/>
      </rPr>
      <t xml:space="preserve">chilled </t>
    </r>
    <r>
      <rPr>
        <sz val="12"/>
        <color theme="1"/>
        <rFont val="Calibri"/>
        <family val="2"/>
        <scheme val="minor"/>
      </rPr>
      <t xml:space="preserve">Post- Hyb Resuspension Buffer. </t>
    </r>
  </si>
  <si>
    <t>Pass the sample through a 30 µm filter (Sysmex CellTrics) into a new 1.5 mL microcentrifuge tube and place on ice. DON’T FILTER &gt;10x10^6 cells or concentration above 10,000 cells [µL]</t>
  </si>
  <si>
    <t>GEM Generation and Barcoding</t>
  </si>
  <si>
    <t>Normally we target 29.000 cells per sample</t>
  </si>
  <si>
    <t>Cell concentration [cells/µL]</t>
  </si>
  <si>
    <t>Input volume [µL]</t>
  </si>
  <si>
    <t>Thaw Barcoding Oligo Plate on ice. Heat Enhancer, thaw con post hyb at RT, thaw Hyb buffer at 42°C</t>
  </si>
  <si>
    <r>
      <t>Add 75 µl of PCR mix to</t>
    </r>
    <r>
      <rPr>
        <b/>
        <sz val="11"/>
        <color theme="1"/>
        <rFont val="Calibri"/>
        <family val="2"/>
        <scheme val="minor"/>
      </rPr>
      <t xml:space="preserve"> 4 times 5 µL</t>
    </r>
    <r>
      <rPr>
        <sz val="11"/>
        <color theme="1"/>
        <rFont val="Calibri"/>
        <family val="2"/>
        <scheme val="minor"/>
      </rPr>
      <t xml:space="preserve"> sample.</t>
    </r>
  </si>
  <si>
    <t>Kinga Pajdzik</t>
  </si>
  <si>
    <t>If you have less than 16 samples follow the protocol and only set up one reaction!</t>
  </si>
  <si>
    <r>
      <t xml:space="preserve">Assemble the Chip GEM-X FX and pipet glycerol in the unused wells: </t>
    </r>
    <r>
      <rPr>
        <b/>
        <sz val="12"/>
        <color theme="1"/>
        <rFont val="Calibri"/>
        <family val="2"/>
        <scheme val="minor"/>
      </rPr>
      <t>60 µL into row 1, 60 µL into row 2, 250 µL into row 3</t>
    </r>
    <r>
      <rPr>
        <sz val="12"/>
        <color theme="1"/>
        <rFont val="Calibri"/>
        <family val="2"/>
        <scheme val="minor"/>
      </rPr>
      <t>.</t>
    </r>
  </si>
  <si>
    <t>lid = 80°C, volume 100 µL</t>
  </si>
  <si>
    <t>GEM-X Flex Sample Preparation v2 Kit</t>
  </si>
  <si>
    <t>PN-1000781</t>
  </si>
  <si>
    <t>GEM-X Flex GEM &amp; Library Kit v2</t>
  </si>
  <si>
    <t>PN-1000918</t>
  </si>
  <si>
    <t>GEM-X Flex Hybridization &amp; Wash Kit v2</t>
  </si>
  <si>
    <t>PN-1000904</t>
  </si>
  <si>
    <t>GEM-X Flex Human Transcriptome Probe Kit v2</t>
  </si>
  <si>
    <t>16 samples PN-1000900 | 96 samples PN-1000901</t>
  </si>
  <si>
    <t>GEM-X Flex Mouse Transcriptome Probe Kit v2</t>
  </si>
  <si>
    <t>16 samples PN-1000902 | 96 samples PN-1000903</t>
  </si>
  <si>
    <t>GEM-X Flex Barcode Oligo Plate v2</t>
  </si>
  <si>
    <t>Set A PN-1000894 | Set B PN-1000897 | Set C PN-1000898 | Set D PN-1000899</t>
  </si>
  <si>
    <t>GEM-X Flex Gel Bead Kit v2</t>
  </si>
  <si>
    <t>PN-1000896</t>
  </si>
  <si>
    <t>GEM-X Flex Gene Expression Chip Kit</t>
  </si>
  <si>
    <t>BSF_LP_CH_000028</t>
  </si>
  <si>
    <t>Checklist 10X  Fixed RNA GEMX v2 with pooled wash workflow</t>
  </si>
  <si>
    <t>Checklist 10X  Fixed RNA GEMX v2  plate based with pooled wash workflow</t>
  </si>
  <si>
    <t>Checklist 10X  Chromium GEM-X Single Cell 3' Reagent Kits v4 Library Preparation</t>
  </si>
  <si>
    <r>
      <t>Assemble the GEM-X 3' Chip and pipet glycerol in the unused wells: 60</t>
    </r>
    <r>
      <rPr>
        <b/>
        <sz val="12"/>
        <color theme="1"/>
        <rFont val="Calibri"/>
        <family val="2"/>
        <scheme val="minor"/>
      </rPr>
      <t xml:space="preserve"> µL into </t>
    </r>
    <r>
      <rPr>
        <b/>
        <sz val="12"/>
        <color rgb="FFCC99FF"/>
        <rFont val="Calibri"/>
        <family val="2"/>
        <scheme val="minor"/>
      </rPr>
      <t>ROW 1</t>
    </r>
    <r>
      <rPr>
        <b/>
        <sz val="12"/>
        <color theme="1"/>
        <rFont val="Calibri"/>
        <family val="2"/>
        <scheme val="minor"/>
      </rPr>
      <t xml:space="preserve">, 60 µL into </t>
    </r>
    <r>
      <rPr>
        <b/>
        <sz val="12"/>
        <color rgb="FF00B0F0"/>
        <rFont val="Calibri"/>
        <family val="2"/>
        <scheme val="minor"/>
      </rPr>
      <t>ROW 2</t>
    </r>
    <r>
      <rPr>
        <b/>
        <sz val="12"/>
        <color theme="1"/>
        <rFont val="Calibri"/>
        <family val="2"/>
        <scheme val="minor"/>
      </rPr>
      <t xml:space="preserve">, 250 µL into </t>
    </r>
    <r>
      <rPr>
        <b/>
        <sz val="12"/>
        <color rgb="FFFFC000"/>
        <rFont val="Calibri"/>
        <family val="2"/>
        <scheme val="minor"/>
      </rPr>
      <t>ROW 3</t>
    </r>
  </si>
  <si>
    <t>Chromium GEM-X Single Cell 3’ GEM Kit v4</t>
  </si>
  <si>
    <t>PN-1000693</t>
  </si>
  <si>
    <t>Library Construction Kit C</t>
  </si>
  <si>
    <t>PN-1000694</t>
  </si>
  <si>
    <t>Chromium GEM-X Single Cell 3’ Gel Bead Kit v4</t>
  </si>
  <si>
    <t>PN-1000692</t>
  </si>
  <si>
    <t>PN-1000690</t>
  </si>
  <si>
    <t>Chromium GEM-X Single Cell 3' Chip Kit v4, 4 chips</t>
  </si>
  <si>
    <t>Single Cell 3’ GEM Kit v4 LOT#:</t>
  </si>
  <si>
    <t>Library Construction Kit C LOT#:</t>
  </si>
  <si>
    <t>Single Cell 3’ Gel Bead Kitv4 LOT#:</t>
  </si>
  <si>
    <t>TT Set A Kit LOT#</t>
  </si>
  <si>
    <t>BSF_LP_CH_0000029</t>
  </si>
  <si>
    <t>BSF_LP_CH_000030</t>
  </si>
  <si>
    <t>BSF_LP_CH_000032</t>
  </si>
  <si>
    <t>BSF_LP_CH_000031</t>
  </si>
  <si>
    <t>sample NR</t>
  </si>
  <si>
    <t>volume used for hybiridzation [µL]</t>
  </si>
  <si>
    <t>Centrifuge sample at 850 rcf for 10 min at RT and spin with barcode plate</t>
  </si>
  <si>
    <t>1 pool [mL]</t>
  </si>
  <si>
    <t>Pre wet membrane with 100µL Post Hyb buffer B, Filter in at least 400 µL, wash once by adding 400µL  Buffer.</t>
  </si>
  <si>
    <t>actual sequence of the Probe Barcode</t>
  </si>
  <si>
    <t>sequence after translation in Cell Ranger analysis</t>
  </si>
  <si>
    <t>Probe Barcode ID</t>
  </si>
  <si>
    <t>ACGTACGGGA</t>
  </si>
  <si>
    <t>A-A01</t>
  </si>
  <si>
    <t>GAATGGGAAG</t>
  </si>
  <si>
    <t>A-A02</t>
  </si>
  <si>
    <t>GATGGCTTTC</t>
  </si>
  <si>
    <t>A-A03</t>
  </si>
  <si>
    <t>TGCTCCTAAT</t>
  </si>
  <si>
    <t>A-A04</t>
  </si>
  <si>
    <t>ACAACGGGCA</t>
  </si>
  <si>
    <t>A-A05</t>
  </si>
  <si>
    <t>CAACTCAAAC</t>
  </si>
  <si>
    <t>A-A06</t>
  </si>
  <si>
    <t>TGTTCGGATG</t>
  </si>
  <si>
    <t>A-A07</t>
  </si>
  <si>
    <t>ACCCGTACAC</t>
  </si>
  <si>
    <t>A-A08</t>
  </si>
  <si>
    <t>CTAAAGTTCG</t>
  </si>
  <si>
    <t>A-A09</t>
  </si>
  <si>
    <t>GAAGGTCCCA</t>
  </si>
  <si>
    <t>A-A10</t>
  </si>
  <si>
    <t>CTCCTTACCA</t>
  </si>
  <si>
    <t>A-A11</t>
  </si>
  <si>
    <t>CTCTATCTCA</t>
  </si>
  <si>
    <t>A-A12</t>
  </si>
  <si>
    <t>CTACTTTCGT</t>
  </si>
  <si>
    <t>A-B01</t>
  </si>
  <si>
    <t>CACGAATCCA</t>
  </si>
  <si>
    <t>A-B02</t>
  </si>
  <si>
    <t>CGGGTTCAAT</t>
  </si>
  <si>
    <t>A-B03</t>
  </si>
  <si>
    <t>TCCAGCCAGA</t>
  </si>
  <si>
    <t>A-B04</t>
  </si>
  <si>
    <t>CTCCCAACAC</t>
  </si>
  <si>
    <t>A-B05</t>
  </si>
  <si>
    <t>TGTGGAGGTG</t>
  </si>
  <si>
    <t>A-B06</t>
  </si>
  <si>
    <t>GAGGGTTGTG</t>
  </si>
  <si>
    <t>A-B07</t>
  </si>
  <si>
    <t>CTCAAATGGC</t>
  </si>
  <si>
    <t>A-B08</t>
  </si>
  <si>
    <t>CTAGGCAACA</t>
  </si>
  <si>
    <t>A-B09</t>
  </si>
  <si>
    <t>TGCAGTAACT</t>
  </si>
  <si>
    <t>A-B10</t>
  </si>
  <si>
    <t>AGCCTGTCCT</t>
  </si>
  <si>
    <t>A-B11</t>
  </si>
  <si>
    <t>ATAGCCAACT</t>
  </si>
  <si>
    <t>A-B12</t>
  </si>
  <si>
    <t>ACAGATTGAG</t>
  </si>
  <si>
    <t>A-C01</t>
  </si>
  <si>
    <t>GTGCCCGATA</t>
  </si>
  <si>
    <t>A-C02</t>
  </si>
  <si>
    <t>TGAGCTCATA</t>
  </si>
  <si>
    <t>A-C03</t>
  </si>
  <si>
    <t>GAAGCTTAAC</t>
  </si>
  <si>
    <t>A-C04</t>
  </si>
  <si>
    <t>GCTATCGATA</t>
  </si>
  <si>
    <t>A-C05</t>
  </si>
  <si>
    <t>ACCACGTTAG</t>
  </si>
  <si>
    <t>A-C06</t>
  </si>
  <si>
    <t>GACGGGATAC</t>
  </si>
  <si>
    <t>A-C07</t>
  </si>
  <si>
    <t>CTGACACACA</t>
  </si>
  <si>
    <t>A-C08</t>
  </si>
  <si>
    <t>TGGATTGGAG</t>
  </si>
  <si>
    <t>A-C09</t>
  </si>
  <si>
    <t>AGTATGGCTG</t>
  </si>
  <si>
    <t>A-C10</t>
  </si>
  <si>
    <t>CTTGCCTTGT</t>
  </si>
  <si>
    <t>A-C11</t>
  </si>
  <si>
    <t>CTGCTGTACA</t>
  </si>
  <si>
    <t>A-C12</t>
  </si>
  <si>
    <t>ACACTTGGAG</t>
  </si>
  <si>
    <t>A-D01</t>
  </si>
  <si>
    <t>TGCCTCCATG</t>
  </si>
  <si>
    <t>A-D02</t>
  </si>
  <si>
    <t>TGATAACCCT</t>
  </si>
  <si>
    <t>A-D03</t>
  </si>
  <si>
    <t>ACCTGGTTGT</t>
  </si>
  <si>
    <t>A-D04</t>
  </si>
  <si>
    <t>TGTTGGTAAG</t>
  </si>
  <si>
    <t>A-D05</t>
  </si>
  <si>
    <t>TGGGATCCCA</t>
  </si>
  <si>
    <t>A-D06</t>
  </si>
  <si>
    <t>CGCATTCCTG</t>
  </si>
  <si>
    <t>A-D07</t>
  </si>
  <si>
    <t>CTGCATGATC</t>
  </si>
  <si>
    <t>A-D08</t>
  </si>
  <si>
    <t>TGGTCCATTA</t>
  </si>
  <si>
    <t>A-D09</t>
  </si>
  <si>
    <t>ACGACCCATC</t>
  </si>
  <si>
    <t>A-D10</t>
  </si>
  <si>
    <t>GAGGTACCTC</t>
  </si>
  <si>
    <t>A-D11</t>
  </si>
  <si>
    <t>TCGTCCACGT</t>
  </si>
  <si>
    <t>A-D12</t>
  </si>
  <si>
    <t>TGCAGTTGGT</t>
  </si>
  <si>
    <t>A-E01</t>
  </si>
  <si>
    <t>GCACGCGTTA</t>
  </si>
  <si>
    <t>A-E02</t>
  </si>
  <si>
    <t>ACAAGCTTGT</t>
  </si>
  <si>
    <t>A-E03</t>
  </si>
  <si>
    <t>AGCGAACCCT</t>
  </si>
  <si>
    <t>A-E04</t>
  </si>
  <si>
    <t>CTCTCAGCTG</t>
  </si>
  <si>
    <t>A-E05</t>
  </si>
  <si>
    <t>ACCCTAAGAC</t>
  </si>
  <si>
    <t>A-E06</t>
  </si>
  <si>
    <t>TCGTTCCATA</t>
  </si>
  <si>
    <t>A-E07</t>
  </si>
  <si>
    <t>GATCCAGATA</t>
  </si>
  <si>
    <t>A-E08</t>
  </si>
  <si>
    <t>CTCTGAGTCA</t>
  </si>
  <si>
    <t>A-E09</t>
  </si>
  <si>
    <t>TGATCATGCA</t>
  </si>
  <si>
    <t>A-E10</t>
  </si>
  <si>
    <t>CAAGGTGTTC</t>
  </si>
  <si>
    <t>A-E11</t>
  </si>
  <si>
    <t>CTCCTCTTGA</t>
  </si>
  <si>
    <t>A-E12</t>
  </si>
  <si>
    <t>TGTCTGGCAG</t>
  </si>
  <si>
    <t>A-F01</t>
  </si>
  <si>
    <t>CTCAGCCATC</t>
  </si>
  <si>
    <t>A-F02</t>
  </si>
  <si>
    <t>ACGTCAACCA</t>
  </si>
  <si>
    <t>A-F03</t>
  </si>
  <si>
    <t>CTTCACAAAC</t>
  </si>
  <si>
    <t>A-F04</t>
  </si>
  <si>
    <t>GAAGGGCATC</t>
  </si>
  <si>
    <t>A-F05</t>
  </si>
  <si>
    <t>GAGGGTTCAC</t>
  </si>
  <si>
    <t>A-F06</t>
  </si>
  <si>
    <t>ACGGTACGAC</t>
  </si>
  <si>
    <t>A-F07</t>
  </si>
  <si>
    <t>CGGGTCTTTG</t>
  </si>
  <si>
    <t>A-F08</t>
  </si>
  <si>
    <t>GTGCAATGAC</t>
  </si>
  <si>
    <t>A-F09</t>
  </si>
  <si>
    <t>GAGGGCAAAT</t>
  </si>
  <si>
    <t>A-F10</t>
  </si>
  <si>
    <t>TGTGACAGTC</t>
  </si>
  <si>
    <t>A-F11</t>
  </si>
  <si>
    <t>TGCTCCACCT</t>
  </si>
  <si>
    <t>A-F12</t>
  </si>
  <si>
    <t>TCCGTGCGTA</t>
  </si>
  <si>
    <t>A-G01</t>
  </si>
  <si>
    <t>CAAAGCATCA</t>
  </si>
  <si>
    <t>A-G02</t>
  </si>
  <si>
    <t>GCGTTTAAAC</t>
  </si>
  <si>
    <t>A-G03</t>
  </si>
  <si>
    <t>CTCAACAGTC</t>
  </si>
  <si>
    <t>A-G04</t>
  </si>
  <si>
    <t>GATGTATGAG</t>
  </si>
  <si>
    <t>A-G05</t>
  </si>
  <si>
    <t>ACAAGCGGAT</t>
  </si>
  <si>
    <t>A-G06</t>
  </si>
  <si>
    <t>ACCAAGAACT</t>
  </si>
  <si>
    <t>A-G07</t>
  </si>
  <si>
    <t>CAACTGCCCA</t>
  </si>
  <si>
    <t>A-G08</t>
  </si>
  <si>
    <t>ATTCATCGAC</t>
  </si>
  <si>
    <t>A-G09</t>
  </si>
  <si>
    <t>ACTACTCGAG</t>
  </si>
  <si>
    <t>A-G10</t>
  </si>
  <si>
    <t>ACGTCCGAAT</t>
  </si>
  <si>
    <t>A-G11</t>
  </si>
  <si>
    <t>GAGACCTTGT</t>
  </si>
  <si>
    <t>A-G12</t>
  </si>
  <si>
    <t>GAGGAGAACT</t>
  </si>
  <si>
    <t>A-H01</t>
  </si>
  <si>
    <t>CTGAAGCCTG</t>
  </si>
  <si>
    <t>A-H02</t>
  </si>
  <si>
    <t>CATTCCCAAT</t>
  </si>
  <si>
    <t>A-H03</t>
  </si>
  <si>
    <t>CTCACTTAGT</t>
  </si>
  <si>
    <t>A-H04</t>
  </si>
  <si>
    <t>ACACCTGCTG</t>
  </si>
  <si>
    <t>A-H05</t>
  </si>
  <si>
    <t>CTCAGAGGTA</t>
  </si>
  <si>
    <t>A-H06</t>
  </si>
  <si>
    <t>CGCACAGTAT</t>
  </si>
  <si>
    <t>A-H07</t>
  </si>
  <si>
    <t>ACCAGGTAAT</t>
  </si>
  <si>
    <t>A-H08</t>
  </si>
  <si>
    <t>CAAGTAAGTG</t>
  </si>
  <si>
    <t>A-H09</t>
  </si>
  <si>
    <t>AGCTGGCTAC</t>
  </si>
  <si>
    <t>A-H10</t>
  </si>
  <si>
    <t>ACCGTTGCCA</t>
  </si>
  <si>
    <t>A-H11</t>
  </si>
  <si>
    <t>AGTCCCAGCT</t>
  </si>
  <si>
    <t>A-H12</t>
  </si>
  <si>
    <t>AGGTCGGTCT</t>
  </si>
  <si>
    <t>B-A01</t>
  </si>
  <si>
    <t>CTCATACAAC</t>
  </si>
  <si>
    <t>B-A02</t>
  </si>
  <si>
    <t>AGGAAATCCA</t>
  </si>
  <si>
    <t>B-A03</t>
  </si>
  <si>
    <t>CATGACGGTG</t>
  </si>
  <si>
    <t>B-A04</t>
  </si>
  <si>
    <t>TGGCGGTATG</t>
  </si>
  <si>
    <t>B-A05</t>
  </si>
  <si>
    <t>CTATAGGGTA</t>
  </si>
  <si>
    <t>B-A06</t>
  </si>
  <si>
    <t>GATAGAACAC</t>
  </si>
  <si>
    <t>B-A07</t>
  </si>
  <si>
    <t>ACTAAACGCT</t>
  </si>
  <si>
    <t>B-A08</t>
  </si>
  <si>
    <t>CTATCTTGTG</t>
  </si>
  <si>
    <t>B-A09</t>
  </si>
  <si>
    <t>GAGTGCCTGT</t>
  </si>
  <si>
    <t>B-A10</t>
  </si>
  <si>
    <t>ACCGTTATGT</t>
  </si>
  <si>
    <t>B-A11</t>
  </si>
  <si>
    <t>TGGTTTAGCA</t>
  </si>
  <si>
    <t>B-A12</t>
  </si>
  <si>
    <t>ACGGGTCCAT</t>
  </si>
  <si>
    <t>B-B01</t>
  </si>
  <si>
    <t>GAATGGATTC</t>
  </si>
  <si>
    <t>B-B02</t>
  </si>
  <si>
    <t>GAGGTAACGA</t>
  </si>
  <si>
    <t>B-B03</t>
  </si>
  <si>
    <t>GACTCAGCAG</t>
  </si>
  <si>
    <t>B-B04</t>
  </si>
  <si>
    <t>ACCTACCAAC</t>
  </si>
  <si>
    <t>B-B05</t>
  </si>
  <si>
    <t>TCTCGATGGC</t>
  </si>
  <si>
    <t>B-B06</t>
  </si>
  <si>
    <t>CATCCGTGAT</t>
  </si>
  <si>
    <t>B-B07</t>
  </si>
  <si>
    <t>CTATACTGCA</t>
  </si>
  <si>
    <t>B-B08</t>
  </si>
  <si>
    <t>TGGAGGCAAG</t>
  </si>
  <si>
    <t>B-B09</t>
  </si>
  <si>
    <t>GCAGCTTCAG</t>
  </si>
  <si>
    <t>B-B10</t>
  </si>
  <si>
    <t>TGGGCATGTG</t>
  </si>
  <si>
    <t>B-B11</t>
  </si>
  <si>
    <t>GAGCTAAATG</t>
  </si>
  <si>
    <t>B-B12</t>
  </si>
  <si>
    <t>TCCGTTCAAG</t>
  </si>
  <si>
    <t>B-C01</t>
  </si>
  <si>
    <t>AGGCTGGATG</t>
  </si>
  <si>
    <t>B-C02</t>
  </si>
  <si>
    <t>TGATCCGCCA</t>
  </si>
  <si>
    <t>B-C03</t>
  </si>
  <si>
    <t>CTACCGAAAG</t>
  </si>
  <si>
    <t>B-C04</t>
  </si>
  <si>
    <t>TGGCAATACA</t>
  </si>
  <si>
    <t>B-C05</t>
  </si>
  <si>
    <t>CTCCCTCCTA</t>
  </si>
  <si>
    <t>B-C06</t>
  </si>
  <si>
    <t>CTAACGTGAG</t>
  </si>
  <si>
    <t>B-C07</t>
  </si>
  <si>
    <t>GAACGAAGGA</t>
  </si>
  <si>
    <t>B-C08</t>
  </si>
  <si>
    <t>CATTTGATCG</t>
  </si>
  <si>
    <t>B-C09</t>
  </si>
  <si>
    <t>CTTTAGCTCT</t>
  </si>
  <si>
    <t>B-C10</t>
  </si>
  <si>
    <t>AGATCCGACT</t>
  </si>
  <si>
    <t>B-C11</t>
  </si>
  <si>
    <t>CTTCGTTATC</t>
  </si>
  <si>
    <t>B-C12</t>
  </si>
  <si>
    <t>ACATGCCCGA</t>
  </si>
  <si>
    <t>B-D01</t>
  </si>
  <si>
    <t>GAATCCTAAG</t>
  </si>
  <si>
    <t>B-D02</t>
  </si>
  <si>
    <t>CATATGAGCA</t>
  </si>
  <si>
    <t>B-D03</t>
  </si>
  <si>
    <t>GAAGCCCTGT</t>
  </si>
  <si>
    <t>B-D04</t>
  </si>
  <si>
    <t>TCGGGCAACA</t>
  </si>
  <si>
    <t>B-D05</t>
  </si>
  <si>
    <t>CTCGCTGAGA</t>
  </si>
  <si>
    <t>B-D06</t>
  </si>
  <si>
    <t>GCAACAAAGA</t>
  </si>
  <si>
    <t>B-D07</t>
  </si>
  <si>
    <t>ACGATGAATC</t>
  </si>
  <si>
    <t>B-D08</t>
  </si>
  <si>
    <t>CTTGCTTCCT</t>
  </si>
  <si>
    <t>B-D09</t>
  </si>
  <si>
    <t>GAGCGACTCT</t>
  </si>
  <si>
    <t>B-D10</t>
  </si>
  <si>
    <t>ACGATTTCCA</t>
  </si>
  <si>
    <t>B-D11</t>
  </si>
  <si>
    <t>CATTTACCTG</t>
  </si>
  <si>
    <t>B-D12</t>
  </si>
  <si>
    <t>CTACAAGAAC</t>
  </si>
  <si>
    <t>B-E01</t>
  </si>
  <si>
    <t>ACACAGTACT</t>
  </si>
  <si>
    <t>B-E02</t>
  </si>
  <si>
    <t>CAAACTCTCT</t>
  </si>
  <si>
    <t>B-E03</t>
  </si>
  <si>
    <t>ACCATTCACT</t>
  </si>
  <si>
    <t>B-E04</t>
  </si>
  <si>
    <t>GAGAGGGTCT</t>
  </si>
  <si>
    <t>B-E05</t>
  </si>
  <si>
    <t>CTAAGCTACT</t>
  </si>
  <si>
    <t>B-E06</t>
  </si>
  <si>
    <t>GTATACTCGT</t>
  </si>
  <si>
    <t>B-E07</t>
  </si>
  <si>
    <t>ACCTGGGAAG</t>
  </si>
  <si>
    <t>B-E08</t>
  </si>
  <si>
    <t>AGATAAGCCA</t>
  </si>
  <si>
    <t>B-E09</t>
  </si>
  <si>
    <t>CTGGTCCACA</t>
  </si>
  <si>
    <t>B-E10</t>
  </si>
  <si>
    <t>AGCGCAATAT</t>
  </si>
  <si>
    <t>B-E11</t>
  </si>
  <si>
    <t>TCGACTTCAC</t>
  </si>
  <si>
    <t>B-E12</t>
  </si>
  <si>
    <t>TGCCCTTACT</t>
  </si>
  <si>
    <t>B-F01</t>
  </si>
  <si>
    <t>CTCGCCTAAT</t>
  </si>
  <si>
    <t>B-F02</t>
  </si>
  <si>
    <t>ACCTCTGGTA</t>
  </si>
  <si>
    <t>B-F03</t>
  </si>
  <si>
    <t>ACCATGGCCT</t>
  </si>
  <si>
    <t>B-F04</t>
  </si>
  <si>
    <t>AGGTTCTCCA</t>
  </si>
  <si>
    <t>B-F05</t>
  </si>
  <si>
    <t>ATCATGGTCA</t>
  </si>
  <si>
    <t>B-F06</t>
  </si>
  <si>
    <t>TCGGTATTGT</t>
  </si>
  <si>
    <t>B-F07</t>
  </si>
  <si>
    <t>AGGCGCCTAT</t>
  </si>
  <si>
    <t>B-F08</t>
  </si>
  <si>
    <t>GAACGTTAGA</t>
  </si>
  <si>
    <t>B-F09</t>
  </si>
  <si>
    <t>CATCGGTAAG</t>
  </si>
  <si>
    <t>B-F10</t>
  </si>
  <si>
    <t>CTGTTGTAGT</t>
  </si>
  <si>
    <t>B-F11</t>
  </si>
  <si>
    <t>CTTCCCGTAG</t>
  </si>
  <si>
    <t>B-F12</t>
  </si>
  <si>
    <t>ACCCTAGGGT</t>
  </si>
  <si>
    <t>B-G01</t>
  </si>
  <si>
    <t>ACAGGAGTCA</t>
  </si>
  <si>
    <t>B-G02</t>
  </si>
  <si>
    <t>TCGATCAAAC</t>
  </si>
  <si>
    <t>B-G03</t>
  </si>
  <si>
    <t>GAGCGGATTA</t>
  </si>
  <si>
    <t>B-G04</t>
  </si>
  <si>
    <t>AGCAACATAC</t>
  </si>
  <si>
    <t>B-G05</t>
  </si>
  <si>
    <t>GAGTCGGTAG</t>
  </si>
  <si>
    <t>B-G06</t>
  </si>
  <si>
    <t>TCAATGGAAG</t>
  </si>
  <si>
    <t>B-G07</t>
  </si>
  <si>
    <t>ACACAAAGTG</t>
  </si>
  <si>
    <t>B-G08</t>
  </si>
  <si>
    <t>CTAACTTCCA</t>
  </si>
  <si>
    <t>B-G09</t>
  </si>
  <si>
    <t>TGTCAGGGTG</t>
  </si>
  <si>
    <t>B-G10</t>
  </si>
  <si>
    <t>GTACTTACGA</t>
  </si>
  <si>
    <t>B-G11</t>
  </si>
  <si>
    <t>TGTTTCTGGT</t>
  </si>
  <si>
    <t>B-G12</t>
  </si>
  <si>
    <t>TGCCATGCTG</t>
  </si>
  <si>
    <t>B-H01</t>
  </si>
  <si>
    <t>CAAGCCCTCA</t>
  </si>
  <si>
    <t>B-H02</t>
  </si>
  <si>
    <t>GACGTCGATC</t>
  </si>
  <si>
    <t>B-H03</t>
  </si>
  <si>
    <t>GTATGGAAAC</t>
  </si>
  <si>
    <t>B-H04</t>
  </si>
  <si>
    <t>ATCGGTCGGA</t>
  </si>
  <si>
    <t>B-H05</t>
  </si>
  <si>
    <t>CACGCCATTC</t>
  </si>
  <si>
    <t>B-H06</t>
  </si>
  <si>
    <t>GAAACGGTGA</t>
  </si>
  <si>
    <t>B-H07</t>
  </si>
  <si>
    <t>GAGAGTTATC</t>
  </si>
  <si>
    <t>B-H08</t>
  </si>
  <si>
    <t>GAACGGAACA</t>
  </si>
  <si>
    <t>B-H09</t>
  </si>
  <si>
    <t>GAGATTGGGC</t>
  </si>
  <si>
    <t>B-H10</t>
  </si>
  <si>
    <t>CATGAATGCT</t>
  </si>
  <si>
    <t>B-H11</t>
  </si>
  <si>
    <t>GAAACGCGCA</t>
  </si>
  <si>
    <t>B-H12</t>
  </si>
  <si>
    <t>AGCCCGAACT</t>
  </si>
  <si>
    <t>C-A01</t>
  </si>
  <si>
    <t>GAAATCGAGA</t>
  </si>
  <si>
    <t>C-A02</t>
  </si>
  <si>
    <t>CATGGTTCTA</t>
  </si>
  <si>
    <t>C-A03</t>
  </si>
  <si>
    <t>CTTAGGGCCT</t>
  </si>
  <si>
    <t>C-A04</t>
  </si>
  <si>
    <t>CTCACGGACA</t>
  </si>
  <si>
    <t>C-A05</t>
  </si>
  <si>
    <t>ATGACGTTCA</t>
  </si>
  <si>
    <t>C-A06</t>
  </si>
  <si>
    <t>TGCCCGTCAT</t>
  </si>
  <si>
    <t>C-A07</t>
  </si>
  <si>
    <t>TGATGAGCTC</t>
  </si>
  <si>
    <t>C-A08</t>
  </si>
  <si>
    <t>CTCTCCCAGA</t>
  </si>
  <si>
    <t>C-A09</t>
  </si>
  <si>
    <t>ATAAGCCCGC</t>
  </si>
  <si>
    <t>C-A10</t>
  </si>
  <si>
    <t>CTCAGTTTCT</t>
  </si>
  <si>
    <t>C-A11</t>
  </si>
  <si>
    <t>GAGAACAAGA</t>
  </si>
  <si>
    <t>C-A12</t>
  </si>
  <si>
    <t>AGCCCTGCAT</t>
  </si>
  <si>
    <t>C-B01</t>
  </si>
  <si>
    <t>ACGTTTAGTC</t>
  </si>
  <si>
    <t>C-B02</t>
  </si>
  <si>
    <t>GCGTTTCCTG</t>
  </si>
  <si>
    <t>C-B03</t>
  </si>
  <si>
    <t>TGCCTATAGT</t>
  </si>
  <si>
    <t>C-B04</t>
  </si>
  <si>
    <t>TGCAATCCTC</t>
  </si>
  <si>
    <t>C-B05</t>
  </si>
  <si>
    <t>GTGAAGGATG</t>
  </si>
  <si>
    <t>C-B06</t>
  </si>
  <si>
    <t>ACTATTGGGA</t>
  </si>
  <si>
    <t>C-B07</t>
  </si>
  <si>
    <t>CTACCAGTAT</t>
  </si>
  <si>
    <t>C-B08</t>
  </si>
  <si>
    <t>GAAACCATGC</t>
  </si>
  <si>
    <t>C-B09</t>
  </si>
  <si>
    <t>ACCCAGCAAG</t>
  </si>
  <si>
    <t>C-B10</t>
  </si>
  <si>
    <t>CACCGTTGGT</t>
  </si>
  <si>
    <t>C-B11</t>
  </si>
  <si>
    <t>CTCCGTACTG</t>
  </si>
  <si>
    <t>C-B12</t>
  </si>
  <si>
    <t>ATGACACGCT</t>
  </si>
  <si>
    <t>C-C01</t>
  </si>
  <si>
    <t>CTGGCTTCGA</t>
  </si>
  <si>
    <t>C-C02</t>
  </si>
  <si>
    <t>ACGACTTCGT</t>
  </si>
  <si>
    <t>C-C03</t>
  </si>
  <si>
    <t>GACGTACTAG</t>
  </si>
  <si>
    <t>C-C04</t>
  </si>
  <si>
    <t>AGCTCAACAC</t>
  </si>
  <si>
    <t>C-C05</t>
  </si>
  <si>
    <t>AGCAAGGTAT</t>
  </si>
  <si>
    <t>C-C06</t>
  </si>
  <si>
    <t>AGGGACACAC</t>
  </si>
  <si>
    <t>C-C07</t>
  </si>
  <si>
    <t>CTGCAATAAG</t>
  </si>
  <si>
    <t>C-C08</t>
  </si>
  <si>
    <t>GTGCGGTAAG</t>
  </si>
  <si>
    <t>C-C09</t>
  </si>
  <si>
    <t>AGATGCGTGA</t>
  </si>
  <si>
    <t>C-C10</t>
  </si>
  <si>
    <t>TGTCCCGAAT</t>
  </si>
  <si>
    <t>C-C11</t>
  </si>
  <si>
    <t>TGGCTTATTC</t>
  </si>
  <si>
    <t>C-C12</t>
  </si>
  <si>
    <t>GATATCTGGA</t>
  </si>
  <si>
    <t>C-D01</t>
  </si>
  <si>
    <t>TCGACTAAGA</t>
  </si>
  <si>
    <t>C-D02</t>
  </si>
  <si>
    <t>ACAACCGAAG</t>
  </si>
  <si>
    <t>C-D03</t>
  </si>
  <si>
    <t>CTAAATCAGC</t>
  </si>
  <si>
    <t>C-D04</t>
  </si>
  <si>
    <t>AGGCACGCAT</t>
  </si>
  <si>
    <t>C-D05</t>
  </si>
  <si>
    <t>CGGTACCTTG</t>
  </si>
  <si>
    <t>C-D06</t>
  </si>
  <si>
    <t>CACGAAGTTA</t>
  </si>
  <si>
    <t>C-D07</t>
  </si>
  <si>
    <t>ACGGGAATGA</t>
  </si>
  <si>
    <t>C-D08</t>
  </si>
  <si>
    <t>CAATCCAGGT</t>
  </si>
  <si>
    <t>C-D09</t>
  </si>
  <si>
    <t>ACAGGGCTTA</t>
  </si>
  <si>
    <t>C-D10</t>
  </si>
  <si>
    <t>CTAGTCCTTC</t>
  </si>
  <si>
    <t>C-D11</t>
  </si>
  <si>
    <t>CAAAGGCAAG</t>
  </si>
  <si>
    <t>C-D12</t>
  </si>
  <si>
    <t>GTGGGAGACT</t>
  </si>
  <si>
    <t>C-E01</t>
  </si>
  <si>
    <t>CTTCACGTTC</t>
  </si>
  <si>
    <t>C-E02</t>
  </si>
  <si>
    <t>CTCCCTGTCA</t>
  </si>
  <si>
    <t>C-E03</t>
  </si>
  <si>
    <t>GTCGGATATG</t>
  </si>
  <si>
    <t>C-E04</t>
  </si>
  <si>
    <t>ACTGTCATCA</t>
  </si>
  <si>
    <t>C-E05</t>
  </si>
  <si>
    <t>CAGCTACCCT</t>
  </si>
  <si>
    <t>C-E06</t>
  </si>
  <si>
    <t>CAAACAGTGT</t>
  </si>
  <si>
    <t>C-E07</t>
  </si>
  <si>
    <t>GAGGGTGAAG</t>
  </si>
  <si>
    <t>C-E08</t>
  </si>
  <si>
    <t>CAACCCGTTC</t>
  </si>
  <si>
    <t>C-E09</t>
  </si>
  <si>
    <t>GTGAAGTTAG</t>
  </si>
  <si>
    <t>C-E10</t>
  </si>
  <si>
    <t>ACAATCGACT</t>
  </si>
  <si>
    <t>C-E11</t>
  </si>
  <si>
    <t>GAGTAGGCAT</t>
  </si>
  <si>
    <t>C-E12</t>
  </si>
  <si>
    <t>CTATTCGAAG</t>
  </si>
  <si>
    <t>C-F01</t>
  </si>
  <si>
    <t>TGCTACTTAG</t>
  </si>
  <si>
    <t>C-F02</t>
  </si>
  <si>
    <t>ACGAGGTGGA</t>
  </si>
  <si>
    <t>C-F03</t>
  </si>
  <si>
    <t>GCGAATAGAT</t>
  </si>
  <si>
    <t>C-F04</t>
  </si>
  <si>
    <t>CTTGGATGGC</t>
  </si>
  <si>
    <t>C-F05</t>
  </si>
  <si>
    <t>ACGTCATTGA</t>
  </si>
  <si>
    <t>C-F06</t>
  </si>
  <si>
    <t>TCGCGTTATA</t>
  </si>
  <si>
    <t>C-F07</t>
  </si>
  <si>
    <t>GATGCCTACT</t>
  </si>
  <si>
    <t>C-F08</t>
  </si>
  <si>
    <t>GACAACATCA</t>
  </si>
  <si>
    <t>C-F09</t>
  </si>
  <si>
    <t>ACTGAGAGAG</t>
  </si>
  <si>
    <t>C-F10</t>
  </si>
  <si>
    <t>GTAGTTCTAG</t>
  </si>
  <si>
    <t>C-F11</t>
  </si>
  <si>
    <t>AGGCGGACAT</t>
  </si>
  <si>
    <t>C-F12</t>
  </si>
  <si>
    <t>AGGATTGAAC</t>
  </si>
  <si>
    <t>C-G01</t>
  </si>
  <si>
    <t>ACTAGCTGCA</t>
  </si>
  <si>
    <t>C-G02</t>
  </si>
  <si>
    <t>GTCGTAAACA</t>
  </si>
  <si>
    <t>C-G03</t>
  </si>
  <si>
    <t>CTACATACTC</t>
  </si>
  <si>
    <t>C-G04</t>
  </si>
  <si>
    <t>ACAAAGGTCT</t>
  </si>
  <si>
    <t>C-G05</t>
  </si>
  <si>
    <t>GTGAAACGTC</t>
  </si>
  <si>
    <t>C-G06</t>
  </si>
  <si>
    <t>GAAGCAATAG</t>
  </si>
  <si>
    <t>C-G07</t>
  </si>
  <si>
    <t>ACAGACCGTC</t>
  </si>
  <si>
    <t>C-G08</t>
  </si>
  <si>
    <t>ACAGGCGAAC</t>
  </si>
  <si>
    <t>C-G09</t>
  </si>
  <si>
    <t>ACGGGCAGTA</t>
  </si>
  <si>
    <t>C-G10</t>
  </si>
  <si>
    <t>GTAGCTTGAT</t>
  </si>
  <si>
    <t>C-G11</t>
  </si>
  <si>
    <t>ACGACTAACT</t>
  </si>
  <si>
    <t>C-G12</t>
  </si>
  <si>
    <t>TGCTTACCCA</t>
  </si>
  <si>
    <t>C-H01</t>
  </si>
  <si>
    <t>AGGACTAAAG</t>
  </si>
  <si>
    <t>C-H02</t>
  </si>
  <si>
    <t>CTAACGCGTC</t>
  </si>
  <si>
    <t>C-H03</t>
  </si>
  <si>
    <t>CACCTCTCCA</t>
  </si>
  <si>
    <t>C-H04</t>
  </si>
  <si>
    <t>ACGGATATCA</t>
  </si>
  <si>
    <t>C-H05</t>
  </si>
  <si>
    <t>CATCAAGATC</t>
  </si>
  <si>
    <t>C-H06</t>
  </si>
  <si>
    <t>CAGGGTAACT</t>
  </si>
  <si>
    <t>C-H07</t>
  </si>
  <si>
    <t>GATGCTGGCA</t>
  </si>
  <si>
    <t>C-H08</t>
  </si>
  <si>
    <t>CATGACCAGA</t>
  </si>
  <si>
    <t>C-H09</t>
  </si>
  <si>
    <t>CTACTGCCTG</t>
  </si>
  <si>
    <t>C-H10</t>
  </si>
  <si>
    <t>TGTGTCCGCA</t>
  </si>
  <si>
    <t>C-H11</t>
  </si>
  <si>
    <t>AGCAGGTGCA</t>
  </si>
  <si>
    <t>C-H12</t>
  </si>
  <si>
    <t>CAAGAGGGCT</t>
  </si>
  <si>
    <t>D-A01</t>
  </si>
  <si>
    <t>TCGCGACATC</t>
  </si>
  <si>
    <t>D-A02</t>
  </si>
  <si>
    <t>ACCCTATATC</t>
  </si>
  <si>
    <t>D-A03</t>
  </si>
  <si>
    <t>TCGTAAGCCA</t>
  </si>
  <si>
    <t>D-A04</t>
  </si>
  <si>
    <t>TCCGCGGATA</t>
  </si>
  <si>
    <t>D-A05</t>
  </si>
  <si>
    <t>CTACTCATCA</t>
  </si>
  <si>
    <t>D-A06</t>
  </si>
  <si>
    <t>CTTTGCAAAG</t>
  </si>
  <si>
    <t>D-A07</t>
  </si>
  <si>
    <t>GTCTGTTTAG</t>
  </si>
  <si>
    <t>D-A08</t>
  </si>
  <si>
    <t>ACGAGGATTA</t>
  </si>
  <si>
    <t>D-A09</t>
  </si>
  <si>
    <t>CACATGCTTA</t>
  </si>
  <si>
    <t>D-A10</t>
  </si>
  <si>
    <t>ATAAACGGGA</t>
  </si>
  <si>
    <t>D-A11</t>
  </si>
  <si>
    <t>ACACTTACCG</t>
  </si>
  <si>
    <t>D-A12</t>
  </si>
  <si>
    <t>GAACTAGGCT</t>
  </si>
  <si>
    <t>D-B01</t>
  </si>
  <si>
    <t>ACCGAATAAG</t>
  </si>
  <si>
    <t>D-B02</t>
  </si>
  <si>
    <t>GAATCCGCTC</t>
  </si>
  <si>
    <t>D-B03</t>
  </si>
  <si>
    <t>CGAACTACGA</t>
  </si>
  <si>
    <t>D-B04</t>
  </si>
  <si>
    <t>CACAACTGAG</t>
  </si>
  <si>
    <t>D-B05</t>
  </si>
  <si>
    <t>GAGTTATGGA</t>
  </si>
  <si>
    <t>D-B06</t>
  </si>
  <si>
    <t>ACAGTAAGCA</t>
  </si>
  <si>
    <t>D-B07</t>
  </si>
  <si>
    <t>ATCCTCCCAC</t>
  </si>
  <si>
    <t>D-B08</t>
  </si>
  <si>
    <t>CAAGCGAGCA</t>
  </si>
  <si>
    <t>D-B09</t>
  </si>
  <si>
    <t>TCGGGACGTA</t>
  </si>
  <si>
    <t>D-B10</t>
  </si>
  <si>
    <t>CTGCCCTATG</t>
  </si>
  <si>
    <t>D-B11</t>
  </si>
  <si>
    <t>GTCTTTGATC</t>
  </si>
  <si>
    <t>D-B12</t>
  </si>
  <si>
    <t>ACAAACAACG</t>
  </si>
  <si>
    <t>D-C01</t>
  </si>
  <si>
    <t>ACCGCCATAC</t>
  </si>
  <si>
    <t>D-C02</t>
  </si>
  <si>
    <t>CAGCGAATGA</t>
  </si>
  <si>
    <t>D-C03</t>
  </si>
  <si>
    <t>CACTTCCTAC</t>
  </si>
  <si>
    <t>D-C04</t>
  </si>
  <si>
    <t>TGTCATTCGT</t>
  </si>
  <si>
    <t>D-C05</t>
  </si>
  <si>
    <t>CATGGCTGAT</t>
  </si>
  <si>
    <t>D-C06</t>
  </si>
  <si>
    <t>GTAAGCGGAG</t>
  </si>
  <si>
    <t>D-C07</t>
  </si>
  <si>
    <t>CAAGTACCAT</t>
  </si>
  <si>
    <t>D-C08</t>
  </si>
  <si>
    <t>CGCTTATCTA</t>
  </si>
  <si>
    <t>D-C09</t>
  </si>
  <si>
    <t>TGGACCTAGT</t>
  </si>
  <si>
    <t>D-C10</t>
  </si>
  <si>
    <t>CAACGGACCT</t>
  </si>
  <si>
    <t>D-C11</t>
  </si>
  <si>
    <t>GTCCCATTGA</t>
  </si>
  <si>
    <t>D-C12</t>
  </si>
  <si>
    <t>ACGACAGCAG</t>
  </si>
  <si>
    <t>D-D01</t>
  </si>
  <si>
    <t>TGCGTGGAGA</t>
  </si>
  <si>
    <t>D-D02</t>
  </si>
  <si>
    <t>GCCATGGAAC</t>
  </si>
  <si>
    <t>D-D03</t>
  </si>
  <si>
    <t>TCGTACCTGC</t>
  </si>
  <si>
    <t>D-D04</t>
  </si>
  <si>
    <t>AGGTGTTTAC</t>
  </si>
  <si>
    <t>D-D05</t>
  </si>
  <si>
    <t>GCAAGTAAAC</t>
  </si>
  <si>
    <t>D-D06</t>
  </si>
  <si>
    <t>TGTGAACCTC</t>
  </si>
  <si>
    <t>D-D07</t>
  </si>
  <si>
    <t>GACCAGGTGT</t>
  </si>
  <si>
    <t>D-D08</t>
  </si>
  <si>
    <t>AGATTTACGC</t>
  </si>
  <si>
    <t>D-D09</t>
  </si>
  <si>
    <t>GACGTTATTC</t>
  </si>
  <si>
    <t>D-D10</t>
  </si>
  <si>
    <t>ACAAATCCCG</t>
  </si>
  <si>
    <t>D-D11</t>
  </si>
  <si>
    <t>CTACGGATGA</t>
  </si>
  <si>
    <t>D-D12</t>
  </si>
  <si>
    <t>CTATAGACCT</t>
  </si>
  <si>
    <t>D-E01</t>
  </si>
  <si>
    <t>TCTGAGGGTA</t>
  </si>
  <si>
    <t>D-E02</t>
  </si>
  <si>
    <t>TGGGATTCTG</t>
  </si>
  <si>
    <t>D-E03</t>
  </si>
  <si>
    <t>AGTACGAAAC</t>
  </si>
  <si>
    <t>D-E04</t>
  </si>
  <si>
    <t>AGCAATCTGC</t>
  </si>
  <si>
    <t>D-E05</t>
  </si>
  <si>
    <t>CTACTGGTAG</t>
  </si>
  <si>
    <t>D-E06</t>
  </si>
  <si>
    <t>TAGGTTAGAG</t>
  </si>
  <si>
    <t>D-E07</t>
  </si>
  <si>
    <t>CTAAACCGAC</t>
  </si>
  <si>
    <t>D-E08</t>
  </si>
  <si>
    <t>GAGAGTCGAC</t>
  </si>
  <si>
    <t>D-E09</t>
  </si>
  <si>
    <t>CACGGGCTAT</t>
  </si>
  <si>
    <t>D-E10</t>
  </si>
  <si>
    <t>GATGCCCAAG</t>
  </si>
  <si>
    <t>D-E11</t>
  </si>
  <si>
    <t>ACCAGATCCA</t>
  </si>
  <si>
    <t>D-E12</t>
  </si>
  <si>
    <t>CTCCCGTTTA</t>
  </si>
  <si>
    <t>D-F01</t>
  </si>
  <si>
    <t>GAGTCTCCAT</t>
  </si>
  <si>
    <t>D-F02</t>
  </si>
  <si>
    <t>GTACGTCCCT</t>
  </si>
  <si>
    <t>D-F03</t>
  </si>
  <si>
    <t>ATACTGGGCA</t>
  </si>
  <si>
    <t>D-F04</t>
  </si>
  <si>
    <t>GAAGCTGGGT</t>
  </si>
  <si>
    <t>D-F05</t>
  </si>
  <si>
    <t>TGTGAATGGC</t>
  </si>
  <si>
    <t>D-F06</t>
  </si>
  <si>
    <t>CTTCGGTCTG</t>
  </si>
  <si>
    <t>D-F07</t>
  </si>
  <si>
    <t>GAGTGAATCA</t>
  </si>
  <si>
    <t>D-F08</t>
  </si>
  <si>
    <t>ACCATCCGCA</t>
  </si>
  <si>
    <t>D-F09</t>
  </si>
  <si>
    <t>TCCGTGAAAC</t>
  </si>
  <si>
    <t>D-F10</t>
  </si>
  <si>
    <t>TCCTTCGACT</t>
  </si>
  <si>
    <t>D-F11</t>
  </si>
  <si>
    <t>ACAAGATAGC</t>
  </si>
  <si>
    <t>D-F12</t>
  </si>
  <si>
    <t>AGGTATGTAG</t>
  </si>
  <si>
    <t>D-G01</t>
  </si>
  <si>
    <t>ATCCAATCTC</t>
  </si>
  <si>
    <t>D-G02</t>
  </si>
  <si>
    <t>GTAGGCACTA</t>
  </si>
  <si>
    <t>D-G03</t>
  </si>
  <si>
    <t>GCCTCCCAAT</t>
  </si>
  <si>
    <t>D-G04</t>
  </si>
  <si>
    <t>TCGGGCTTGA</t>
  </si>
  <si>
    <t>D-G05</t>
  </si>
  <si>
    <t>ACAACCATTC</t>
  </si>
  <si>
    <t>D-G06</t>
  </si>
  <si>
    <t>GATGTTGCCG</t>
  </si>
  <si>
    <t>D-G07</t>
  </si>
  <si>
    <t>ACTTTGACGT</t>
  </si>
  <si>
    <t>D-G08</t>
  </si>
  <si>
    <t>ACCAAATCGT</t>
  </si>
  <si>
    <t>D-G09</t>
  </si>
  <si>
    <t>GATCCCGTCA</t>
  </si>
  <si>
    <t>D-G10</t>
  </si>
  <si>
    <t>CTTAGGCGAG</t>
  </si>
  <si>
    <t>D-G11</t>
  </si>
  <si>
    <t>GAAAGTAGGT</t>
  </si>
  <si>
    <t>D-G12</t>
  </si>
  <si>
    <t>TGCTGATTGA</t>
  </si>
  <si>
    <t>D-H01</t>
  </si>
  <si>
    <t>GACGACATGT</t>
  </si>
  <si>
    <t>D-H02</t>
  </si>
  <si>
    <t>CTCCACGCAT</t>
  </si>
  <si>
    <t>D-H03</t>
  </si>
  <si>
    <t>ACAAAGGAGA</t>
  </si>
  <si>
    <t>D-H04</t>
  </si>
  <si>
    <t>ACGCGTGAAC</t>
  </si>
  <si>
    <t>D-H05</t>
  </si>
  <si>
    <t>CTCTTGTTCT</t>
  </si>
  <si>
    <t>D-H06</t>
  </si>
  <si>
    <t>TGACACGGAT</t>
  </si>
  <si>
    <t>D-H07</t>
  </si>
  <si>
    <t>CTAGGTCTAT</t>
  </si>
  <si>
    <t>D-H08</t>
  </si>
  <si>
    <t>GAAGTGCAAG</t>
  </si>
  <si>
    <t>D-H09</t>
  </si>
  <si>
    <t>AGCCCGTTGT</t>
  </si>
  <si>
    <t>D-H10</t>
  </si>
  <si>
    <t>GAGGAAGCCA</t>
  </si>
  <si>
    <t>D-H11</t>
  </si>
  <si>
    <t>TCGCTTGGGA</t>
  </si>
  <si>
    <t>D-H12</t>
  </si>
  <si>
    <t>sample number</t>
  </si>
  <si>
    <t>Library kits:</t>
  </si>
  <si>
    <t>Human, 16 samples Probes, Set A</t>
  </si>
  <si>
    <t>Human, 16 samples Probes, Set B</t>
  </si>
  <si>
    <t>Human, 16 samples Probes, Set C</t>
  </si>
  <si>
    <t>Human, 16 samples Probes, Set D</t>
  </si>
  <si>
    <t>Human, 96 samples Probes, Set A</t>
  </si>
  <si>
    <t>Human, 96 samples Probes, Set B</t>
  </si>
  <si>
    <t>Human, 96 samples Probes, Set C</t>
  </si>
  <si>
    <t>Human, 96 samples Probes, Set D</t>
  </si>
  <si>
    <t>Mouse, 16 samples Probes, Set A</t>
  </si>
  <si>
    <t>Mouse, 96 samples Probes, Set A</t>
  </si>
  <si>
    <t>Mouse, 16 samples Probes, Set B</t>
  </si>
  <si>
    <t>Mouse, 96 samples Probes, Set B</t>
  </si>
  <si>
    <t>Mouse, 16 samples Probes, Set C</t>
  </si>
  <si>
    <t>Mouse, 96 samples Probes, Set C</t>
  </si>
  <si>
    <t>Mouse, 16 samples Probes, Set D</t>
  </si>
  <si>
    <t>Mouse, 96 samples Probes, Set D</t>
  </si>
  <si>
    <t>PN-1000896;PN-1000904;PN-1000918;PN-1000791;PN-1000251;PN-1000902;PN-1000894</t>
  </si>
  <si>
    <t>PN-1000896;PN-1000904;PN-1000918;PN-1000791;PN-1000251;PN-1000902;PN-1000897</t>
  </si>
  <si>
    <t>PN-1000896;PN-1000904;PN-1000918;PN-1000791;PN-1000251;PN-1000902;PN-1000898</t>
  </si>
  <si>
    <t>PN-1000896;PN-1000904;PN-1000918;PN-1000791;PN-1000251;PN-1000902;PN-1000899</t>
  </si>
  <si>
    <t>PN-1000896;PN-1000904;PN-1000918;PN-1000791;PN-1000251;PN-1000903;PN-1000894</t>
  </si>
  <si>
    <t>PN-1000896;PN-1000904;PN-1000918;PN-1000791;PN-1000251;PN-1000903;PN-1000897</t>
  </si>
  <si>
    <t>PN-1000896;PN-1000904;PN-1000918;PN-1000791;PN-1000251;PN-1000903;PN-1000898</t>
  </si>
  <si>
    <t>PN-1000896;PN-1000904;PN-1000918;PN-1000791;PN-1000251;PN-1000903;PN-1000899</t>
  </si>
  <si>
    <t>PN-1000896;PN-1000904;PN-1000918;PN-1000791;PN-1000251;PN-1000900;PN-1000894</t>
  </si>
  <si>
    <t>PN-1000896;PN-1000904;PN-1000918;PN-1000791;PN-1000251;PN-1000900;PN-1000897</t>
  </si>
  <si>
    <t>PN-1000896;PN-1000904;PN-1000918;PN-1000791;PN-1000251;PN-1000900;PN-1000898</t>
  </si>
  <si>
    <t>PN-1000896;PN-1000904;PN-1000918;PN-1000791;PN-1000251;PN-1000900;PN-1000899</t>
  </si>
  <si>
    <t>PN-1000896;PN-1000904;PN-1000918;PN-1000791;PN-1000251;PN-1000901;PN-1000894</t>
  </si>
  <si>
    <t>PN-1000896;PN-1000904;PN-1000918;PN-1000791;PN-1000251;PN-1000901;PN-1000897</t>
  </si>
  <si>
    <t>PN-1000896;PN-1000904;PN-1000918;PN-1000791;PN-1000251;PN-1000901;PN-1000898</t>
  </si>
  <si>
    <t>PN-1000896;PN-1000904;PN-1000918;PN-1000791;PN-1000251;PN-1000901;PN-1000899</t>
  </si>
  <si>
    <t>Vsample [µL]= (N * 29000)/(c[cells/µL]</t>
  </si>
  <si>
    <t>Vbuffer = 34.7 µL - Vsample</t>
  </si>
  <si>
    <t>Remove samples from barcode incubation and keep at RT for 10 min</t>
  </si>
  <si>
    <t>Preheat a heat block to 37°C</t>
  </si>
  <si>
    <t>Remove the supernatant without disturbing the pellet. Resuspend cell pellet in 1 mL Post- Hyb Wash Buffer B and transfer to 1.5 mL microcentrifuge tube.</t>
  </si>
  <si>
    <t>DNA copies starting material</t>
  </si>
  <si>
    <t>we only take 10µL --&gt; 1/10th of starting material</t>
  </si>
  <si>
    <t>number of DNA copies after 11 cycles assiuming 100% efficiency</t>
  </si>
  <si>
    <t>moles after 11 cycles</t>
  </si>
  <si>
    <t>molecular weight of 280bp dsDNA</t>
  </si>
  <si>
    <t>µg total after 11 cycles</t>
  </si>
  <si>
    <t>ng/µL in 40 µL</t>
  </si>
  <si>
    <t>HAVE A LOOOK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</si>
</sst>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89">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sz val="12"/>
      <color rgb="FFCC99FF"/>
      <name val="Calibri"/>
      <family val="2"/>
      <scheme val="minor"/>
    </font>
    <font>
      <sz val="12"/>
      <color rgb="FFFFC000"/>
      <name val="Calibri"/>
      <family val="2"/>
      <scheme val="minor"/>
    </font>
    <font>
      <sz val="11"/>
      <color rgb="FFFF0000"/>
      <name val="Calibri (Body)"/>
    </font>
    <font>
      <sz val="11"/>
      <color rgb="FF000000"/>
      <name val="Aptos Narrow"/>
      <family val="2"/>
    </font>
    <font>
      <i/>
      <sz val="11"/>
      <color theme="1"/>
      <name val="Calibri"/>
      <family val="2"/>
      <scheme val="minor"/>
    </font>
    <font>
      <b/>
      <sz val="11"/>
      <color theme="2" tint="-0.499984740745262"/>
      <name val="Calibri"/>
      <family val="2"/>
      <scheme val="minor"/>
    </font>
    <font>
      <sz val="10"/>
      <color theme="2" tint="-0.499984740745262"/>
      <name val="Calibri"/>
      <family val="2"/>
      <scheme val="minor"/>
    </font>
    <font>
      <sz val="11"/>
      <color theme="2" tint="-0.499984740745262"/>
      <name val="Calibri"/>
      <family val="2"/>
      <scheme val="minor"/>
    </font>
    <font>
      <b/>
      <sz val="12"/>
      <color rgb="FFCC99FF"/>
      <name val="Calibri"/>
      <family val="2"/>
      <scheme val="minor"/>
    </font>
    <font>
      <b/>
      <sz val="12"/>
      <color rgb="FF00B0F0"/>
      <name val="Calibri"/>
      <family val="2"/>
      <scheme val="minor"/>
    </font>
    <font>
      <b/>
      <sz val="12"/>
      <color rgb="FFFFC000"/>
      <name val="Calibri"/>
      <family val="2"/>
      <scheme val="minor"/>
    </font>
    <font>
      <b/>
      <sz val="12"/>
      <color rgb="FF363636"/>
      <name val="Math"/>
    </font>
    <font>
      <sz val="12"/>
      <color rgb="FF0A0C0F"/>
      <name val="Courier New"/>
      <family val="3"/>
    </font>
    <font>
      <sz val="10"/>
      <color rgb="FF000000"/>
      <name val="Arial Unicode MS"/>
    </font>
  </fonts>
  <fills count="5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
      <patternFill patternType="solid">
        <fgColor theme="8" tint="0.59999389629810485"/>
        <bgColor indexed="64"/>
      </patternFill>
    </fill>
    <fill>
      <patternFill patternType="solid">
        <fgColor rgb="FF15DBCD"/>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bottom style="medium">
        <color indexed="64"/>
      </bottom>
      <diagonal/>
    </border>
  </borders>
  <cellStyleXfs count="45">
    <xf numFmtId="0" fontId="0" fillId="0" borderId="0"/>
    <xf numFmtId="0" fontId="4" fillId="0" borderId="0" applyNumberFormat="0" applyFill="0" applyBorder="0" applyAlignment="0" applyProtection="0"/>
    <xf numFmtId="0" fontId="5" fillId="0" borderId="3" applyNumberFormat="0" applyFill="0" applyAlignment="0" applyProtection="0"/>
    <xf numFmtId="0" fontId="6" fillId="0" borderId="4" applyNumberFormat="0" applyFill="0" applyAlignment="0" applyProtection="0"/>
    <xf numFmtId="0" fontId="7" fillId="0" borderId="5"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6" applyNumberFormat="0" applyAlignment="0" applyProtection="0"/>
    <xf numFmtId="0" fontId="12" fillId="6" borderId="7" applyNumberFormat="0" applyAlignment="0" applyProtection="0"/>
    <xf numFmtId="0" fontId="13" fillId="6" borderId="6" applyNumberFormat="0" applyAlignment="0" applyProtection="0"/>
    <xf numFmtId="0" fontId="14" fillId="0" borderId="8" applyNumberFormat="0" applyFill="0" applyAlignment="0" applyProtection="0"/>
    <xf numFmtId="0" fontId="15" fillId="7" borderId="9" applyNumberFormat="0" applyAlignment="0" applyProtection="0"/>
    <xf numFmtId="0" fontId="16" fillId="0" borderId="0" applyNumberFormat="0" applyFill="0" applyBorder="0" applyAlignment="0" applyProtection="0"/>
    <xf numFmtId="0" fontId="3" fillId="8" borderId="10" applyNumberFormat="0" applyFont="0" applyAlignment="0" applyProtection="0"/>
    <xf numFmtId="0" fontId="17" fillId="0" borderId="0" applyNumberFormat="0" applyFill="0" applyBorder="0" applyAlignment="0" applyProtection="0"/>
    <xf numFmtId="0" fontId="2" fillId="0" borderId="11" applyNumberFormat="0" applyFill="0" applyAlignment="0" applyProtection="0"/>
    <xf numFmtId="0" fontId="18"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18"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18"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18"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18"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18"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19" fillId="0" borderId="0" applyNumberFormat="0" applyFill="0" applyBorder="0" applyProtection="0">
      <alignment vertical="top" wrapText="1"/>
    </xf>
    <xf numFmtId="0" fontId="23" fillId="0" borderId="0"/>
    <xf numFmtId="0" fontId="28" fillId="0" borderId="0"/>
  </cellStyleXfs>
  <cellXfs count="477">
    <xf numFmtId="0" fontId="0" fillId="0" borderId="0" xfId="0"/>
    <xf numFmtId="0" fontId="0" fillId="0" borderId="1" xfId="0" applyBorder="1"/>
    <xf numFmtId="0" fontId="22"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8" fillId="35" borderId="0" xfId="44" applyFill="1"/>
    <xf numFmtId="0" fontId="24" fillId="33" borderId="0" xfId="43" applyFont="1" applyFill="1" applyAlignment="1">
      <alignment horizontal="center" vertical="center"/>
    </xf>
    <xf numFmtId="0" fontId="25" fillId="33" borderId="0" xfId="43" applyFont="1" applyFill="1" applyAlignment="1">
      <alignment horizontal="left" vertical="center"/>
    </xf>
    <xf numFmtId="0" fontId="32" fillId="35" borderId="0" xfId="44" applyFont="1" applyFill="1" applyAlignment="1">
      <alignment horizontal="center" vertical="center" wrapText="1"/>
    </xf>
    <xf numFmtId="0" fontId="30" fillId="35" borderId="0" xfId="44" applyFont="1" applyFill="1" applyAlignment="1">
      <alignment horizontal="center" vertical="center"/>
    </xf>
    <xf numFmtId="0" fontId="30" fillId="35" borderId="0" xfId="44" applyFont="1" applyFill="1" applyAlignment="1">
      <alignment vertical="center"/>
    </xf>
    <xf numFmtId="0" fontId="32" fillId="35" borderId="0" xfId="44" applyFont="1" applyFill="1" applyAlignment="1">
      <alignment horizontal="center" vertical="center"/>
    </xf>
    <xf numFmtId="49" fontId="34" fillId="33" borderId="0" xfId="44" applyNumberFormat="1" applyFont="1" applyFill="1" applyAlignment="1">
      <alignment horizontal="right" vertical="center" indent="1"/>
    </xf>
    <xf numFmtId="0" fontId="36" fillId="35" borderId="0" xfId="44" applyFont="1" applyFill="1" applyAlignment="1">
      <alignment horizontal="center" vertical="center" wrapText="1"/>
    </xf>
    <xf numFmtId="0" fontId="28" fillId="35" borderId="0" xfId="44" applyFill="1" applyAlignment="1">
      <alignment vertical="center"/>
    </xf>
    <xf numFmtId="49" fontId="34" fillId="33" borderId="0" xfId="44" applyNumberFormat="1" applyFont="1" applyFill="1" applyAlignment="1">
      <alignment horizontal="right" vertical="top" indent="1"/>
    </xf>
    <xf numFmtId="0" fontId="38" fillId="33" borderId="0" xfId="44" applyFont="1" applyFill="1" applyAlignment="1">
      <alignment horizontal="left"/>
    </xf>
    <xf numFmtId="0" fontId="38" fillId="33" borderId="0" xfId="44" applyFont="1" applyFill="1" applyAlignment="1">
      <alignment horizontal="center" vertical="center" wrapText="1"/>
    </xf>
    <xf numFmtId="0" fontId="40" fillId="36" borderId="13" xfId="44" applyFont="1" applyFill="1" applyBorder="1" applyAlignment="1">
      <alignment horizontal="center" vertical="center"/>
    </xf>
    <xf numFmtId="0" fontId="41" fillId="37" borderId="14" xfId="44" applyFont="1" applyFill="1" applyBorder="1" applyAlignment="1">
      <alignment horizontal="center" vertical="center" wrapText="1"/>
    </xf>
    <xf numFmtId="0" fontId="40" fillId="34" borderId="15" xfId="44" applyFont="1" applyFill="1" applyBorder="1" applyAlignment="1">
      <alignment horizontal="center" vertical="center" wrapText="1"/>
    </xf>
    <xf numFmtId="0" fontId="40" fillId="36" borderId="14"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0" fillId="36" borderId="16" xfId="44" applyFont="1" applyFill="1" applyBorder="1" applyAlignment="1">
      <alignment horizontal="center" vertical="center" wrapText="1"/>
    </xf>
    <xf numFmtId="0" fontId="40" fillId="38" borderId="16" xfId="44" applyFont="1" applyFill="1" applyBorder="1" applyAlignment="1">
      <alignment horizontal="center" vertical="center" wrapText="1"/>
    </xf>
    <xf numFmtId="0" fontId="40" fillId="36" borderId="17" xfId="44" applyFont="1" applyFill="1" applyBorder="1" applyAlignment="1">
      <alignment horizontal="center" vertical="center" wrapText="1"/>
    </xf>
    <xf numFmtId="0" fontId="44" fillId="0" borderId="18" xfId="44" applyFont="1" applyBorder="1" applyAlignment="1">
      <alignment horizontal="center" vertical="center" wrapText="1"/>
    </xf>
    <xf numFmtId="3" fontId="38" fillId="33" borderId="19" xfId="44" applyNumberFormat="1" applyFont="1" applyFill="1" applyBorder="1" applyAlignment="1">
      <alignment horizontal="center"/>
    </xf>
    <xf numFmtId="164" fontId="35" fillId="39" borderId="20" xfId="44" applyNumberFormat="1" applyFont="1" applyFill="1" applyBorder="1" applyAlignment="1" applyProtection="1">
      <alignment horizontal="center" vertical="center"/>
      <protection locked="0"/>
    </xf>
    <xf numFmtId="165" fontId="32" fillId="39" borderId="21" xfId="44" applyNumberFormat="1" applyFont="1" applyFill="1" applyBorder="1" applyAlignment="1" applyProtection="1">
      <alignment horizontal="center"/>
      <protection locked="0"/>
    </xf>
    <xf numFmtId="3" fontId="32" fillId="33" borderId="0" xfId="44" applyNumberFormat="1" applyFont="1" applyFill="1" applyAlignment="1">
      <alignment horizontal="center"/>
    </xf>
    <xf numFmtId="9" fontId="32" fillId="33" borderId="0" xfId="44" applyNumberFormat="1" applyFont="1" applyFill="1" applyAlignment="1">
      <alignment horizontal="center"/>
    </xf>
    <xf numFmtId="166" fontId="38" fillId="40" borderId="0" xfId="44" applyNumberFormat="1" applyFont="1" applyFill="1" applyAlignment="1">
      <alignment horizontal="center"/>
    </xf>
    <xf numFmtId="3" fontId="32" fillId="33" borderId="22" xfId="44" applyNumberFormat="1" applyFont="1" applyFill="1" applyBorder="1" applyAlignment="1">
      <alignment horizontal="center"/>
    </xf>
    <xf numFmtId="3" fontId="32" fillId="0" borderId="23" xfId="44" applyNumberFormat="1" applyFont="1" applyBorder="1" applyAlignment="1">
      <alignment horizontal="center"/>
    </xf>
    <xf numFmtId="3" fontId="38" fillId="41" borderId="19" xfId="44" applyNumberFormat="1" applyFont="1" applyFill="1" applyBorder="1" applyAlignment="1">
      <alignment horizontal="center"/>
    </xf>
    <xf numFmtId="164" fontId="35" fillId="42" borderId="20" xfId="44" applyNumberFormat="1" applyFont="1" applyFill="1" applyBorder="1" applyAlignment="1" applyProtection="1">
      <alignment horizontal="center" vertical="center"/>
      <protection locked="0"/>
    </xf>
    <xf numFmtId="165" fontId="32" fillId="42" borderId="21" xfId="44" applyNumberFormat="1" applyFont="1" applyFill="1" applyBorder="1" applyAlignment="1" applyProtection="1">
      <alignment horizontal="center"/>
      <protection locked="0"/>
    </xf>
    <xf numFmtId="3" fontId="32" fillId="41" borderId="0" xfId="44" applyNumberFormat="1" applyFont="1" applyFill="1" applyAlignment="1">
      <alignment horizontal="center"/>
    </xf>
    <xf numFmtId="9" fontId="32" fillId="41" borderId="0" xfId="44" applyNumberFormat="1" applyFont="1" applyFill="1" applyAlignment="1">
      <alignment horizontal="center"/>
    </xf>
    <xf numFmtId="166" fontId="38" fillId="43" borderId="0" xfId="44" applyNumberFormat="1" applyFont="1" applyFill="1" applyAlignment="1">
      <alignment horizontal="center"/>
    </xf>
    <xf numFmtId="3" fontId="32" fillId="41" borderId="22" xfId="44" applyNumberFormat="1" applyFont="1" applyFill="1" applyBorder="1" applyAlignment="1">
      <alignment horizontal="center"/>
    </xf>
    <xf numFmtId="166" fontId="34" fillId="40" borderId="0" xfId="44" applyNumberFormat="1" applyFont="1" applyFill="1" applyAlignment="1">
      <alignment horizontal="center"/>
    </xf>
    <xf numFmtId="3" fontId="38" fillId="41" borderId="24" xfId="44" applyNumberFormat="1" applyFont="1" applyFill="1" applyBorder="1" applyAlignment="1">
      <alignment horizontal="center"/>
    </xf>
    <xf numFmtId="164" fontId="45" fillId="44" borderId="12" xfId="44" applyNumberFormat="1" applyFont="1" applyFill="1" applyBorder="1" applyAlignment="1" applyProtection="1">
      <alignment horizontal="center" vertical="center"/>
      <protection locked="0"/>
    </xf>
    <xf numFmtId="165" fontId="29" fillId="44" borderId="25" xfId="44" applyNumberFormat="1" applyFont="1" applyFill="1" applyBorder="1" applyAlignment="1" applyProtection="1">
      <alignment horizontal="center"/>
      <protection locked="0"/>
    </xf>
    <xf numFmtId="3" fontId="32" fillId="41" borderId="12" xfId="44" applyNumberFormat="1" applyFont="1" applyFill="1" applyBorder="1" applyAlignment="1">
      <alignment horizontal="center"/>
    </xf>
    <xf numFmtId="9" fontId="32" fillId="41" borderId="12" xfId="44" applyNumberFormat="1" applyFont="1" applyFill="1" applyBorder="1" applyAlignment="1">
      <alignment horizontal="center"/>
    </xf>
    <xf numFmtId="166" fontId="38" fillId="43" borderId="12" xfId="44" applyNumberFormat="1" applyFont="1" applyFill="1" applyBorder="1" applyAlignment="1">
      <alignment horizontal="center"/>
    </xf>
    <xf numFmtId="3" fontId="32" fillId="41" borderId="26" xfId="44" applyNumberFormat="1" applyFont="1" applyFill="1" applyBorder="1" applyAlignment="1">
      <alignment horizontal="center"/>
    </xf>
    <xf numFmtId="3" fontId="32" fillId="0" borderId="27" xfId="44" applyNumberFormat="1" applyFont="1" applyBorder="1" applyAlignment="1">
      <alignment horizontal="center"/>
    </xf>
    <xf numFmtId="0" fontId="28" fillId="33" borderId="0" xfId="44" applyFill="1" applyAlignment="1">
      <alignment horizontal="left"/>
    </xf>
    <xf numFmtId="0" fontId="35" fillId="35" borderId="0" xfId="44" applyFont="1" applyFill="1"/>
    <xf numFmtId="0" fontId="46" fillId="33" borderId="0" xfId="44" applyFont="1" applyFill="1" applyAlignment="1">
      <alignment horizontal="left"/>
    </xf>
    <xf numFmtId="0" fontId="41" fillId="36" borderId="28" xfId="44" applyFont="1" applyFill="1" applyBorder="1" applyAlignment="1">
      <alignment horizontal="center" vertical="center" wrapText="1"/>
    </xf>
    <xf numFmtId="0" fontId="41" fillId="36" borderId="29" xfId="44" applyFont="1" applyFill="1" applyBorder="1" applyAlignment="1">
      <alignment horizontal="center" vertical="center" wrapText="1"/>
    </xf>
    <xf numFmtId="0" fontId="41" fillId="36" borderId="30" xfId="44" applyFont="1" applyFill="1" applyBorder="1" applyAlignment="1">
      <alignment horizontal="center" vertical="center" wrapText="1"/>
    </xf>
    <xf numFmtId="0" fontId="48" fillId="33" borderId="31" xfId="44" applyFont="1" applyFill="1" applyBorder="1" applyAlignment="1">
      <alignment horizontal="center" vertical="center"/>
    </xf>
    <xf numFmtId="3" fontId="48" fillId="33" borderId="32" xfId="44" applyNumberFormat="1" applyFont="1" applyFill="1" applyBorder="1" applyAlignment="1">
      <alignment horizontal="center" vertical="center"/>
    </xf>
    <xf numFmtId="3" fontId="48" fillId="33" borderId="33" xfId="44" applyNumberFormat="1" applyFont="1" applyFill="1" applyBorder="1" applyAlignment="1">
      <alignment horizontal="center" vertical="center"/>
    </xf>
    <xf numFmtId="0" fontId="28" fillId="33" borderId="0" xfId="44" applyFill="1"/>
    <xf numFmtId="167" fontId="45" fillId="33" borderId="0" xfId="44" applyNumberFormat="1" applyFont="1" applyFill="1" applyAlignment="1">
      <alignment horizontal="center" vertical="center"/>
    </xf>
    <xf numFmtId="168" fontId="29" fillId="33" borderId="0" xfId="44" applyNumberFormat="1" applyFont="1" applyFill="1" applyAlignment="1">
      <alignment horizontal="center"/>
    </xf>
    <xf numFmtId="0" fontId="32" fillId="33" borderId="0" xfId="44" applyFont="1" applyFill="1" applyAlignment="1">
      <alignment horizontal="center"/>
    </xf>
    <xf numFmtId="0" fontId="49" fillId="45" borderId="28" xfId="44" applyFont="1" applyFill="1" applyBorder="1" applyAlignment="1">
      <alignment horizontal="center" vertical="center"/>
    </xf>
    <xf numFmtId="0" fontId="49" fillId="45" borderId="29" xfId="44" applyFont="1" applyFill="1" applyBorder="1" applyAlignment="1">
      <alignment horizontal="center" vertical="center"/>
    </xf>
    <xf numFmtId="167" fontId="49" fillId="45" borderId="29" xfId="44" applyNumberFormat="1" applyFont="1" applyFill="1" applyBorder="1" applyAlignment="1">
      <alignment horizontal="center" vertical="center"/>
    </xf>
    <xf numFmtId="168" fontId="49" fillId="45" borderId="30" xfId="44" applyNumberFormat="1" applyFont="1" applyFill="1" applyBorder="1" applyAlignment="1">
      <alignment horizontal="center" vertical="center"/>
    </xf>
    <xf numFmtId="0" fontId="32" fillId="33" borderId="0" xfId="44" applyFont="1" applyFill="1" applyAlignment="1">
      <alignment wrapText="1"/>
    </xf>
    <xf numFmtId="0" fontId="35" fillId="33" borderId="34" xfId="44" applyFont="1" applyFill="1" applyBorder="1" applyAlignment="1">
      <alignment horizontal="center" vertical="center" wrapText="1"/>
    </xf>
    <xf numFmtId="0" fontId="35" fillId="33" borderId="0" xfId="44" applyFont="1" applyFill="1" applyAlignment="1">
      <alignment horizontal="center" vertical="center"/>
    </xf>
    <xf numFmtId="168" fontId="29" fillId="33" borderId="0" xfId="44" applyNumberFormat="1" applyFont="1" applyFill="1" applyAlignment="1">
      <alignment horizontal="center" vertical="center"/>
    </xf>
    <xf numFmtId="0" fontId="32" fillId="33" borderId="35" xfId="44" applyFont="1" applyFill="1" applyBorder="1" applyAlignment="1">
      <alignment horizontal="center" vertical="center" wrapText="1"/>
    </xf>
    <xf numFmtId="0" fontId="35" fillId="46" borderId="34" xfId="44" applyFont="1" applyFill="1" applyBorder="1" applyAlignment="1">
      <alignment horizontal="center" vertical="center" wrapText="1"/>
    </xf>
    <xf numFmtId="0" fontId="35" fillId="46" borderId="0" xfId="44" applyFont="1" applyFill="1" applyAlignment="1">
      <alignment horizontal="center" vertical="center"/>
    </xf>
    <xf numFmtId="168" fontId="29" fillId="46" borderId="0" xfId="44" applyNumberFormat="1" applyFont="1" applyFill="1" applyAlignment="1">
      <alignment horizontal="center" vertical="center"/>
    </xf>
    <xf numFmtId="0" fontId="32" fillId="46" borderId="35" xfId="44" applyFont="1" applyFill="1" applyBorder="1" applyAlignment="1">
      <alignment horizontal="center" vertical="center" wrapText="1"/>
    </xf>
    <xf numFmtId="0" fontId="28" fillId="33" borderId="0" xfId="44" applyFill="1" applyAlignment="1">
      <alignment horizontal="center" vertical="center"/>
    </xf>
    <xf numFmtId="0" fontId="28" fillId="46" borderId="0" xfId="44" applyFill="1" applyAlignment="1">
      <alignment horizontal="center" vertical="center"/>
    </xf>
    <xf numFmtId="0" fontId="28" fillId="33" borderId="34" xfId="44" applyFill="1" applyBorder="1" applyAlignment="1">
      <alignment horizontal="center" vertical="center" wrapText="1"/>
    </xf>
    <xf numFmtId="0" fontId="32" fillId="33" borderId="0" xfId="44" applyFont="1" applyFill="1" applyAlignment="1">
      <alignment horizontal="center" vertical="center"/>
    </xf>
    <xf numFmtId="0" fontId="28" fillId="46" borderId="34" xfId="44" applyFill="1" applyBorder="1" applyAlignment="1">
      <alignment horizontal="center" vertical="center" wrapText="1"/>
    </xf>
    <xf numFmtId="167" fontId="45" fillId="46" borderId="0" xfId="44" applyNumberFormat="1" applyFont="1" applyFill="1" applyAlignment="1">
      <alignment horizontal="center" vertical="center"/>
    </xf>
    <xf numFmtId="0" fontId="28" fillId="33" borderId="31" xfId="44" applyFill="1" applyBorder="1" applyAlignment="1">
      <alignment horizontal="center" vertical="center" wrapText="1"/>
    </xf>
    <xf numFmtId="0" fontId="28" fillId="33" borderId="32" xfId="44" applyFill="1" applyBorder="1" applyAlignment="1">
      <alignment horizontal="center" vertical="center"/>
    </xf>
    <xf numFmtId="0" fontId="32" fillId="33" borderId="33" xfId="44" applyFont="1" applyFill="1" applyBorder="1" applyAlignment="1">
      <alignment horizontal="center" vertical="center" wrapText="1"/>
    </xf>
    <xf numFmtId="0" fontId="32" fillId="35" borderId="0" xfId="44" applyFont="1" applyFill="1" applyAlignment="1">
      <alignment horizontal="center"/>
    </xf>
    <xf numFmtId="9" fontId="32" fillId="35" borderId="0" xfId="44" applyNumberFormat="1" applyFont="1" applyFill="1" applyAlignment="1">
      <alignment horizontal="center"/>
    </xf>
    <xf numFmtId="0" fontId="21" fillId="0" borderId="1" xfId="0" applyFont="1" applyBorder="1" applyAlignment="1">
      <alignment horizontal="center" vertical="center" wrapText="1"/>
    </xf>
    <xf numFmtId="0" fontId="50" fillId="0" borderId="0" xfId="0" applyFont="1"/>
    <xf numFmtId="0" fontId="32" fillId="47" borderId="1" xfId="0" applyFont="1" applyFill="1" applyBorder="1" applyAlignment="1">
      <alignment horizontal="center" vertical="center"/>
    </xf>
    <xf numFmtId="0" fontId="54" fillId="0" borderId="0" xfId="0" applyFont="1" applyAlignment="1">
      <alignment horizontal="center" vertical="center"/>
    </xf>
    <xf numFmtId="0" fontId="2" fillId="0" borderId="38" xfId="0" applyFont="1" applyBorder="1" applyAlignment="1">
      <alignment horizontal="center" vertical="center" wrapText="1"/>
    </xf>
    <xf numFmtId="0" fontId="20" fillId="0" borderId="0" xfId="0" applyFont="1" applyAlignment="1">
      <alignment vertical="center"/>
    </xf>
    <xf numFmtId="0" fontId="55" fillId="0" borderId="0" xfId="0" applyFont="1" applyAlignment="1">
      <alignment vertical="center"/>
    </xf>
    <xf numFmtId="0" fontId="0" fillId="0" borderId="0" xfId="0" applyAlignment="1">
      <alignment vertical="center"/>
    </xf>
    <xf numFmtId="0" fontId="55" fillId="0" borderId="0" xfId="0" applyFont="1"/>
    <xf numFmtId="0" fontId="32" fillId="0" borderId="1" xfId="0" applyFont="1" applyBorder="1" applyAlignment="1">
      <alignment horizontal="center" vertical="center" wrapText="1"/>
    </xf>
    <xf numFmtId="0" fontId="0" fillId="0" borderId="0" xfId="0" applyAlignment="1">
      <alignment horizontal="center" vertical="center"/>
    </xf>
    <xf numFmtId="0" fontId="20" fillId="0" borderId="0" xfId="0" applyFont="1" applyAlignment="1">
      <alignment horizontal="center" vertical="center"/>
    </xf>
    <xf numFmtId="0" fontId="20" fillId="0" borderId="1" xfId="0" applyFont="1" applyBorder="1" applyAlignment="1">
      <alignment horizontal="center" vertical="center"/>
    </xf>
    <xf numFmtId="0" fontId="0" fillId="0" borderId="40" xfId="0" applyBorder="1" applyAlignment="1">
      <alignment horizontal="center" vertical="center"/>
    </xf>
    <xf numFmtId="0" fontId="16" fillId="0" borderId="0" xfId="0" applyFont="1" applyAlignment="1">
      <alignment vertical="center"/>
    </xf>
    <xf numFmtId="0" fontId="50" fillId="0" borderId="0" xfId="0" applyFont="1" applyAlignment="1">
      <alignment horizontal="center"/>
    </xf>
    <xf numFmtId="0" fontId="50" fillId="0" borderId="0" xfId="0" applyFont="1" applyAlignment="1">
      <alignment horizontal="right"/>
    </xf>
    <xf numFmtId="0" fontId="54" fillId="0" borderId="1" xfId="0" applyFont="1" applyBorder="1" applyAlignment="1">
      <alignment horizontal="center" vertical="center"/>
    </xf>
    <xf numFmtId="0" fontId="20"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2" fillId="0" borderId="0" xfId="0" applyFont="1" applyAlignment="1">
      <alignment wrapText="1"/>
    </xf>
    <xf numFmtId="0" fontId="32" fillId="0" borderId="0" xfId="0" applyFont="1" applyAlignment="1">
      <alignment wrapText="1"/>
    </xf>
    <xf numFmtId="0" fontId="2"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2" fillId="0" borderId="1" xfId="0" applyFont="1" applyBorder="1" applyAlignment="1">
      <alignment vertical="center" wrapText="1"/>
    </xf>
    <xf numFmtId="0" fontId="0" fillId="0" borderId="1" xfId="0" applyBorder="1" applyAlignment="1">
      <alignment vertical="center" wrapText="1"/>
    </xf>
    <xf numFmtId="0" fontId="57" fillId="0" borderId="0" xfId="0" applyFont="1"/>
    <xf numFmtId="0" fontId="32"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8"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6" fillId="0" borderId="0" xfId="0" applyFont="1"/>
    <xf numFmtId="0" fontId="56" fillId="0" borderId="0" xfId="0" applyFont="1" applyAlignment="1">
      <alignment horizontal="center" vertical="center"/>
    </xf>
    <xf numFmtId="0" fontId="50" fillId="0" borderId="0" xfId="0" applyFont="1" applyAlignment="1">
      <alignment horizontal="center" vertical="center"/>
    </xf>
    <xf numFmtId="0" fontId="59" fillId="0" borderId="0" xfId="0" applyFont="1"/>
    <xf numFmtId="0" fontId="59" fillId="0" borderId="0" xfId="0" applyFont="1" applyAlignment="1">
      <alignment vertical="center"/>
    </xf>
    <xf numFmtId="0" fontId="60" fillId="0" borderId="47" xfId="0" applyFont="1" applyBorder="1" applyAlignment="1">
      <alignment vertical="center" wrapText="1"/>
    </xf>
    <xf numFmtId="0" fontId="0" fillId="0" borderId="47" xfId="0" applyBorder="1" applyAlignment="1">
      <alignment horizontal="center" vertical="center" wrapText="1"/>
    </xf>
    <xf numFmtId="0" fontId="32" fillId="0" borderId="40" xfId="0" applyFont="1" applyBorder="1" applyAlignment="1">
      <alignment wrapText="1"/>
    </xf>
    <xf numFmtId="0" fontId="38" fillId="0" borderId="38" xfId="0" applyFont="1" applyBorder="1" applyAlignment="1">
      <alignment horizontal="center" vertical="center" wrapText="1"/>
    </xf>
    <xf numFmtId="0" fontId="61" fillId="0" borderId="0" xfId="0" applyFont="1" applyAlignment="1">
      <alignment vertical="center"/>
    </xf>
    <xf numFmtId="0" fontId="32" fillId="0" borderId="40" xfId="0" applyFont="1" applyBorder="1" applyAlignment="1">
      <alignment horizontal="center" vertical="center" wrapText="1"/>
    </xf>
    <xf numFmtId="0" fontId="32" fillId="0" borderId="47" xfId="0" applyFont="1" applyBorder="1" applyAlignment="1">
      <alignment vertical="center"/>
    </xf>
    <xf numFmtId="0" fontId="2" fillId="0" borderId="1" xfId="0" applyFont="1" applyBorder="1" applyAlignment="1">
      <alignment horizontal="center" vertical="center" wrapText="1"/>
    </xf>
    <xf numFmtId="0" fontId="2"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0"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8" fillId="0" borderId="39" xfId="0" applyFont="1" applyBorder="1" applyAlignment="1">
      <alignment horizontal="center" vertical="center" wrapText="1"/>
    </xf>
    <xf numFmtId="0" fontId="1" fillId="0" borderId="45" xfId="0" applyFont="1" applyBorder="1" applyAlignment="1">
      <alignment horizontal="center" vertical="center"/>
    </xf>
    <xf numFmtId="0" fontId="50" fillId="0" borderId="39" xfId="0" applyFont="1" applyBorder="1" applyAlignment="1">
      <alignment horizontal="center" vertical="center" wrapText="1"/>
    </xf>
    <xf numFmtId="0" fontId="1" fillId="0" borderId="46" xfId="0" applyFont="1" applyBorder="1"/>
    <xf numFmtId="0" fontId="50"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2"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8"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0" fillId="0" borderId="0" xfId="0" applyFont="1"/>
    <xf numFmtId="0" fontId="20"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1" fillId="0" borderId="58" xfId="0" applyFont="1" applyBorder="1" applyAlignment="1">
      <alignment horizontal="left"/>
    </xf>
    <xf numFmtId="0" fontId="1" fillId="47" borderId="59" xfId="0" applyFont="1" applyFill="1" applyBorder="1" applyAlignment="1">
      <alignment horizontal="center" vertical="center"/>
    </xf>
    <xf numFmtId="0" fontId="65" fillId="0" borderId="1" xfId="0" applyFont="1" applyBorder="1" applyAlignment="1">
      <alignment horizontal="center" vertical="center" wrapText="1"/>
    </xf>
    <xf numFmtId="0" fontId="1" fillId="0" borderId="36" xfId="0" applyFont="1" applyBorder="1"/>
    <xf numFmtId="0" fontId="2"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6" fillId="0" borderId="1" xfId="0" applyFont="1" applyBorder="1" applyAlignment="1">
      <alignment horizontal="center" vertical="center" wrapText="1"/>
    </xf>
    <xf numFmtId="0" fontId="32"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center" vertical="center" wrapText="1"/>
    </xf>
    <xf numFmtId="0" fontId="68" fillId="0" borderId="66" xfId="0" applyFont="1" applyBorder="1"/>
    <xf numFmtId="0" fontId="69" fillId="0" borderId="66" xfId="0" applyFont="1" applyBorder="1"/>
    <xf numFmtId="0" fontId="68" fillId="0" borderId="0" xfId="0" applyFont="1"/>
    <xf numFmtId="0" fontId="70" fillId="0" borderId="1" xfId="0" applyFont="1" applyBorder="1" applyAlignment="1">
      <alignment horizontal="center" vertical="center"/>
    </xf>
    <xf numFmtId="0" fontId="71" fillId="0" borderId="0" xfId="0" applyFont="1" applyAlignment="1">
      <alignment vertical="center"/>
    </xf>
    <xf numFmtId="2" fontId="0" fillId="0" borderId="0" xfId="0" applyNumberFormat="1"/>
    <xf numFmtId="0" fontId="0" fillId="33" borderId="52" xfId="0" applyFill="1" applyBorder="1"/>
    <xf numFmtId="0" fontId="0" fillId="33" borderId="38" xfId="0" applyFill="1" applyBorder="1"/>
    <xf numFmtId="0" fontId="0" fillId="33" borderId="51" xfId="0" applyFill="1" applyBorder="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2" fillId="0" borderId="0" xfId="0" applyFont="1"/>
    <xf numFmtId="0" fontId="53" fillId="0" borderId="1" xfId="0" applyFont="1" applyBorder="1" applyAlignment="1">
      <alignment horizontal="center" vertical="center"/>
    </xf>
    <xf numFmtId="0" fontId="53"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3"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0" fillId="53" borderId="0" xfId="0" applyFont="1" applyFill="1" applyAlignment="1">
      <alignment horizontal="center" vertical="center"/>
    </xf>
    <xf numFmtId="2" fontId="50" fillId="53" borderId="0" xfId="0" applyNumberFormat="1" applyFont="1" applyFill="1" applyAlignment="1">
      <alignment horizontal="center" vertical="center"/>
    </xf>
    <xf numFmtId="2" fontId="59" fillId="40" borderId="1" xfId="0" applyNumberFormat="1" applyFont="1" applyFill="1" applyBorder="1" applyAlignment="1">
      <alignment horizontal="center" vertical="center"/>
    </xf>
    <xf numFmtId="0" fontId="53"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2" fillId="0" borderId="45" xfId="0" applyFont="1" applyBorder="1" applyAlignment="1">
      <alignment horizontal="center" vertical="center" wrapText="1"/>
    </xf>
    <xf numFmtId="0" fontId="75" fillId="0" borderId="0" xfId="0" applyFont="1"/>
    <xf numFmtId="0" fontId="76" fillId="0" borderId="0" xfId="0" applyFont="1"/>
    <xf numFmtId="0" fontId="20" fillId="0" borderId="0" xfId="0" applyFont="1" applyAlignment="1">
      <alignment horizontal="left" vertical="center"/>
    </xf>
    <xf numFmtId="0" fontId="20" fillId="0" borderId="1" xfId="0" applyFont="1" applyBorder="1" applyAlignment="1">
      <alignment horizontal="left" vertical="center"/>
    </xf>
    <xf numFmtId="0" fontId="78" fillId="0" borderId="0" xfId="0" applyFont="1"/>
    <xf numFmtId="0" fontId="78" fillId="0" borderId="0" xfId="0" applyFont="1" applyAlignment="1">
      <alignment wrapText="1"/>
    </xf>
    <xf numFmtId="0" fontId="78" fillId="0" borderId="0" xfId="0" applyFont="1" applyAlignment="1">
      <alignment vertical="center"/>
    </xf>
    <xf numFmtId="169" fontId="1" fillId="0" borderId="48" xfId="0" applyNumberFormat="1" applyFont="1" applyBorder="1" applyAlignment="1">
      <alignment horizontal="center" vertical="center"/>
    </xf>
    <xf numFmtId="0" fontId="79" fillId="0" borderId="1" xfId="0" applyFont="1" applyBorder="1" applyAlignment="1">
      <alignment horizontal="center" vertical="center"/>
    </xf>
    <xf numFmtId="0" fontId="32" fillId="0" borderId="1" xfId="0" applyFont="1" applyBorder="1" applyAlignment="1">
      <alignment horizontal="center" vertical="center"/>
    </xf>
    <xf numFmtId="0" fontId="65" fillId="0" borderId="1" xfId="0" applyFont="1" applyBorder="1" applyAlignment="1">
      <alignment horizontal="right" vertical="center"/>
    </xf>
    <xf numFmtId="0" fontId="32" fillId="0" borderId="0" xfId="0" applyFont="1" applyAlignment="1">
      <alignment horizontal="center" vertical="center"/>
    </xf>
    <xf numFmtId="0" fontId="32" fillId="0" borderId="47" xfId="0" applyFont="1" applyBorder="1" applyAlignment="1">
      <alignment horizontal="center" vertical="center" wrapText="1"/>
    </xf>
    <xf numFmtId="0" fontId="0" fillId="0" borderId="38" xfId="0" applyBorder="1"/>
    <xf numFmtId="0" fontId="32" fillId="0" borderId="47" xfId="0" applyFont="1" applyBorder="1" applyAlignment="1">
      <alignment horizontal="left" vertical="center" wrapText="1"/>
    </xf>
    <xf numFmtId="0" fontId="51" fillId="0" borderId="0" xfId="0" applyFont="1" applyAlignment="1">
      <alignment horizontal="left" vertical="center"/>
    </xf>
    <xf numFmtId="0" fontId="1" fillId="0" borderId="49" xfId="0" applyFont="1" applyBorder="1"/>
    <xf numFmtId="169" fontId="1" fillId="0" borderId="47" xfId="0" applyNumberFormat="1" applyFont="1" applyBorder="1" applyAlignment="1">
      <alignment horizontal="center" vertical="center"/>
    </xf>
    <xf numFmtId="169" fontId="1" fillId="0" borderId="45" xfId="0" applyNumberFormat="1" applyFont="1" applyBorder="1" applyAlignment="1">
      <alignment horizontal="center" vertical="center"/>
    </xf>
    <xf numFmtId="169" fontId="1" fillId="0" borderId="38" xfId="0" applyNumberFormat="1" applyFont="1" applyBorder="1" applyAlignment="1">
      <alignment horizontal="center" vertical="center"/>
    </xf>
    <xf numFmtId="0" fontId="1" fillId="0" borderId="40" xfId="0" applyFont="1" applyBorder="1" applyAlignment="1">
      <alignment horizontal="center" vertical="center" wrapText="1"/>
    </xf>
    <xf numFmtId="0" fontId="1" fillId="0" borderId="40" xfId="0" applyFont="1" applyBorder="1" applyAlignment="1">
      <alignment vertical="center" wrapText="1"/>
    </xf>
    <xf numFmtId="0" fontId="1" fillId="0" borderId="47" xfId="0" applyFont="1" applyBorder="1" applyAlignment="1">
      <alignment horizontal="center" vertical="center" wrapText="1"/>
    </xf>
    <xf numFmtId="0" fontId="1" fillId="0" borderId="1" xfId="0" applyFont="1" applyBorder="1" applyAlignment="1">
      <alignment vertical="center" wrapText="1"/>
    </xf>
    <xf numFmtId="1" fontId="1" fillId="0" borderId="47" xfId="0" applyNumberFormat="1" applyFont="1" applyBorder="1" applyAlignment="1">
      <alignment horizontal="center" vertical="center" wrapText="1"/>
    </xf>
    <xf numFmtId="0" fontId="1" fillId="0" borderId="47" xfId="0" applyFont="1" applyBorder="1" applyAlignment="1">
      <alignment vertical="center" wrapText="1"/>
    </xf>
    <xf numFmtId="1" fontId="1" fillId="0" borderId="1" xfId="0" applyNumberFormat="1" applyFont="1" applyBorder="1" applyAlignment="1">
      <alignment horizontal="center" vertical="center" wrapText="1"/>
    </xf>
    <xf numFmtId="169" fontId="1" fillId="0" borderId="50" xfId="0" applyNumberFormat="1" applyFont="1" applyBorder="1" applyAlignment="1">
      <alignment horizontal="center" vertical="center"/>
    </xf>
    <xf numFmtId="169" fontId="1" fillId="0" borderId="1" xfId="0" applyNumberFormat="1" applyFont="1" applyBorder="1" applyAlignment="1">
      <alignment horizontal="center" vertical="center"/>
    </xf>
    <xf numFmtId="0" fontId="1" fillId="47" borderId="1" xfId="0" applyFont="1" applyFill="1" applyBorder="1"/>
    <xf numFmtId="0" fontId="86" fillId="0" borderId="0" xfId="0" applyFont="1"/>
    <xf numFmtId="0" fontId="21" fillId="0" borderId="48" xfId="0" applyFont="1" applyBorder="1" applyAlignment="1">
      <alignment horizontal="center" vertical="center" wrapText="1"/>
    </xf>
    <xf numFmtId="0" fontId="22" fillId="0" borderId="40" xfId="0" applyFont="1" applyBorder="1" applyAlignment="1">
      <alignment horizontal="center" vertical="center" wrapText="1"/>
    </xf>
    <xf numFmtId="0" fontId="22" fillId="0" borderId="67" xfId="0" applyFont="1" applyBorder="1" applyAlignment="1">
      <alignment horizontal="center" vertical="center" wrapText="1"/>
    </xf>
    <xf numFmtId="0" fontId="0" fillId="0" borderId="45" xfId="0" applyBorder="1"/>
    <xf numFmtId="0" fontId="0" fillId="0" borderId="2" xfId="0" applyBorder="1"/>
    <xf numFmtId="0" fontId="0" fillId="0" borderId="55" xfId="0" applyBorder="1"/>
    <xf numFmtId="0" fontId="87" fillId="0" borderId="0" xfId="0" applyFont="1"/>
    <xf numFmtId="0" fontId="0" fillId="0" borderId="0" xfId="0" applyAlignment="1">
      <alignment wrapText="1"/>
    </xf>
    <xf numFmtId="0" fontId="65" fillId="0" borderId="0" xfId="0" applyFont="1" applyAlignment="1">
      <alignment wrapText="1"/>
    </xf>
    <xf numFmtId="0" fontId="88" fillId="0" borderId="0" xfId="0" applyFont="1" applyAlignment="1">
      <alignment vertical="center"/>
    </xf>
    <xf numFmtId="0" fontId="38" fillId="0" borderId="0" xfId="0" applyFont="1" applyAlignment="1">
      <alignment horizontal="left" vertical="center" wrapText="1"/>
    </xf>
    <xf numFmtId="0" fontId="32" fillId="0" borderId="0" xfId="0" applyFont="1" applyAlignment="1">
      <alignment horizontal="left" vertical="center"/>
    </xf>
    <xf numFmtId="0" fontId="1" fillId="0" borderId="36" xfId="0" applyFont="1" applyBorder="1" applyAlignment="1">
      <alignment horizontal="center" vertical="center" wrapText="1"/>
    </xf>
    <xf numFmtId="0" fontId="1" fillId="0" borderId="37" xfId="0" applyFont="1" applyBorder="1" applyAlignment="1">
      <alignment horizontal="center" vertical="center" wrapText="1"/>
    </xf>
    <xf numFmtId="0" fontId="1" fillId="0" borderId="38" xfId="0" applyFont="1" applyBorder="1" applyAlignment="1">
      <alignment horizontal="center" vertical="center" wrapText="1"/>
    </xf>
    <xf numFmtId="1" fontId="1" fillId="0" borderId="36" xfId="0" applyNumberFormat="1" applyFont="1" applyBorder="1" applyAlignment="1">
      <alignment horizontal="center" vertical="center" wrapText="1"/>
    </xf>
    <xf numFmtId="1" fontId="1" fillId="0" borderId="37" xfId="0" applyNumberFormat="1" applyFont="1" applyBorder="1" applyAlignment="1">
      <alignment horizontal="center" vertical="center" wrapText="1"/>
    </xf>
    <xf numFmtId="1" fontId="1" fillId="0" borderId="38" xfId="0" applyNumberFormat="1" applyFont="1" applyBorder="1" applyAlignment="1">
      <alignment horizontal="center" vertical="center" wrapText="1"/>
    </xf>
    <xf numFmtId="0" fontId="1" fillId="0" borderId="0" xfId="0" applyFont="1" applyAlignment="1">
      <alignment horizontal="right" vertical="center"/>
    </xf>
    <xf numFmtId="0" fontId="1" fillId="0" borderId="39" xfId="0" applyFont="1" applyBorder="1" applyAlignment="1">
      <alignment horizontal="right" vertical="center"/>
    </xf>
    <xf numFmtId="0" fontId="53" fillId="48" borderId="41" xfId="0" applyFont="1" applyFill="1" applyBorder="1" applyAlignment="1">
      <alignment horizontal="center" vertical="center"/>
    </xf>
    <xf numFmtId="0" fontId="53" fillId="48" borderId="42" xfId="0" applyFont="1" applyFill="1" applyBorder="1" applyAlignment="1">
      <alignment horizontal="center" vertical="center"/>
    </xf>
    <xf numFmtId="0" fontId="53" fillId="48" borderId="43" xfId="0" applyFont="1" applyFill="1" applyBorder="1" applyAlignment="1">
      <alignment horizontal="center" vertical="center"/>
    </xf>
    <xf numFmtId="0" fontId="1" fillId="0" borderId="34" xfId="0" applyFont="1" applyBorder="1" applyAlignment="1">
      <alignment horizontal="left" vertical="center" wrapText="1"/>
    </xf>
    <xf numFmtId="0" fontId="1" fillId="0" borderId="0" xfId="0" applyFont="1" applyAlignment="1">
      <alignment horizontal="left" vertical="center" wrapText="1"/>
    </xf>
    <xf numFmtId="0" fontId="0" fillId="0" borderId="1" xfId="0" applyBorder="1" applyAlignment="1">
      <alignment horizontal="center" vertical="center"/>
    </xf>
    <xf numFmtId="0" fontId="1" fillId="0" borderId="1" xfId="0" applyFont="1" applyBorder="1" applyAlignment="1">
      <alignment horizontal="center" vertical="center" wrapText="1"/>
    </xf>
    <xf numFmtId="0" fontId="0" fillId="0" borderId="36" xfId="0" applyBorder="1" applyAlignment="1">
      <alignment horizontal="center"/>
    </xf>
    <xf numFmtId="0" fontId="0" fillId="0" borderId="38" xfId="0" applyBorder="1" applyAlignment="1">
      <alignment horizontal="center"/>
    </xf>
    <xf numFmtId="0" fontId="50" fillId="49" borderId="41" xfId="0" applyFont="1" applyFill="1" applyBorder="1" applyAlignment="1">
      <alignment horizontal="center" vertical="center"/>
    </xf>
    <xf numFmtId="0" fontId="50" fillId="49" borderId="42" xfId="0" applyFont="1" applyFill="1" applyBorder="1" applyAlignment="1">
      <alignment horizontal="center" vertical="center"/>
    </xf>
    <xf numFmtId="0" fontId="50" fillId="49" borderId="43" xfId="0" applyFont="1" applyFill="1" applyBorder="1" applyAlignment="1">
      <alignment horizontal="center" vertical="center"/>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2" fillId="0" borderId="36" xfId="0" applyFont="1" applyBorder="1" applyAlignment="1">
      <alignment horizontal="center" vertical="center"/>
    </xf>
    <xf numFmtId="0" fontId="2" fillId="0" borderId="38" xfId="0" applyFont="1" applyBorder="1" applyAlignment="1">
      <alignment horizontal="center" vertical="center"/>
    </xf>
    <xf numFmtId="0" fontId="2" fillId="0" borderId="49" xfId="0" applyFont="1" applyBorder="1" applyAlignment="1">
      <alignment horizontal="center" vertical="center"/>
    </xf>
    <xf numFmtId="0" fontId="2" fillId="0" borderId="50" xfId="0" applyFont="1" applyBorder="1" applyAlignment="1">
      <alignment horizontal="center" vertical="center"/>
    </xf>
    <xf numFmtId="0" fontId="1" fillId="0" borderId="1" xfId="0" applyFont="1" applyBorder="1" applyAlignment="1">
      <alignment horizontal="center" vertical="center"/>
    </xf>
    <xf numFmtId="0" fontId="65" fillId="0" borderId="1" xfId="0" applyFont="1" applyBorder="1" applyAlignment="1">
      <alignment horizontal="center" vertical="center" wrapText="1"/>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43" xfId="0" applyFont="1" applyFill="1" applyBorder="1" applyAlignment="1">
      <alignment horizontal="center" vertical="center"/>
    </xf>
    <xf numFmtId="0" fontId="38" fillId="0" borderId="0" xfId="0" applyFont="1" applyAlignment="1">
      <alignment horizontal="left" vertical="center" wrapText="1"/>
    </xf>
    <xf numFmtId="0" fontId="38" fillId="0" borderId="57" xfId="0" applyFont="1" applyBorder="1" applyAlignment="1">
      <alignment horizontal="left"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56" fillId="50" borderId="41" xfId="0" applyFont="1" applyFill="1" applyBorder="1" applyAlignment="1">
      <alignment horizontal="center" vertical="center"/>
    </xf>
    <xf numFmtId="0" fontId="56" fillId="50" borderId="42" xfId="0" applyFont="1" applyFill="1" applyBorder="1" applyAlignment="1">
      <alignment horizontal="center" vertical="center"/>
    </xf>
    <xf numFmtId="0" fontId="56" fillId="50" borderId="43" xfId="0" applyFont="1" applyFill="1" applyBorder="1" applyAlignment="1">
      <alignment horizontal="center" vertical="center"/>
    </xf>
    <xf numFmtId="0" fontId="32" fillId="0" borderId="36" xfId="0" applyFont="1" applyBorder="1" applyAlignment="1">
      <alignment horizontal="center" vertical="center" wrapText="1"/>
    </xf>
    <xf numFmtId="0" fontId="32" fillId="0" borderId="38" xfId="0" applyFont="1" applyBorder="1" applyAlignment="1">
      <alignment horizontal="center" vertical="center" wrapText="1"/>
    </xf>
    <xf numFmtId="0" fontId="58" fillId="0" borderId="0" xfId="0" applyFont="1" applyAlignment="1">
      <alignment horizontal="center" vertical="center" wrapText="1"/>
    </xf>
    <xf numFmtId="0" fontId="53" fillId="56" borderId="41" xfId="0" applyFont="1" applyFill="1" applyBorder="1" applyAlignment="1">
      <alignment horizontal="center" vertical="center"/>
    </xf>
    <xf numFmtId="0" fontId="53" fillId="56" borderId="42" xfId="0" applyFont="1" applyFill="1" applyBorder="1" applyAlignment="1">
      <alignment horizontal="center" vertical="center"/>
    </xf>
    <xf numFmtId="0" fontId="53" fillId="56" borderId="43" xfId="0" applyFont="1" applyFill="1" applyBorder="1" applyAlignment="1">
      <alignment horizontal="center" vertical="center"/>
    </xf>
    <xf numFmtId="0" fontId="32" fillId="0" borderId="49" xfId="0" applyFont="1" applyBorder="1" applyAlignment="1">
      <alignment horizontal="center" vertical="center" wrapText="1"/>
    </xf>
    <xf numFmtId="0" fontId="32"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71" fillId="0" borderId="0" xfId="0" applyFont="1" applyAlignment="1">
      <alignment horizontal="center" vertical="center" wrapText="1"/>
    </xf>
    <xf numFmtId="0" fontId="47" fillId="0" borderId="36" xfId="0" applyFont="1" applyBorder="1" applyAlignment="1">
      <alignment horizontal="center" vertical="center" wrapText="1"/>
    </xf>
    <xf numFmtId="0" fontId="47" fillId="0" borderId="38" xfId="0" applyFont="1" applyBorder="1" applyAlignment="1">
      <alignment horizontal="center" vertical="center" wrapText="1"/>
    </xf>
    <xf numFmtId="0" fontId="32" fillId="0" borderId="36" xfId="0" applyFont="1" applyBorder="1" applyAlignment="1">
      <alignment horizontal="center" vertical="center"/>
    </xf>
    <xf numFmtId="0" fontId="32" fillId="0" borderId="38" xfId="0" applyFont="1"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51" fillId="0" borderId="36" xfId="0" applyFont="1" applyBorder="1" applyAlignment="1">
      <alignment horizontal="left" vertical="center"/>
    </xf>
    <xf numFmtId="0" fontId="51" fillId="0" borderId="37" xfId="0" applyFont="1" applyBorder="1" applyAlignment="1">
      <alignment horizontal="left" vertical="center"/>
    </xf>
    <xf numFmtId="0" fontId="51" fillId="0" borderId="38" xfId="0" applyFont="1" applyBorder="1" applyAlignment="1">
      <alignment horizontal="left" vertical="center"/>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0" fontId="32" fillId="0" borderId="1" xfId="0" applyFont="1" applyBorder="1" applyAlignment="1">
      <alignment horizontal="left" vertical="center" wrapText="1"/>
    </xf>
    <xf numFmtId="0" fontId="0" fillId="0" borderId="1" xfId="0" applyBorder="1" applyAlignment="1">
      <alignment horizontal="left" vertical="center" wrapText="1"/>
    </xf>
    <xf numFmtId="0" fontId="55" fillId="0" borderId="0" xfId="0" applyFont="1" applyAlignment="1">
      <alignment horizontal="center" vertical="center" wrapText="1"/>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45" xfId="0" applyFont="1" applyFill="1" applyBorder="1" applyAlignment="1">
      <alignment horizontal="center"/>
    </xf>
    <xf numFmtId="0" fontId="1" fillId="0" borderId="1" xfId="0" applyFont="1" applyBorder="1" applyAlignment="1">
      <alignment horizontal="left" vertical="center" wrapText="1"/>
    </xf>
    <xf numFmtId="0" fontId="59" fillId="0" borderId="1" xfId="0" applyFont="1" applyBorder="1" applyAlignment="1">
      <alignment horizontal="left"/>
    </xf>
    <xf numFmtId="0" fontId="53" fillId="48" borderId="32" xfId="0" applyFont="1" applyFill="1" applyBorder="1" applyAlignment="1">
      <alignment horizontal="center" vertical="center"/>
    </xf>
    <xf numFmtId="0" fontId="0" fillId="0" borderId="47" xfId="0" applyBorder="1" applyAlignment="1">
      <alignment horizontal="center" vertical="center" wrapText="1"/>
    </xf>
    <xf numFmtId="0" fontId="0" fillId="0" borderId="50" xfId="0" applyBorder="1"/>
    <xf numFmtId="0" fontId="1" fillId="0" borderId="68" xfId="0" applyFont="1" applyBorder="1" applyAlignment="1">
      <alignment horizontal="center" vertical="center"/>
    </xf>
    <xf numFmtId="0" fontId="0" fillId="0" borderId="52" xfId="0" applyBorder="1"/>
    <xf numFmtId="0" fontId="1" fillId="47" borderId="1" xfId="0" applyFont="1" applyFill="1" applyBorder="1" applyAlignment="1">
      <alignment horizontal="center" vertical="center" wrapText="1"/>
    </xf>
    <xf numFmtId="0" fontId="1" fillId="0" borderId="36" xfId="0" applyFont="1" applyBorder="1" applyAlignment="1">
      <alignment horizontal="center" vertical="center"/>
    </xf>
    <xf numFmtId="0" fontId="1" fillId="0" borderId="38" xfId="0" applyFont="1" applyBorder="1" applyAlignment="1">
      <alignment horizontal="center" vertical="center"/>
    </xf>
    <xf numFmtId="0" fontId="53" fillId="52" borderId="41" xfId="0" applyFont="1" applyFill="1" applyBorder="1" applyAlignment="1">
      <alignment horizontal="center" vertical="center"/>
    </xf>
    <xf numFmtId="0" fontId="53" fillId="52" borderId="42" xfId="0" applyFont="1" applyFill="1" applyBorder="1" applyAlignment="1">
      <alignment horizontal="center" vertical="center"/>
    </xf>
    <xf numFmtId="0" fontId="53" fillId="52" borderId="43" xfId="0" applyFont="1" applyFill="1" applyBorder="1" applyAlignment="1">
      <alignment horizontal="center" vertical="center"/>
    </xf>
    <xf numFmtId="0" fontId="60" fillId="0" borderId="0" xfId="0" applyFont="1" applyAlignment="1">
      <alignment horizontal="center" vertical="center" wrapText="1"/>
    </xf>
    <xf numFmtId="0" fontId="57" fillId="0" borderId="36" xfId="0" applyFont="1" applyBorder="1" applyAlignment="1">
      <alignment horizontal="center" vertical="center" wrapText="1"/>
    </xf>
    <xf numFmtId="0" fontId="57" fillId="0" borderId="37" xfId="0" applyFont="1" applyBorder="1" applyAlignment="1">
      <alignment horizontal="center" vertical="center" wrapText="1"/>
    </xf>
    <xf numFmtId="0" fontId="57" fillId="0" borderId="38" xfId="0" applyFont="1" applyBorder="1" applyAlignment="1">
      <alignment horizontal="center" vertical="center" wrapText="1"/>
    </xf>
    <xf numFmtId="14" fontId="57" fillId="0" borderId="36" xfId="0" applyNumberFormat="1" applyFont="1" applyBorder="1" applyAlignment="1">
      <alignment horizontal="center" vertical="center" wrapText="1"/>
    </xf>
    <xf numFmtId="1" fontId="57" fillId="0" borderId="36" xfId="0" applyNumberFormat="1" applyFont="1" applyBorder="1" applyAlignment="1">
      <alignment horizontal="center" vertical="center" wrapText="1"/>
    </xf>
    <xf numFmtId="1" fontId="57" fillId="0" borderId="37" xfId="0" applyNumberFormat="1" applyFont="1" applyBorder="1" applyAlignment="1">
      <alignment horizontal="center" vertical="center" wrapText="1"/>
    </xf>
    <xf numFmtId="1" fontId="57" fillId="0" borderId="38" xfId="0" applyNumberFormat="1" applyFont="1" applyBorder="1" applyAlignment="1">
      <alignment horizontal="center" vertical="center" wrapText="1"/>
    </xf>
    <xf numFmtId="0" fontId="57" fillId="0" borderId="1" xfId="0" applyFont="1" applyBorder="1" applyAlignment="1">
      <alignment horizontal="center" vertical="center"/>
    </xf>
    <xf numFmtId="0" fontId="57" fillId="0" borderId="1" xfId="0" applyFont="1" applyBorder="1" applyAlignment="1">
      <alignment horizontal="center" vertical="center" wrapText="1"/>
    </xf>
    <xf numFmtId="0" fontId="0" fillId="0" borderId="0" xfId="0" applyAlignment="1">
      <alignment horizontal="left" vertical="center" wrapText="1"/>
    </xf>
    <xf numFmtId="0" fontId="0" fillId="0" borderId="34" xfId="0" applyBorder="1" applyAlignment="1">
      <alignment horizontal="left" vertical="center" wrapText="1"/>
    </xf>
    <xf numFmtId="0" fontId="50" fillId="0" borderId="36" xfId="0" applyFont="1" applyBorder="1" applyAlignment="1">
      <alignment horizontal="center" vertical="center"/>
    </xf>
    <xf numFmtId="0" fontId="50" fillId="0" borderId="38" xfId="0" applyFont="1" applyBorder="1" applyAlignment="1">
      <alignment horizontal="center" vertical="center"/>
    </xf>
    <xf numFmtId="0" fontId="38" fillId="0" borderId="49" xfId="0" applyFont="1" applyBorder="1" applyAlignment="1">
      <alignment horizontal="center" vertical="center" wrapText="1"/>
    </xf>
    <xf numFmtId="0" fontId="38" fillId="0" borderId="50" xfId="0" applyFont="1" applyBorder="1" applyAlignment="1">
      <alignment horizontal="center" vertical="center" wrapText="1"/>
    </xf>
    <xf numFmtId="0" fontId="38" fillId="0" borderId="1" xfId="0" applyFont="1" applyBorder="1" applyAlignment="1">
      <alignment horizontal="center" vertical="center" wrapText="1"/>
    </xf>
    <xf numFmtId="0" fontId="38" fillId="0" borderId="47" xfId="0" applyFont="1" applyBorder="1" applyAlignment="1">
      <alignment horizontal="center" vertical="center" wrapText="1"/>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50" fillId="0" borderId="1" xfId="0" applyFont="1" applyBorder="1" applyAlignment="1">
      <alignment horizontal="center" vertical="center"/>
    </xf>
    <xf numFmtId="0" fontId="16" fillId="0" borderId="0" xfId="0" applyFont="1" applyAlignment="1">
      <alignment horizontal="center" vertical="center" wrapText="1" shrinkToFit="1"/>
    </xf>
    <xf numFmtId="0" fontId="54" fillId="54" borderId="36" xfId="0" applyFont="1" applyFill="1" applyBorder="1" applyAlignment="1">
      <alignment horizontal="center" vertical="center"/>
    </xf>
    <xf numFmtId="0" fontId="54" fillId="54" borderId="37" xfId="0" applyFont="1" applyFill="1" applyBorder="1" applyAlignment="1">
      <alignment horizontal="center" vertical="center"/>
    </xf>
    <xf numFmtId="0" fontId="54" fillId="54" borderId="38" xfId="0" applyFont="1" applyFill="1" applyBorder="1" applyAlignment="1">
      <alignment horizontal="center" vertical="center"/>
    </xf>
    <xf numFmtId="0" fontId="36" fillId="0" borderId="1" xfId="0" applyFont="1" applyBorder="1" applyAlignment="1">
      <alignment horizontal="center" vertical="center"/>
    </xf>
    <xf numFmtId="0" fontId="0" fillId="0" borderId="1" xfId="0" applyBorder="1" applyAlignment="1">
      <alignment horizontal="center" vertical="center" wrapText="1"/>
    </xf>
    <xf numFmtId="0" fontId="1" fillId="0" borderId="37" xfId="0" applyFont="1" applyBorder="1" applyAlignment="1">
      <alignment horizontal="center" vertical="center"/>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64" fillId="0" borderId="36" xfId="0" applyFont="1" applyBorder="1" applyAlignment="1">
      <alignment horizontal="left" vertical="center"/>
    </xf>
    <xf numFmtId="0" fontId="55" fillId="0" borderId="37" xfId="0" applyFont="1" applyBorder="1" applyAlignment="1">
      <alignment horizontal="left" vertical="center"/>
    </xf>
    <xf numFmtId="0" fontId="55" fillId="0" borderId="38" xfId="0" applyFont="1" applyBorder="1" applyAlignment="1">
      <alignment horizontal="left" vertical="center"/>
    </xf>
    <xf numFmtId="0" fontId="32" fillId="47" borderId="36" xfId="0" applyFont="1" applyFill="1" applyBorder="1" applyAlignment="1">
      <alignment horizontal="center" wrapText="1"/>
    </xf>
    <xf numFmtId="0" fontId="32" fillId="47" borderId="37" xfId="0" applyFont="1" applyFill="1" applyBorder="1" applyAlignment="1">
      <alignment horizontal="center" wrapText="1"/>
    </xf>
    <xf numFmtId="0" fontId="32" fillId="47" borderId="38" xfId="0" applyFont="1" applyFill="1" applyBorder="1" applyAlignment="1">
      <alignment horizontal="center" wrapText="1"/>
    </xf>
    <xf numFmtId="0" fontId="0" fillId="0" borderId="37" xfId="0" applyBorder="1"/>
    <xf numFmtId="0" fontId="0" fillId="0" borderId="38" xfId="0" applyBorder="1"/>
    <xf numFmtId="14" fontId="57" fillId="0" borderId="1" xfId="0" quotePrefix="1" applyNumberFormat="1" applyFont="1" applyBorder="1" applyAlignment="1">
      <alignment horizontal="center" vertical="center" wrapText="1"/>
    </xf>
    <xf numFmtId="1" fontId="57" fillId="0" borderId="1" xfId="0" applyNumberFormat="1" applyFont="1" applyBorder="1" applyAlignment="1">
      <alignment horizontal="center" vertical="center" wrapText="1"/>
    </xf>
    <xf numFmtId="0" fontId="1" fillId="0" borderId="0" xfId="0" applyFont="1"/>
    <xf numFmtId="0" fontId="0" fillId="0" borderId="34" xfId="0" applyBorder="1"/>
    <xf numFmtId="0" fontId="0" fillId="0" borderId="69" xfId="0" applyBorder="1"/>
    <xf numFmtId="0" fontId="0" fillId="0" borderId="54" xfId="0" applyBorder="1"/>
    <xf numFmtId="0" fontId="0" fillId="0" borderId="40" xfId="0" applyBorder="1"/>
    <xf numFmtId="0" fontId="56" fillId="50" borderId="44" xfId="0" applyFont="1" applyFill="1" applyBorder="1" applyAlignment="1">
      <alignment horizontal="center" vertical="center"/>
    </xf>
    <xf numFmtId="0" fontId="0" fillId="0" borderId="42" xfId="0" applyBorder="1"/>
    <xf numFmtId="0" fontId="0" fillId="0" borderId="43" xfId="0" applyBorder="1"/>
    <xf numFmtId="0" fontId="1" fillId="51" borderId="44" xfId="0" applyFont="1" applyFill="1" applyBorder="1" applyAlignment="1">
      <alignment horizontal="center" vertical="center"/>
    </xf>
    <xf numFmtId="0" fontId="50" fillId="49" borderId="44" xfId="0" applyFont="1" applyFill="1" applyBorder="1" applyAlignment="1">
      <alignment horizontal="center" vertical="center"/>
    </xf>
    <xf numFmtId="0" fontId="64" fillId="0" borderId="1" xfId="0" applyFont="1" applyBorder="1" applyAlignment="1">
      <alignment horizontal="left" vertical="center"/>
    </xf>
    <xf numFmtId="0" fontId="1" fillId="47" borderId="1" xfId="0" applyFont="1" applyFill="1" applyBorder="1" applyAlignment="1">
      <alignment horizontal="center"/>
    </xf>
    <xf numFmtId="0" fontId="53" fillId="48" borderId="44" xfId="0" applyFont="1" applyFill="1" applyBorder="1" applyAlignment="1">
      <alignment horizontal="center" vertical="center"/>
    </xf>
    <xf numFmtId="0" fontId="0" fillId="0" borderId="47" xfId="0" applyBorder="1" applyAlignment="1">
      <alignment horizontal="center" vertical="center"/>
    </xf>
    <xf numFmtId="0" fontId="16" fillId="0" borderId="0" xfId="0" applyFont="1" applyAlignment="1">
      <alignment horizontal="center" vertical="center"/>
    </xf>
    <xf numFmtId="0" fontId="0" fillId="0" borderId="39" xfId="0" applyBorder="1"/>
    <xf numFmtId="0" fontId="51" fillId="0" borderId="1" xfId="0" applyFont="1" applyBorder="1" applyAlignment="1">
      <alignment horizontal="left" vertical="center"/>
    </xf>
    <xf numFmtId="0" fontId="16" fillId="0" borderId="0" xfId="0" applyFont="1" applyAlignment="1">
      <alignment horizontal="center" vertical="center" wrapText="1"/>
    </xf>
    <xf numFmtId="0" fontId="67" fillId="43" borderId="41" xfId="0" applyFont="1" applyFill="1" applyBorder="1" applyAlignment="1">
      <alignment horizontal="center" vertical="center"/>
    </xf>
    <xf numFmtId="0" fontId="67" fillId="43" borderId="42" xfId="0" applyFont="1" applyFill="1" applyBorder="1" applyAlignment="1">
      <alignment horizontal="center" vertical="center"/>
    </xf>
    <xf numFmtId="0" fontId="67" fillId="43" borderId="43" xfId="0" applyFont="1" applyFill="1" applyBorder="1" applyAlignment="1">
      <alignment horizontal="center" vertical="center"/>
    </xf>
    <xf numFmtId="0" fontId="1" fillId="51" borderId="29" xfId="0" applyFont="1" applyFill="1" applyBorder="1" applyAlignment="1">
      <alignment horizontal="center" vertical="center"/>
    </xf>
    <xf numFmtId="0" fontId="0" fillId="0" borderId="0" xfId="0" applyAlignment="1">
      <alignment horizontal="center"/>
    </xf>
    <xf numFmtId="0" fontId="0" fillId="0" borderId="0" xfId="0" applyAlignment="1">
      <alignment horizontal="center" vertical="center"/>
    </xf>
    <xf numFmtId="0" fontId="52" fillId="0" borderId="62" xfId="0" applyFont="1" applyBorder="1" applyAlignment="1">
      <alignment horizontal="center" vertical="center" wrapText="1"/>
    </xf>
    <xf numFmtId="0" fontId="52" fillId="0" borderId="63" xfId="0" applyFont="1" applyBorder="1" applyAlignment="1">
      <alignment horizontal="center" vertical="center" wrapText="1"/>
    </xf>
    <xf numFmtId="0" fontId="52" fillId="0" borderId="64" xfId="0" applyFont="1" applyBorder="1" applyAlignment="1">
      <alignment horizontal="center" vertical="center" wrapText="1"/>
    </xf>
    <xf numFmtId="0" fontId="2" fillId="0" borderId="65" xfId="0" applyFont="1" applyBorder="1" applyAlignment="1">
      <alignment horizontal="center" vertical="center"/>
    </xf>
    <xf numFmtId="0" fontId="32" fillId="0" borderId="0" xfId="0" applyFont="1" applyAlignment="1">
      <alignment horizontal="center" vertical="center"/>
    </xf>
    <xf numFmtId="0" fontId="58" fillId="0" borderId="60" xfId="0" applyFont="1" applyBorder="1" applyAlignment="1">
      <alignment horizontal="center" vertical="center"/>
    </xf>
    <xf numFmtId="0" fontId="58" fillId="0" borderId="61" xfId="0" applyFont="1" applyBorder="1" applyAlignment="1">
      <alignment horizontal="center" vertic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32" fillId="0" borderId="49" xfId="0" applyFont="1" applyBorder="1" applyAlignment="1">
      <alignment horizontal="center" vertical="center"/>
    </xf>
    <xf numFmtId="0" fontId="32" fillId="0" borderId="50" xfId="0"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0" fontId="1" fillId="47" borderId="38" xfId="0" applyFont="1" applyFill="1" applyBorder="1" applyAlignment="1">
      <alignment horizontal="center"/>
    </xf>
    <xf numFmtId="0" fontId="74" fillId="0" borderId="56" xfId="0" applyFont="1" applyBorder="1" applyAlignment="1">
      <alignment horizontal="center" wrapText="1"/>
    </xf>
    <xf numFmtId="0" fontId="74" fillId="0" borderId="0" xfId="0" applyFont="1" applyAlignment="1">
      <alignment horizontal="center" wrapText="1"/>
    </xf>
    <xf numFmtId="0" fontId="80" fillId="0" borderId="65" xfId="0" applyFont="1" applyBorder="1" applyAlignment="1">
      <alignment horizontal="center" vertical="center"/>
    </xf>
    <xf numFmtId="0" fontId="81" fillId="0" borderId="0" xfId="0" applyFont="1" applyAlignment="1">
      <alignment horizontal="center" vertical="center"/>
    </xf>
    <xf numFmtId="0" fontId="82" fillId="0" borderId="0" xfId="0" applyFont="1" applyAlignment="1">
      <alignment horizontal="center" vertical="center"/>
    </xf>
    <xf numFmtId="0" fontId="2" fillId="55" borderId="55" xfId="0" applyFont="1" applyFill="1" applyBorder="1" applyAlignment="1">
      <alignment horizontal="center" vertical="center" wrapText="1"/>
    </xf>
    <xf numFmtId="0" fontId="2" fillId="55" borderId="45" xfId="0" applyFont="1" applyFill="1" applyBorder="1" applyAlignment="1">
      <alignment horizontal="center" vertical="center" wrapText="1"/>
    </xf>
    <xf numFmtId="0" fontId="2" fillId="55" borderId="56" xfId="0" applyFont="1" applyFill="1" applyBorder="1" applyAlignment="1">
      <alignment horizontal="center" vertical="center" wrapText="1"/>
    </xf>
    <xf numFmtId="0" fontId="2" fillId="55" borderId="39" xfId="0" applyFont="1" applyFill="1" applyBorder="1" applyAlignment="1">
      <alignment horizontal="center" vertical="center" wrapText="1"/>
    </xf>
    <xf numFmtId="0" fontId="2" fillId="0" borderId="56" xfId="0" applyFont="1" applyBorder="1" applyAlignment="1">
      <alignment horizontal="center" vertical="center" wrapText="1"/>
    </xf>
    <xf numFmtId="0" fontId="2" fillId="0" borderId="39" xfId="0" applyFont="1" applyBorder="1" applyAlignment="1">
      <alignment horizontal="center" vertical="center" wrapText="1"/>
    </xf>
    <xf numFmtId="0" fontId="2" fillId="55" borderId="46" xfId="0" applyFont="1" applyFill="1" applyBorder="1" applyAlignment="1">
      <alignment horizontal="center" vertical="center"/>
    </xf>
    <xf numFmtId="0" fontId="2" fillId="55" borderId="70" xfId="0" applyFont="1" applyFill="1" applyBorder="1" applyAlignment="1">
      <alignment horizontal="center" vertical="center"/>
    </xf>
    <xf numFmtId="0" fontId="29" fillId="33" borderId="0" xfId="43" applyFont="1" applyFill="1" applyAlignment="1">
      <alignment horizontal="left" vertical="center"/>
    </xf>
    <xf numFmtId="0" fontId="25" fillId="33" borderId="0" xfId="43" applyFont="1" applyFill="1" applyAlignment="1">
      <alignment horizontal="left" vertical="center"/>
    </xf>
    <xf numFmtId="0" fontId="24" fillId="34" borderId="0" xfId="43" applyFont="1" applyFill="1" applyAlignment="1">
      <alignment horizontal="center" vertical="center"/>
    </xf>
    <xf numFmtId="0" fontId="25" fillId="34" borderId="0" xfId="43" applyFont="1" applyFill="1" applyAlignment="1">
      <alignment horizontal="left" vertical="center"/>
    </xf>
    <xf numFmtId="0" fontId="29" fillId="33" borderId="0" xfId="43" applyFont="1" applyFill="1" applyAlignment="1">
      <alignment horizontal="left" vertical="center" wrapText="1"/>
    </xf>
    <xf numFmtId="0" fontId="47" fillId="33" borderId="0" xfId="44" applyFont="1" applyFill="1" applyAlignment="1">
      <alignment horizontal="left" vertical="center" wrapText="1" indent="2"/>
    </xf>
    <xf numFmtId="0" fontId="30" fillId="33" borderId="0" xfId="44" applyFont="1" applyFill="1" applyAlignment="1">
      <alignment horizontal="center" vertical="center"/>
    </xf>
    <xf numFmtId="0" fontId="31" fillId="33" borderId="0" xfId="44" applyFont="1" applyFill="1" applyAlignment="1">
      <alignment horizontal="left" vertical="center"/>
    </xf>
    <xf numFmtId="0" fontId="32" fillId="35" borderId="0" xfId="44" applyFont="1" applyFill="1" applyAlignment="1">
      <alignment horizontal="center" vertical="center" wrapText="1"/>
    </xf>
    <xf numFmtId="0" fontId="33" fillId="33" borderId="0" xfId="44" applyFont="1" applyFill="1" applyAlignment="1">
      <alignment horizontal="left"/>
    </xf>
    <xf numFmtId="0" fontId="3" fillId="35" borderId="0" xfId="44" applyFont="1" applyFill="1" applyAlignment="1">
      <alignment horizontal="center" vertical="center"/>
    </xf>
    <xf numFmtId="0" fontId="35" fillId="33" borderId="0" xfId="44" applyFont="1" applyFill="1" applyAlignment="1">
      <alignment horizontal="left" vertical="center"/>
    </xf>
    <xf numFmtId="0" fontId="28" fillId="33" borderId="0" xfId="44" applyFill="1" applyAlignment="1">
      <alignment horizontal="left" vertical="center"/>
    </xf>
    <xf numFmtId="0" fontId="3" fillId="35" borderId="0" xfId="44" applyFont="1" applyFill="1" applyAlignment="1">
      <alignment horizontal="center" vertical="center" wrapText="1"/>
    </xf>
    <xf numFmtId="0" fontId="37" fillId="33" borderId="0" xfId="44" applyFont="1" applyFill="1" applyAlignment="1">
      <alignment horizontal="left" vertical="top" wrapText="1"/>
    </xf>
    <xf numFmtId="0" fontId="38" fillId="33" borderId="0" xfId="44" applyFont="1" applyFill="1" applyAlignment="1">
      <alignment horizontal="left"/>
    </xf>
    <xf numFmtId="0" fontId="39" fillId="33" borderId="12" xfId="44" applyFont="1" applyFill="1" applyBorder="1" applyAlignment="1">
      <alignment horizontal="left" vertical="center"/>
    </xf>
    <xf numFmtId="0" fontId="0" fillId="0" borderId="0" xfId="0" applyFont="1"/>
    <xf numFmtId="0" fontId="1" fillId="0" borderId="0" xfId="0" applyFont="1" applyFill="1"/>
    <xf numFmtId="11" fontId="1" fillId="0" borderId="0" xfId="0" applyNumberFormat="1" applyFont="1"/>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1">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000000"/>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50"/>
      <tableStyleElement type="firstRowStripe" dxfId="49"/>
      <tableStyleElement type="secondRowStripe" dxfId="48"/>
    </tableStyle>
    <tableStyle name="1-style 3" pivot="0" count="3" xr9:uid="{FC3B064F-7C44-4945-9BAA-123806505FCE}">
      <tableStyleElement type="headerRow" dxfId="47"/>
      <tableStyleElement type="firstRowStripe" dxfId="46"/>
      <tableStyleElement type="secondRowStripe" dxfId="45"/>
    </tableStyle>
    <tableStyle name="1-style 5" pivot="0" count="3" xr9:uid="{4AE296A7-512B-4069-87E5-675F2B96642A}">
      <tableStyleElement type="headerRow" dxfId="44"/>
      <tableStyleElement type="firstRowStripe" dxfId="43"/>
      <tableStyleElement type="secondRowStripe" dxfId="42"/>
    </tableStyle>
  </tableStyles>
  <colors>
    <mruColors>
      <color rgb="FF15DB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117</xdr:row>
      <xdr:rowOff>30163</xdr:rowOff>
    </xdr:from>
    <xdr:to>
      <xdr:col>5</xdr:col>
      <xdr:colOff>50799</xdr:colOff>
      <xdr:row>118</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xdr:col>
      <xdr:colOff>361950</xdr:colOff>
      <xdr:row>111</xdr:row>
      <xdr:rowOff>142875</xdr:rowOff>
    </xdr:from>
    <xdr:to>
      <xdr:col>5</xdr:col>
      <xdr:colOff>170656</xdr:colOff>
      <xdr:row>112</xdr:row>
      <xdr:rowOff>286544</xdr:rowOff>
    </xdr:to>
    <xdr:pic>
      <xdr:nvPicPr>
        <xdr:cNvPr id="2" name="Picture 3">
          <a:extLst>
            <a:ext uri="{FF2B5EF4-FFF2-40B4-BE49-F238E27FC236}">
              <a16:creationId xmlns:a16="http://schemas.microsoft.com/office/drawing/2014/main" id="{B18BD39A-92DE-453C-AEC1-DA2D748928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135</xdr:row>
          <xdr:rowOff>47625</xdr:rowOff>
        </xdr:from>
        <xdr:to>
          <xdr:col>1</xdr:col>
          <xdr:colOff>76200</xdr:colOff>
          <xdr:row>135</xdr:row>
          <xdr:rowOff>276225</xdr:rowOff>
        </xdr:to>
        <xdr:sp macro="" textlink="">
          <xdr:nvSpPr>
            <xdr:cNvPr id="40961" name="Check Box 1" hidden="1">
              <a:extLst>
                <a:ext uri="{63B3BB69-23CF-44E3-9099-C40C66FF867C}">
                  <a14:compatExt spid="_x0000_s40961"/>
                </a:ext>
                <a:ext uri="{FF2B5EF4-FFF2-40B4-BE49-F238E27FC236}">
                  <a16:creationId xmlns:a16="http://schemas.microsoft.com/office/drawing/2014/main" id="{00000000-0008-0000-0500-00000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134</xdr:row>
          <xdr:rowOff>47625</xdr:rowOff>
        </xdr:from>
        <xdr:to>
          <xdr:col>1</xdr:col>
          <xdr:colOff>76200</xdr:colOff>
          <xdr:row>134</xdr:row>
          <xdr:rowOff>276225</xdr:rowOff>
        </xdr:to>
        <xdr:sp macro="" textlink="">
          <xdr:nvSpPr>
            <xdr:cNvPr id="40962" name="Check Box 2" hidden="1">
              <a:extLst>
                <a:ext uri="{63B3BB69-23CF-44E3-9099-C40C66FF867C}">
                  <a14:compatExt spid="_x0000_s40962"/>
                </a:ext>
                <a:ext uri="{FF2B5EF4-FFF2-40B4-BE49-F238E27FC236}">
                  <a16:creationId xmlns:a16="http://schemas.microsoft.com/office/drawing/2014/main" id="{00000000-0008-0000-0500-00000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40963" name="Check Box 3" hidden="1">
              <a:extLst>
                <a:ext uri="{63B3BB69-23CF-44E3-9099-C40C66FF867C}">
                  <a14:compatExt spid="_x0000_s40963"/>
                </a:ext>
                <a:ext uri="{FF2B5EF4-FFF2-40B4-BE49-F238E27FC236}">
                  <a16:creationId xmlns:a16="http://schemas.microsoft.com/office/drawing/2014/main" id="{00000000-0008-0000-0500-00000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126</xdr:row>
          <xdr:rowOff>47625</xdr:rowOff>
        </xdr:from>
        <xdr:to>
          <xdr:col>1</xdr:col>
          <xdr:colOff>76200</xdr:colOff>
          <xdr:row>126</xdr:row>
          <xdr:rowOff>276225</xdr:rowOff>
        </xdr:to>
        <xdr:sp macro="" textlink="">
          <xdr:nvSpPr>
            <xdr:cNvPr id="40964" name="Check Box 4" hidden="1">
              <a:extLst>
                <a:ext uri="{63B3BB69-23CF-44E3-9099-C40C66FF867C}">
                  <a14:compatExt spid="_x0000_s40964"/>
                </a:ext>
                <a:ext uri="{FF2B5EF4-FFF2-40B4-BE49-F238E27FC236}">
                  <a16:creationId xmlns:a16="http://schemas.microsoft.com/office/drawing/2014/main" id="{00000000-0008-0000-0500-00000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125</xdr:row>
          <xdr:rowOff>47625</xdr:rowOff>
        </xdr:from>
        <xdr:to>
          <xdr:col>1</xdr:col>
          <xdr:colOff>76200</xdr:colOff>
          <xdr:row>125</xdr:row>
          <xdr:rowOff>276225</xdr:rowOff>
        </xdr:to>
        <xdr:sp macro="" textlink="">
          <xdr:nvSpPr>
            <xdr:cNvPr id="40965" name="Check Box 5" hidden="1">
              <a:extLst>
                <a:ext uri="{63B3BB69-23CF-44E3-9099-C40C66FF867C}">
                  <a14:compatExt spid="_x0000_s40965"/>
                </a:ext>
                <a:ext uri="{FF2B5EF4-FFF2-40B4-BE49-F238E27FC236}">
                  <a16:creationId xmlns:a16="http://schemas.microsoft.com/office/drawing/2014/main" id="{00000000-0008-0000-0500-00000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124</xdr:row>
          <xdr:rowOff>47625</xdr:rowOff>
        </xdr:from>
        <xdr:to>
          <xdr:col>1</xdr:col>
          <xdr:colOff>76200</xdr:colOff>
          <xdr:row>124</xdr:row>
          <xdr:rowOff>276225</xdr:rowOff>
        </xdr:to>
        <xdr:sp macro="" textlink="">
          <xdr:nvSpPr>
            <xdr:cNvPr id="40966" name="Check Box 6" hidden="1">
              <a:extLst>
                <a:ext uri="{63B3BB69-23CF-44E3-9099-C40C66FF867C}">
                  <a14:compatExt spid="_x0000_s40966"/>
                </a:ext>
                <a:ext uri="{FF2B5EF4-FFF2-40B4-BE49-F238E27FC236}">
                  <a16:creationId xmlns:a16="http://schemas.microsoft.com/office/drawing/2014/main" id="{00000000-0008-0000-0500-00000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120</xdr:row>
          <xdr:rowOff>47625</xdr:rowOff>
        </xdr:from>
        <xdr:to>
          <xdr:col>1</xdr:col>
          <xdr:colOff>76200</xdr:colOff>
          <xdr:row>120</xdr:row>
          <xdr:rowOff>276225</xdr:rowOff>
        </xdr:to>
        <xdr:sp macro="" textlink="">
          <xdr:nvSpPr>
            <xdr:cNvPr id="40967" name="Check Box 7" hidden="1">
              <a:extLst>
                <a:ext uri="{63B3BB69-23CF-44E3-9099-C40C66FF867C}">
                  <a14:compatExt spid="_x0000_s40967"/>
                </a:ext>
                <a:ext uri="{FF2B5EF4-FFF2-40B4-BE49-F238E27FC236}">
                  <a16:creationId xmlns:a16="http://schemas.microsoft.com/office/drawing/2014/main" id="{00000000-0008-0000-0500-00000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118</xdr:row>
          <xdr:rowOff>47625</xdr:rowOff>
        </xdr:from>
        <xdr:to>
          <xdr:col>1</xdr:col>
          <xdr:colOff>76200</xdr:colOff>
          <xdr:row>118</xdr:row>
          <xdr:rowOff>276225</xdr:rowOff>
        </xdr:to>
        <xdr:sp macro="" textlink="">
          <xdr:nvSpPr>
            <xdr:cNvPr id="40968" name="Check Box 8" hidden="1">
              <a:extLst>
                <a:ext uri="{63B3BB69-23CF-44E3-9099-C40C66FF867C}">
                  <a14:compatExt spid="_x0000_s40968"/>
                </a:ext>
                <a:ext uri="{FF2B5EF4-FFF2-40B4-BE49-F238E27FC236}">
                  <a16:creationId xmlns:a16="http://schemas.microsoft.com/office/drawing/2014/main" id="{00000000-0008-0000-0500-00000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196</xdr:row>
      <xdr:rowOff>30163</xdr:rowOff>
    </xdr:from>
    <xdr:to>
      <xdr:col>5</xdr:col>
      <xdr:colOff>50799</xdr:colOff>
      <xdr:row>197</xdr:row>
      <xdr:rowOff>185738</xdr:rowOff>
    </xdr:to>
    <xdr:pic>
      <xdr:nvPicPr>
        <xdr:cNvPr id="2" name="Picture 3">
          <a:extLst>
            <a:ext uri="{FF2B5EF4-FFF2-40B4-BE49-F238E27FC236}">
              <a16:creationId xmlns:a16="http://schemas.microsoft.com/office/drawing/2014/main" id="{E98BCF8E-6DC5-48A5-B820-CADF9E3E52F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9799" y="36606163"/>
          <a:ext cx="2063750" cy="346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129</xdr:row>
          <xdr:rowOff>47625</xdr:rowOff>
        </xdr:from>
        <xdr:to>
          <xdr:col>1</xdr:col>
          <xdr:colOff>76200</xdr:colOff>
          <xdr:row>129</xdr:row>
          <xdr:rowOff>276225</xdr:rowOff>
        </xdr:to>
        <xdr:sp macro="" textlink="">
          <xdr:nvSpPr>
            <xdr:cNvPr id="40969" name="Check Box 9" hidden="1">
              <a:extLst>
                <a:ext uri="{63B3BB69-23CF-44E3-9099-C40C66FF867C}">
                  <a14:compatExt spid="_x0000_s40969"/>
                </a:ext>
                <a:ext uri="{FF2B5EF4-FFF2-40B4-BE49-F238E27FC236}">
                  <a16:creationId xmlns:a16="http://schemas.microsoft.com/office/drawing/2014/main" id="{00000000-0008-0000-0500-00000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122</xdr:row>
      <xdr:rowOff>76200</xdr:rowOff>
    </xdr:from>
    <xdr:to>
      <xdr:col>2</xdr:col>
      <xdr:colOff>248285</xdr:colOff>
      <xdr:row>122</xdr:row>
      <xdr:rowOff>209550</xdr:rowOff>
    </xdr:to>
    <xdr:sp macro="" textlink="">
      <xdr:nvSpPr>
        <xdr:cNvPr id="3" name="Oval 2">
          <a:extLst>
            <a:ext uri="{FF2B5EF4-FFF2-40B4-BE49-F238E27FC236}">
              <a16:creationId xmlns:a16="http://schemas.microsoft.com/office/drawing/2014/main" id="{168416B6-A155-4336-9FFB-AEC976BA9F98}"/>
            </a:ext>
          </a:extLst>
        </xdr:cNvPr>
        <xdr:cNvSpPr/>
      </xdr:nvSpPr>
      <xdr:spPr>
        <a:xfrm>
          <a:off x="1292225" y="23317200"/>
          <a:ext cx="137160" cy="11430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121</xdr:row>
      <xdr:rowOff>101600</xdr:rowOff>
    </xdr:from>
    <xdr:to>
      <xdr:col>2</xdr:col>
      <xdr:colOff>254635</xdr:colOff>
      <xdr:row>121</xdr:row>
      <xdr:rowOff>234950</xdr:rowOff>
    </xdr:to>
    <xdr:sp macro="" textlink="">
      <xdr:nvSpPr>
        <xdr:cNvPr id="4" name="Oval 3">
          <a:extLst>
            <a:ext uri="{FF2B5EF4-FFF2-40B4-BE49-F238E27FC236}">
              <a16:creationId xmlns:a16="http://schemas.microsoft.com/office/drawing/2014/main" id="{60731F0D-8AFD-4D06-8C9E-9F69D7457585}"/>
            </a:ext>
          </a:extLst>
        </xdr:cNvPr>
        <xdr:cNvSpPr/>
      </xdr:nvSpPr>
      <xdr:spPr>
        <a:xfrm>
          <a:off x="1292225" y="23152100"/>
          <a:ext cx="143510"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120</xdr:row>
      <xdr:rowOff>101600</xdr:rowOff>
    </xdr:from>
    <xdr:to>
      <xdr:col>2</xdr:col>
      <xdr:colOff>248285</xdr:colOff>
      <xdr:row>120</xdr:row>
      <xdr:rowOff>234950</xdr:rowOff>
    </xdr:to>
    <xdr:sp macro="" textlink="">
      <xdr:nvSpPr>
        <xdr:cNvPr id="5" name="Oval 4">
          <a:extLst>
            <a:ext uri="{FF2B5EF4-FFF2-40B4-BE49-F238E27FC236}">
              <a16:creationId xmlns:a16="http://schemas.microsoft.com/office/drawing/2014/main" id="{A4169A86-B0C5-4035-A420-A7281DFFF415}"/>
            </a:ext>
          </a:extLst>
        </xdr:cNvPr>
        <xdr:cNvSpPr/>
      </xdr:nvSpPr>
      <xdr:spPr>
        <a:xfrm>
          <a:off x="1292225" y="22961600"/>
          <a:ext cx="137160" cy="8572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136</xdr:row>
          <xdr:rowOff>0</xdr:rowOff>
        </xdr:from>
        <xdr:to>
          <xdr:col>1</xdr:col>
          <xdr:colOff>76200</xdr:colOff>
          <xdr:row>136</xdr:row>
          <xdr:rowOff>228600</xdr:rowOff>
        </xdr:to>
        <xdr:sp macro="" textlink="">
          <xdr:nvSpPr>
            <xdr:cNvPr id="40970" name="Check Box 10" hidden="1">
              <a:extLst>
                <a:ext uri="{63B3BB69-23CF-44E3-9099-C40C66FF867C}">
                  <a14:compatExt spid="_x0000_s40970"/>
                </a:ext>
                <a:ext uri="{FF2B5EF4-FFF2-40B4-BE49-F238E27FC236}">
                  <a16:creationId xmlns:a16="http://schemas.microsoft.com/office/drawing/2014/main" id="{00000000-0008-0000-0500-00000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146</xdr:row>
          <xdr:rowOff>47625</xdr:rowOff>
        </xdr:from>
        <xdr:to>
          <xdr:col>1</xdr:col>
          <xdr:colOff>76200</xdr:colOff>
          <xdr:row>146</xdr:row>
          <xdr:rowOff>276225</xdr:rowOff>
        </xdr:to>
        <xdr:sp macro="" textlink="">
          <xdr:nvSpPr>
            <xdr:cNvPr id="40971" name="Check Box 11" hidden="1">
              <a:extLst>
                <a:ext uri="{63B3BB69-23CF-44E3-9099-C40C66FF867C}">
                  <a14:compatExt spid="_x0000_s40971"/>
                </a:ext>
                <a:ext uri="{FF2B5EF4-FFF2-40B4-BE49-F238E27FC236}">
                  <a16:creationId xmlns:a16="http://schemas.microsoft.com/office/drawing/2014/main" id="{00000000-0008-0000-0500-00000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158</xdr:row>
          <xdr:rowOff>38100</xdr:rowOff>
        </xdr:from>
        <xdr:to>
          <xdr:col>1</xdr:col>
          <xdr:colOff>85725</xdr:colOff>
          <xdr:row>158</xdr:row>
          <xdr:rowOff>266700</xdr:rowOff>
        </xdr:to>
        <xdr:sp macro="" textlink="">
          <xdr:nvSpPr>
            <xdr:cNvPr id="40972" name="Check Box 12" hidden="1">
              <a:extLst>
                <a:ext uri="{63B3BB69-23CF-44E3-9099-C40C66FF867C}">
                  <a14:compatExt spid="_x0000_s40972"/>
                </a:ext>
                <a:ext uri="{FF2B5EF4-FFF2-40B4-BE49-F238E27FC236}">
                  <a16:creationId xmlns:a16="http://schemas.microsoft.com/office/drawing/2014/main" id="{00000000-0008-0000-0500-00000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159</xdr:row>
          <xdr:rowOff>47625</xdr:rowOff>
        </xdr:from>
        <xdr:to>
          <xdr:col>1</xdr:col>
          <xdr:colOff>76200</xdr:colOff>
          <xdr:row>159</xdr:row>
          <xdr:rowOff>276225</xdr:rowOff>
        </xdr:to>
        <xdr:sp macro="" textlink="">
          <xdr:nvSpPr>
            <xdr:cNvPr id="40973" name="Check Box 13" hidden="1">
              <a:extLst>
                <a:ext uri="{63B3BB69-23CF-44E3-9099-C40C66FF867C}">
                  <a14:compatExt spid="_x0000_s40973"/>
                </a:ext>
                <a:ext uri="{FF2B5EF4-FFF2-40B4-BE49-F238E27FC236}">
                  <a16:creationId xmlns:a16="http://schemas.microsoft.com/office/drawing/2014/main" id="{00000000-0008-0000-0500-00000D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170</xdr:row>
          <xdr:rowOff>47625</xdr:rowOff>
        </xdr:from>
        <xdr:to>
          <xdr:col>1</xdr:col>
          <xdr:colOff>76200</xdr:colOff>
          <xdr:row>170</xdr:row>
          <xdr:rowOff>276225</xdr:rowOff>
        </xdr:to>
        <xdr:sp macro="" textlink="">
          <xdr:nvSpPr>
            <xdr:cNvPr id="40974" name="Check Box 14" hidden="1">
              <a:extLst>
                <a:ext uri="{63B3BB69-23CF-44E3-9099-C40C66FF867C}">
                  <a14:compatExt spid="_x0000_s40974"/>
                </a:ext>
                <a:ext uri="{FF2B5EF4-FFF2-40B4-BE49-F238E27FC236}">
                  <a16:creationId xmlns:a16="http://schemas.microsoft.com/office/drawing/2014/main" id="{00000000-0008-0000-0500-00000E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175</xdr:row>
          <xdr:rowOff>47625</xdr:rowOff>
        </xdr:from>
        <xdr:to>
          <xdr:col>1</xdr:col>
          <xdr:colOff>76200</xdr:colOff>
          <xdr:row>175</xdr:row>
          <xdr:rowOff>276225</xdr:rowOff>
        </xdr:to>
        <xdr:sp macro="" textlink="">
          <xdr:nvSpPr>
            <xdr:cNvPr id="40975" name="Check Box 15" hidden="1">
              <a:extLst>
                <a:ext uri="{63B3BB69-23CF-44E3-9099-C40C66FF867C}">
                  <a14:compatExt spid="_x0000_s40975"/>
                </a:ext>
                <a:ext uri="{FF2B5EF4-FFF2-40B4-BE49-F238E27FC236}">
                  <a16:creationId xmlns:a16="http://schemas.microsoft.com/office/drawing/2014/main" id="{00000000-0008-0000-0500-00000F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175</xdr:row>
          <xdr:rowOff>47625</xdr:rowOff>
        </xdr:from>
        <xdr:to>
          <xdr:col>1</xdr:col>
          <xdr:colOff>76200</xdr:colOff>
          <xdr:row>175</xdr:row>
          <xdr:rowOff>276225</xdr:rowOff>
        </xdr:to>
        <xdr:sp macro="" textlink="">
          <xdr:nvSpPr>
            <xdr:cNvPr id="40976" name="Check Box 16" hidden="1">
              <a:extLst>
                <a:ext uri="{63B3BB69-23CF-44E3-9099-C40C66FF867C}">
                  <a14:compatExt spid="_x0000_s40976"/>
                </a:ext>
                <a:ext uri="{FF2B5EF4-FFF2-40B4-BE49-F238E27FC236}">
                  <a16:creationId xmlns:a16="http://schemas.microsoft.com/office/drawing/2014/main" id="{00000000-0008-0000-0500-000010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160</xdr:row>
          <xdr:rowOff>47625</xdr:rowOff>
        </xdr:from>
        <xdr:to>
          <xdr:col>1</xdr:col>
          <xdr:colOff>76200</xdr:colOff>
          <xdr:row>160</xdr:row>
          <xdr:rowOff>304800</xdr:rowOff>
        </xdr:to>
        <xdr:sp macro="" textlink="">
          <xdr:nvSpPr>
            <xdr:cNvPr id="40977" name="Check Box 17" hidden="1">
              <a:extLst>
                <a:ext uri="{63B3BB69-23CF-44E3-9099-C40C66FF867C}">
                  <a14:compatExt spid="_x0000_s40977"/>
                </a:ext>
                <a:ext uri="{FF2B5EF4-FFF2-40B4-BE49-F238E27FC236}">
                  <a16:creationId xmlns:a16="http://schemas.microsoft.com/office/drawing/2014/main" id="{00000000-0008-0000-0500-00001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40978" name="Check Box 18" hidden="1">
              <a:extLst>
                <a:ext uri="{63B3BB69-23CF-44E3-9099-C40C66FF867C}">
                  <a14:compatExt spid="_x0000_s40978"/>
                </a:ext>
                <a:ext uri="{FF2B5EF4-FFF2-40B4-BE49-F238E27FC236}">
                  <a16:creationId xmlns:a16="http://schemas.microsoft.com/office/drawing/2014/main" id="{00000000-0008-0000-0500-00001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177</xdr:row>
          <xdr:rowOff>0</xdr:rowOff>
        </xdr:from>
        <xdr:to>
          <xdr:col>1</xdr:col>
          <xdr:colOff>76200</xdr:colOff>
          <xdr:row>178</xdr:row>
          <xdr:rowOff>66675</xdr:rowOff>
        </xdr:to>
        <xdr:sp macro="" textlink="">
          <xdr:nvSpPr>
            <xdr:cNvPr id="40979" name="Check Box 19" hidden="1">
              <a:extLst>
                <a:ext uri="{63B3BB69-23CF-44E3-9099-C40C66FF867C}">
                  <a14:compatExt spid="_x0000_s40979"/>
                </a:ext>
                <a:ext uri="{FF2B5EF4-FFF2-40B4-BE49-F238E27FC236}">
                  <a16:creationId xmlns:a16="http://schemas.microsoft.com/office/drawing/2014/main" id="{00000000-0008-0000-0500-00001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179</xdr:row>
          <xdr:rowOff>304800</xdr:rowOff>
        </xdr:from>
        <xdr:to>
          <xdr:col>1</xdr:col>
          <xdr:colOff>76200</xdr:colOff>
          <xdr:row>181</xdr:row>
          <xdr:rowOff>38100</xdr:rowOff>
        </xdr:to>
        <xdr:sp macro="" textlink="">
          <xdr:nvSpPr>
            <xdr:cNvPr id="40980" name="Check Box 20" hidden="1">
              <a:extLst>
                <a:ext uri="{63B3BB69-23CF-44E3-9099-C40C66FF867C}">
                  <a14:compatExt spid="_x0000_s40980"/>
                </a:ext>
                <a:ext uri="{FF2B5EF4-FFF2-40B4-BE49-F238E27FC236}">
                  <a16:creationId xmlns:a16="http://schemas.microsoft.com/office/drawing/2014/main" id="{00000000-0008-0000-0500-00001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132</xdr:row>
          <xdr:rowOff>47625</xdr:rowOff>
        </xdr:from>
        <xdr:to>
          <xdr:col>1</xdr:col>
          <xdr:colOff>76200</xdr:colOff>
          <xdr:row>132</xdr:row>
          <xdr:rowOff>276225</xdr:rowOff>
        </xdr:to>
        <xdr:sp macro="" textlink="">
          <xdr:nvSpPr>
            <xdr:cNvPr id="40981" name="Check Box 21" hidden="1">
              <a:extLst>
                <a:ext uri="{63B3BB69-23CF-44E3-9099-C40C66FF867C}">
                  <a14:compatExt spid="_x0000_s40981"/>
                </a:ext>
                <a:ext uri="{FF2B5EF4-FFF2-40B4-BE49-F238E27FC236}">
                  <a16:creationId xmlns:a16="http://schemas.microsoft.com/office/drawing/2014/main" id="{00000000-0008-0000-0500-00001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138</xdr:row>
          <xdr:rowOff>47625</xdr:rowOff>
        </xdr:from>
        <xdr:to>
          <xdr:col>1</xdr:col>
          <xdr:colOff>76200</xdr:colOff>
          <xdr:row>138</xdr:row>
          <xdr:rowOff>276225</xdr:rowOff>
        </xdr:to>
        <xdr:sp macro="" textlink="">
          <xdr:nvSpPr>
            <xdr:cNvPr id="40982" name="Check Box 22" hidden="1">
              <a:extLst>
                <a:ext uri="{63B3BB69-23CF-44E3-9099-C40C66FF867C}">
                  <a14:compatExt spid="_x0000_s40982"/>
                </a:ext>
                <a:ext uri="{FF2B5EF4-FFF2-40B4-BE49-F238E27FC236}">
                  <a16:creationId xmlns:a16="http://schemas.microsoft.com/office/drawing/2014/main" id="{00000000-0008-0000-0500-00001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123825</xdr:colOff>
      <xdr:row>139</xdr:row>
      <xdr:rowOff>92075</xdr:rowOff>
    </xdr:from>
    <xdr:to>
      <xdr:col>2</xdr:col>
      <xdr:colOff>254635</xdr:colOff>
      <xdr:row>139</xdr:row>
      <xdr:rowOff>225425</xdr:rowOff>
    </xdr:to>
    <xdr:sp macro="" textlink="">
      <xdr:nvSpPr>
        <xdr:cNvPr id="7" name="Oval 6">
          <a:extLst>
            <a:ext uri="{FF2B5EF4-FFF2-40B4-BE49-F238E27FC236}">
              <a16:creationId xmlns:a16="http://schemas.microsoft.com/office/drawing/2014/main" id="{99068D19-7B7F-4878-BF35-FDD1C2F72FD2}"/>
            </a:ext>
          </a:extLst>
        </xdr:cNvPr>
        <xdr:cNvSpPr/>
      </xdr:nvSpPr>
      <xdr:spPr>
        <a:xfrm>
          <a:off x="1304925" y="26571575"/>
          <a:ext cx="130810" cy="952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138</xdr:row>
      <xdr:rowOff>104775</xdr:rowOff>
    </xdr:from>
    <xdr:to>
      <xdr:col>2</xdr:col>
      <xdr:colOff>257810</xdr:colOff>
      <xdr:row>138</xdr:row>
      <xdr:rowOff>238125</xdr:rowOff>
    </xdr:to>
    <xdr:sp macro="" textlink="">
      <xdr:nvSpPr>
        <xdr:cNvPr id="8" name="Oval 7">
          <a:extLst>
            <a:ext uri="{FF2B5EF4-FFF2-40B4-BE49-F238E27FC236}">
              <a16:creationId xmlns:a16="http://schemas.microsoft.com/office/drawing/2014/main" id="{8974FFB9-0418-4D80-9AAD-4F4889C2DF3B}"/>
            </a:ext>
          </a:extLst>
        </xdr:cNvPr>
        <xdr:cNvSpPr/>
      </xdr:nvSpPr>
      <xdr:spPr>
        <a:xfrm>
          <a:off x="1292225" y="26393775"/>
          <a:ext cx="146685"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141</xdr:row>
          <xdr:rowOff>47625</xdr:rowOff>
        </xdr:from>
        <xdr:to>
          <xdr:col>1</xdr:col>
          <xdr:colOff>76200</xdr:colOff>
          <xdr:row>141</xdr:row>
          <xdr:rowOff>276225</xdr:rowOff>
        </xdr:to>
        <xdr:sp macro="" textlink="">
          <xdr:nvSpPr>
            <xdr:cNvPr id="40983" name="Check Box 23" hidden="1">
              <a:extLst>
                <a:ext uri="{63B3BB69-23CF-44E3-9099-C40C66FF867C}">
                  <a14:compatExt spid="_x0000_s40983"/>
                </a:ext>
                <a:ext uri="{FF2B5EF4-FFF2-40B4-BE49-F238E27FC236}">
                  <a16:creationId xmlns:a16="http://schemas.microsoft.com/office/drawing/2014/main" id="{00000000-0008-0000-0500-00001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151</xdr:row>
          <xdr:rowOff>47625</xdr:rowOff>
        </xdr:from>
        <xdr:to>
          <xdr:col>1</xdr:col>
          <xdr:colOff>76200</xdr:colOff>
          <xdr:row>151</xdr:row>
          <xdr:rowOff>276225</xdr:rowOff>
        </xdr:to>
        <xdr:sp macro="" textlink="">
          <xdr:nvSpPr>
            <xdr:cNvPr id="40984" name="Check Box 24" hidden="1">
              <a:extLst>
                <a:ext uri="{63B3BB69-23CF-44E3-9099-C40C66FF867C}">
                  <a14:compatExt spid="_x0000_s40984"/>
                </a:ext>
                <a:ext uri="{FF2B5EF4-FFF2-40B4-BE49-F238E27FC236}">
                  <a16:creationId xmlns:a16="http://schemas.microsoft.com/office/drawing/2014/main" id="{00000000-0008-0000-0500-00001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40985" name="Check Box 25" hidden="1">
              <a:extLst>
                <a:ext uri="{63B3BB69-23CF-44E3-9099-C40C66FF867C}">
                  <a14:compatExt spid="_x0000_s40985"/>
                </a:ext>
                <a:ext uri="{FF2B5EF4-FFF2-40B4-BE49-F238E27FC236}">
                  <a16:creationId xmlns:a16="http://schemas.microsoft.com/office/drawing/2014/main" id="{00000000-0008-0000-0500-00001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110</xdr:row>
          <xdr:rowOff>47625</xdr:rowOff>
        </xdr:from>
        <xdr:to>
          <xdr:col>1</xdr:col>
          <xdr:colOff>76200</xdr:colOff>
          <xdr:row>110</xdr:row>
          <xdr:rowOff>276225</xdr:rowOff>
        </xdr:to>
        <xdr:sp macro="" textlink="">
          <xdr:nvSpPr>
            <xdr:cNvPr id="40986" name="Check Box 26" hidden="1">
              <a:extLst>
                <a:ext uri="{63B3BB69-23CF-44E3-9099-C40C66FF867C}">
                  <a14:compatExt spid="_x0000_s40986"/>
                </a:ext>
                <a:ext uri="{FF2B5EF4-FFF2-40B4-BE49-F238E27FC236}">
                  <a16:creationId xmlns:a16="http://schemas.microsoft.com/office/drawing/2014/main" id="{00000000-0008-0000-0500-00001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109</xdr:row>
          <xdr:rowOff>47625</xdr:rowOff>
        </xdr:from>
        <xdr:to>
          <xdr:col>1</xdr:col>
          <xdr:colOff>76200</xdr:colOff>
          <xdr:row>109</xdr:row>
          <xdr:rowOff>276225</xdr:rowOff>
        </xdr:to>
        <xdr:sp macro="" textlink="">
          <xdr:nvSpPr>
            <xdr:cNvPr id="40987" name="Check Box 27" hidden="1">
              <a:extLst>
                <a:ext uri="{63B3BB69-23CF-44E3-9099-C40C66FF867C}">
                  <a14:compatExt spid="_x0000_s40987"/>
                </a:ext>
                <a:ext uri="{FF2B5EF4-FFF2-40B4-BE49-F238E27FC236}">
                  <a16:creationId xmlns:a16="http://schemas.microsoft.com/office/drawing/2014/main" id="{00000000-0008-0000-0500-00001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108</xdr:row>
          <xdr:rowOff>47625</xdr:rowOff>
        </xdr:from>
        <xdr:to>
          <xdr:col>1</xdr:col>
          <xdr:colOff>76200</xdr:colOff>
          <xdr:row>108</xdr:row>
          <xdr:rowOff>276225</xdr:rowOff>
        </xdr:to>
        <xdr:sp macro="" textlink="">
          <xdr:nvSpPr>
            <xdr:cNvPr id="40988" name="Check Box 28" hidden="1">
              <a:extLst>
                <a:ext uri="{63B3BB69-23CF-44E3-9099-C40C66FF867C}">
                  <a14:compatExt spid="_x0000_s40988"/>
                </a:ext>
                <a:ext uri="{FF2B5EF4-FFF2-40B4-BE49-F238E27FC236}">
                  <a16:creationId xmlns:a16="http://schemas.microsoft.com/office/drawing/2014/main" id="{00000000-0008-0000-0500-00001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40989" name="Check Box 29" hidden="1">
              <a:extLst>
                <a:ext uri="{63B3BB69-23CF-44E3-9099-C40C66FF867C}">
                  <a14:compatExt spid="_x0000_s40989"/>
                </a:ext>
                <a:ext uri="{FF2B5EF4-FFF2-40B4-BE49-F238E27FC236}">
                  <a16:creationId xmlns:a16="http://schemas.microsoft.com/office/drawing/2014/main" id="{00000000-0008-0000-0500-00001D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40990" name="Check Box 30" hidden="1">
              <a:extLst>
                <a:ext uri="{63B3BB69-23CF-44E3-9099-C40C66FF867C}">
                  <a14:compatExt spid="_x0000_s40990"/>
                </a:ext>
                <a:ext uri="{FF2B5EF4-FFF2-40B4-BE49-F238E27FC236}">
                  <a16:creationId xmlns:a16="http://schemas.microsoft.com/office/drawing/2014/main" id="{00000000-0008-0000-0500-00001E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101</xdr:row>
          <xdr:rowOff>47625</xdr:rowOff>
        </xdr:from>
        <xdr:to>
          <xdr:col>1</xdr:col>
          <xdr:colOff>76200</xdr:colOff>
          <xdr:row>101</xdr:row>
          <xdr:rowOff>276225</xdr:rowOff>
        </xdr:to>
        <xdr:sp macro="" textlink="">
          <xdr:nvSpPr>
            <xdr:cNvPr id="40991" name="Check Box 31" hidden="1">
              <a:extLst>
                <a:ext uri="{63B3BB69-23CF-44E3-9099-C40C66FF867C}">
                  <a14:compatExt spid="_x0000_s40991"/>
                </a:ext>
                <a:ext uri="{FF2B5EF4-FFF2-40B4-BE49-F238E27FC236}">
                  <a16:creationId xmlns:a16="http://schemas.microsoft.com/office/drawing/2014/main" id="{00000000-0008-0000-0500-00001F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100</xdr:row>
          <xdr:rowOff>47625</xdr:rowOff>
        </xdr:from>
        <xdr:to>
          <xdr:col>1</xdr:col>
          <xdr:colOff>76200</xdr:colOff>
          <xdr:row>100</xdr:row>
          <xdr:rowOff>276225</xdr:rowOff>
        </xdr:to>
        <xdr:sp macro="" textlink="">
          <xdr:nvSpPr>
            <xdr:cNvPr id="40992" name="Check Box 32" hidden="1">
              <a:extLst>
                <a:ext uri="{63B3BB69-23CF-44E3-9099-C40C66FF867C}">
                  <a14:compatExt spid="_x0000_s40992"/>
                </a:ext>
                <a:ext uri="{FF2B5EF4-FFF2-40B4-BE49-F238E27FC236}">
                  <a16:creationId xmlns:a16="http://schemas.microsoft.com/office/drawing/2014/main" id="{00000000-0008-0000-0500-000020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43</xdr:row>
          <xdr:rowOff>47625</xdr:rowOff>
        </xdr:from>
        <xdr:to>
          <xdr:col>1</xdr:col>
          <xdr:colOff>76200</xdr:colOff>
          <xdr:row>43</xdr:row>
          <xdr:rowOff>276225</xdr:rowOff>
        </xdr:to>
        <xdr:sp macro="" textlink="">
          <xdr:nvSpPr>
            <xdr:cNvPr id="40997" name="Check Box 37" hidden="1">
              <a:extLst>
                <a:ext uri="{63B3BB69-23CF-44E3-9099-C40C66FF867C}">
                  <a14:compatExt spid="_x0000_s40997"/>
                </a:ext>
                <a:ext uri="{FF2B5EF4-FFF2-40B4-BE49-F238E27FC236}">
                  <a16:creationId xmlns:a16="http://schemas.microsoft.com/office/drawing/2014/main" id="{00000000-0008-0000-0500-00002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40998" name="Check Box 38" hidden="1">
              <a:extLst>
                <a:ext uri="{63B3BB69-23CF-44E3-9099-C40C66FF867C}">
                  <a14:compatExt spid="_x0000_s40998"/>
                </a:ext>
                <a:ext uri="{FF2B5EF4-FFF2-40B4-BE49-F238E27FC236}">
                  <a16:creationId xmlns:a16="http://schemas.microsoft.com/office/drawing/2014/main" id="{00000000-0008-0000-0500-00002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21</xdr:row>
          <xdr:rowOff>9525</xdr:rowOff>
        </xdr:to>
        <xdr:sp macro="" textlink="">
          <xdr:nvSpPr>
            <xdr:cNvPr id="40999" name="Check Box 39" hidden="1">
              <a:extLst>
                <a:ext uri="{63B3BB69-23CF-44E3-9099-C40C66FF867C}">
                  <a14:compatExt spid="_x0000_s40999"/>
                </a:ext>
                <a:ext uri="{FF2B5EF4-FFF2-40B4-BE49-F238E27FC236}">
                  <a16:creationId xmlns:a16="http://schemas.microsoft.com/office/drawing/2014/main" id="{00000000-0008-0000-0500-00002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19</xdr:row>
          <xdr:rowOff>47625</xdr:rowOff>
        </xdr:from>
        <xdr:to>
          <xdr:col>1</xdr:col>
          <xdr:colOff>76200</xdr:colOff>
          <xdr:row>20</xdr:row>
          <xdr:rowOff>0</xdr:rowOff>
        </xdr:to>
        <xdr:sp macro="" textlink="">
          <xdr:nvSpPr>
            <xdr:cNvPr id="41000" name="Check Box 40" hidden="1">
              <a:extLst>
                <a:ext uri="{63B3BB69-23CF-44E3-9099-C40C66FF867C}">
                  <a14:compatExt spid="_x0000_s41000"/>
                </a:ext>
                <a:ext uri="{FF2B5EF4-FFF2-40B4-BE49-F238E27FC236}">
                  <a16:creationId xmlns:a16="http://schemas.microsoft.com/office/drawing/2014/main" id="{00000000-0008-0000-0500-00002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16</xdr:row>
          <xdr:rowOff>9525</xdr:rowOff>
        </xdr:to>
        <xdr:sp macro="" textlink="">
          <xdr:nvSpPr>
            <xdr:cNvPr id="41001" name="Check Box 41" hidden="1">
              <a:extLst>
                <a:ext uri="{63B3BB69-23CF-44E3-9099-C40C66FF867C}">
                  <a14:compatExt spid="_x0000_s41001"/>
                </a:ext>
                <a:ext uri="{FF2B5EF4-FFF2-40B4-BE49-F238E27FC236}">
                  <a16:creationId xmlns:a16="http://schemas.microsoft.com/office/drawing/2014/main" id="{00000000-0008-0000-0500-00002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41002" name="Check Box 42" hidden="1">
              <a:extLst>
                <a:ext uri="{63B3BB69-23CF-44E3-9099-C40C66FF867C}">
                  <a14:compatExt spid="_x0000_s41002"/>
                </a:ext>
                <a:ext uri="{FF2B5EF4-FFF2-40B4-BE49-F238E27FC236}">
                  <a16:creationId xmlns:a16="http://schemas.microsoft.com/office/drawing/2014/main" id="{00000000-0008-0000-0500-00002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154</xdr:row>
          <xdr:rowOff>47625</xdr:rowOff>
        </xdr:from>
        <xdr:to>
          <xdr:col>1</xdr:col>
          <xdr:colOff>76200</xdr:colOff>
          <xdr:row>154</xdr:row>
          <xdr:rowOff>276225</xdr:rowOff>
        </xdr:to>
        <xdr:sp macro="" textlink="">
          <xdr:nvSpPr>
            <xdr:cNvPr id="41003" name="Check Box 43" hidden="1">
              <a:extLst>
                <a:ext uri="{63B3BB69-23CF-44E3-9099-C40C66FF867C}">
                  <a14:compatExt spid="_x0000_s41003"/>
                </a:ext>
                <a:ext uri="{FF2B5EF4-FFF2-40B4-BE49-F238E27FC236}">
                  <a16:creationId xmlns:a16="http://schemas.microsoft.com/office/drawing/2014/main" id="{00000000-0008-0000-0500-00002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152</xdr:row>
          <xdr:rowOff>28575</xdr:rowOff>
        </xdr:from>
        <xdr:to>
          <xdr:col>1</xdr:col>
          <xdr:colOff>76200</xdr:colOff>
          <xdr:row>152</xdr:row>
          <xdr:rowOff>257175</xdr:rowOff>
        </xdr:to>
        <xdr:sp macro="" textlink="">
          <xdr:nvSpPr>
            <xdr:cNvPr id="41004" name="Check Box 44" hidden="1">
              <a:extLst>
                <a:ext uri="{63B3BB69-23CF-44E3-9099-C40C66FF867C}">
                  <a14:compatExt spid="_x0000_s41004"/>
                </a:ext>
                <a:ext uri="{FF2B5EF4-FFF2-40B4-BE49-F238E27FC236}">
                  <a16:creationId xmlns:a16="http://schemas.microsoft.com/office/drawing/2014/main" id="{00000000-0008-0000-0500-00002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6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6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6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6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6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6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6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6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6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6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213</xdr:row>
      <xdr:rowOff>30163</xdr:rowOff>
    </xdr:from>
    <xdr:to>
      <xdr:col>5</xdr:col>
      <xdr:colOff>50799</xdr:colOff>
      <xdr:row>214</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6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6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6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6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6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6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6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6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6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6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6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6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6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6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6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6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6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6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6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6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6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6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6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6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6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6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6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6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6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6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6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6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6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6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6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6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6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6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6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6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6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6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6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6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6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6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6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6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6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6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6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6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6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6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6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6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6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6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6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6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6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6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6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6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6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6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361950</xdr:colOff>
      <xdr:row>205</xdr:row>
      <xdr:rowOff>142875</xdr:rowOff>
    </xdr:from>
    <xdr:to>
      <xdr:col>5</xdr:col>
      <xdr:colOff>170656</xdr:colOff>
      <xdr:row>206</xdr:row>
      <xdr:rowOff>286544</xdr:rowOff>
    </xdr:to>
    <xdr:pic>
      <xdr:nvPicPr>
        <xdr:cNvPr id="2" name="Picture 3">
          <a:extLst>
            <a:ext uri="{FF2B5EF4-FFF2-40B4-BE49-F238E27FC236}">
              <a16:creationId xmlns:a16="http://schemas.microsoft.com/office/drawing/2014/main" id="{C5B7EAD2-83A7-427B-BF30-6F816A2B1D2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85725</xdr:colOff>
          <xdr:row>136</xdr:row>
          <xdr:rowOff>57150</xdr:rowOff>
        </xdr:to>
        <xdr:sp macro="" textlink="">
          <xdr:nvSpPr>
            <xdr:cNvPr id="25610" name="Check Box 10" hidden="1">
              <a:extLst>
                <a:ext uri="{63B3BB69-23CF-44E3-9099-C40C66FF867C}">
                  <a14:compatExt spid="_x0000_s25610"/>
                </a:ext>
                <a:ext uri="{FF2B5EF4-FFF2-40B4-BE49-F238E27FC236}">
                  <a16:creationId xmlns:a16="http://schemas.microsoft.com/office/drawing/2014/main" id="{00000000-0008-0000-0700-00000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85725</xdr:colOff>
          <xdr:row>137</xdr:row>
          <xdr:rowOff>57150</xdr:rowOff>
        </xdr:to>
        <xdr:sp macro="" textlink="">
          <xdr:nvSpPr>
            <xdr:cNvPr id="25611" name="Check Box 11" hidden="1">
              <a:extLst>
                <a:ext uri="{63B3BB69-23CF-44E3-9099-C40C66FF867C}">
                  <a14:compatExt spid="_x0000_s25611"/>
                </a:ext>
                <a:ext uri="{FF2B5EF4-FFF2-40B4-BE49-F238E27FC236}">
                  <a16:creationId xmlns:a16="http://schemas.microsoft.com/office/drawing/2014/main" id="{00000000-0008-0000-0700-00000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3" name="Oval 2">
          <a:extLst>
            <a:ext uri="{FF2B5EF4-FFF2-40B4-BE49-F238E27FC236}">
              <a16:creationId xmlns:a16="http://schemas.microsoft.com/office/drawing/2014/main" id="{5B647168-CF25-4AAC-B78F-CDDF50650764}"/>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4" name="Oval 3">
          <a:extLst>
            <a:ext uri="{FF2B5EF4-FFF2-40B4-BE49-F238E27FC236}">
              <a16:creationId xmlns:a16="http://schemas.microsoft.com/office/drawing/2014/main" id="{7F3011A5-0EED-4CFD-B13F-4D577D659BB9}"/>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85725</xdr:colOff>
          <xdr:row>138</xdr:row>
          <xdr:rowOff>276225</xdr:rowOff>
        </xdr:to>
        <xdr:sp macro="" textlink="">
          <xdr:nvSpPr>
            <xdr:cNvPr id="25612" name="Check Box 12" hidden="1">
              <a:extLst>
                <a:ext uri="{63B3BB69-23CF-44E3-9099-C40C66FF867C}">
                  <a14:compatExt spid="_x0000_s25612"/>
                </a:ext>
                <a:ext uri="{FF2B5EF4-FFF2-40B4-BE49-F238E27FC236}">
                  <a16:creationId xmlns:a16="http://schemas.microsoft.com/office/drawing/2014/main" id="{00000000-0008-0000-0700-00000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85725</xdr:colOff>
          <xdr:row>141</xdr:row>
          <xdr:rowOff>276225</xdr:rowOff>
        </xdr:to>
        <xdr:sp macro="" textlink="">
          <xdr:nvSpPr>
            <xdr:cNvPr id="25613" name="Check Box 13" hidden="1">
              <a:extLst>
                <a:ext uri="{63B3BB69-23CF-44E3-9099-C40C66FF867C}">
                  <a14:compatExt spid="_x0000_s25613"/>
                </a:ext>
                <a:ext uri="{FF2B5EF4-FFF2-40B4-BE49-F238E27FC236}">
                  <a16:creationId xmlns:a16="http://schemas.microsoft.com/office/drawing/2014/main" id="{00000000-0008-0000-0700-00000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85725</xdr:colOff>
          <xdr:row>145</xdr:row>
          <xdr:rowOff>276225</xdr:rowOff>
        </xdr:to>
        <xdr:sp macro="" textlink="">
          <xdr:nvSpPr>
            <xdr:cNvPr id="25614" name="Check Box 14" hidden="1">
              <a:extLst>
                <a:ext uri="{63B3BB69-23CF-44E3-9099-C40C66FF867C}">
                  <a14:compatExt spid="_x0000_s25614"/>
                </a:ext>
                <a:ext uri="{FF2B5EF4-FFF2-40B4-BE49-F238E27FC236}">
                  <a16:creationId xmlns:a16="http://schemas.microsoft.com/office/drawing/2014/main" id="{00000000-0008-0000-0700-00000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85725</xdr:colOff>
          <xdr:row>147</xdr:row>
          <xdr:rowOff>276225</xdr:rowOff>
        </xdr:to>
        <xdr:sp macro="" textlink="">
          <xdr:nvSpPr>
            <xdr:cNvPr id="25615" name="Check Box 15" hidden="1">
              <a:extLst>
                <a:ext uri="{63B3BB69-23CF-44E3-9099-C40C66FF867C}">
                  <a14:compatExt spid="_x0000_s25615"/>
                </a:ext>
                <a:ext uri="{FF2B5EF4-FFF2-40B4-BE49-F238E27FC236}">
                  <a16:creationId xmlns:a16="http://schemas.microsoft.com/office/drawing/2014/main" id="{00000000-0008-0000-0700-00000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5" name="Oval 4">
          <a:extLst>
            <a:ext uri="{FF2B5EF4-FFF2-40B4-BE49-F238E27FC236}">
              <a16:creationId xmlns:a16="http://schemas.microsoft.com/office/drawing/2014/main" id="{3BBEC689-F640-4BB8-85A5-9D1F4BDC4EBA}"/>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85725</xdr:colOff>
          <xdr:row>150</xdr:row>
          <xdr:rowOff>9525</xdr:rowOff>
        </xdr:to>
        <xdr:sp macro="" textlink="">
          <xdr:nvSpPr>
            <xdr:cNvPr id="25616" name="Check Box 16" hidden="1">
              <a:extLst>
                <a:ext uri="{63B3BB69-23CF-44E3-9099-C40C66FF867C}">
                  <a14:compatExt spid="_x0000_s25616"/>
                </a:ext>
                <a:ext uri="{FF2B5EF4-FFF2-40B4-BE49-F238E27FC236}">
                  <a16:creationId xmlns:a16="http://schemas.microsoft.com/office/drawing/2014/main" id="{00000000-0008-0000-0700-00001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6" name="Oval 5">
          <a:extLst>
            <a:ext uri="{FF2B5EF4-FFF2-40B4-BE49-F238E27FC236}">
              <a16:creationId xmlns:a16="http://schemas.microsoft.com/office/drawing/2014/main" id="{F2FABE44-4ECC-44D1-983E-C0BE56D630E8}"/>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85725</xdr:colOff>
          <xdr:row>153</xdr:row>
          <xdr:rowOff>19050</xdr:rowOff>
        </xdr:to>
        <xdr:sp macro="" textlink="">
          <xdr:nvSpPr>
            <xdr:cNvPr id="25617" name="Check Box 17" hidden="1">
              <a:extLst>
                <a:ext uri="{63B3BB69-23CF-44E3-9099-C40C66FF867C}">
                  <a14:compatExt spid="_x0000_s25617"/>
                </a:ext>
                <a:ext uri="{FF2B5EF4-FFF2-40B4-BE49-F238E27FC236}">
                  <a16:creationId xmlns:a16="http://schemas.microsoft.com/office/drawing/2014/main" id="{00000000-0008-0000-0700-00001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85725</xdr:colOff>
          <xdr:row>154</xdr:row>
          <xdr:rowOff>276225</xdr:rowOff>
        </xdr:to>
        <xdr:sp macro="" textlink="">
          <xdr:nvSpPr>
            <xdr:cNvPr id="25618" name="Check Box 18" hidden="1">
              <a:extLst>
                <a:ext uri="{63B3BB69-23CF-44E3-9099-C40C66FF867C}">
                  <a14:compatExt spid="_x0000_s25618"/>
                </a:ext>
                <a:ext uri="{FF2B5EF4-FFF2-40B4-BE49-F238E27FC236}">
                  <a16:creationId xmlns:a16="http://schemas.microsoft.com/office/drawing/2014/main" id="{00000000-0008-0000-0700-00001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85725</xdr:colOff>
          <xdr:row>156</xdr:row>
          <xdr:rowOff>276225</xdr:rowOff>
        </xdr:to>
        <xdr:sp macro="" textlink="">
          <xdr:nvSpPr>
            <xdr:cNvPr id="25619" name="Check Box 19" hidden="1">
              <a:extLst>
                <a:ext uri="{63B3BB69-23CF-44E3-9099-C40C66FF867C}">
                  <a14:compatExt spid="_x0000_s25619"/>
                </a:ext>
                <a:ext uri="{FF2B5EF4-FFF2-40B4-BE49-F238E27FC236}">
                  <a16:creationId xmlns:a16="http://schemas.microsoft.com/office/drawing/2014/main" id="{00000000-0008-0000-0700-00001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85725</xdr:colOff>
          <xdr:row>156</xdr:row>
          <xdr:rowOff>57150</xdr:rowOff>
        </xdr:to>
        <xdr:sp macro="" textlink="">
          <xdr:nvSpPr>
            <xdr:cNvPr id="25620" name="Check Box 20" hidden="1">
              <a:extLst>
                <a:ext uri="{63B3BB69-23CF-44E3-9099-C40C66FF867C}">
                  <a14:compatExt spid="_x0000_s25620"/>
                </a:ext>
                <a:ext uri="{FF2B5EF4-FFF2-40B4-BE49-F238E27FC236}">
                  <a16:creationId xmlns:a16="http://schemas.microsoft.com/office/drawing/2014/main" id="{00000000-0008-0000-0700-00001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85725</xdr:colOff>
          <xdr:row>157</xdr:row>
          <xdr:rowOff>295275</xdr:rowOff>
        </xdr:to>
        <xdr:sp macro="" textlink="">
          <xdr:nvSpPr>
            <xdr:cNvPr id="25625" name="Check Box 25" hidden="1">
              <a:extLst>
                <a:ext uri="{63B3BB69-23CF-44E3-9099-C40C66FF867C}">
                  <a14:compatExt spid="_x0000_s25625"/>
                </a:ext>
                <a:ext uri="{FF2B5EF4-FFF2-40B4-BE49-F238E27FC236}">
                  <a16:creationId xmlns:a16="http://schemas.microsoft.com/office/drawing/2014/main" id="{00000000-0008-0000-0700-00001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85725</xdr:colOff>
          <xdr:row>72</xdr:row>
          <xdr:rowOff>276225</xdr:rowOff>
        </xdr:to>
        <xdr:sp macro="" textlink="">
          <xdr:nvSpPr>
            <xdr:cNvPr id="25629" name="Check Box 29" hidden="1">
              <a:extLst>
                <a:ext uri="{63B3BB69-23CF-44E3-9099-C40C66FF867C}">
                  <a14:compatExt spid="_x0000_s25629"/>
                </a:ext>
                <a:ext uri="{FF2B5EF4-FFF2-40B4-BE49-F238E27FC236}">
                  <a16:creationId xmlns:a16="http://schemas.microsoft.com/office/drawing/2014/main" id="{00000000-0008-0000-0700-00001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85725</xdr:colOff>
          <xdr:row>79</xdr:row>
          <xdr:rowOff>19050</xdr:rowOff>
        </xdr:to>
        <xdr:sp macro="" textlink="">
          <xdr:nvSpPr>
            <xdr:cNvPr id="25630" name="Check Box 30" hidden="1">
              <a:extLst>
                <a:ext uri="{63B3BB69-23CF-44E3-9099-C40C66FF867C}">
                  <a14:compatExt spid="_x0000_s25630"/>
                </a:ext>
                <a:ext uri="{FF2B5EF4-FFF2-40B4-BE49-F238E27FC236}">
                  <a16:creationId xmlns:a16="http://schemas.microsoft.com/office/drawing/2014/main" id="{00000000-0008-0000-0700-00001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85725</xdr:colOff>
          <xdr:row>83</xdr:row>
          <xdr:rowOff>276225</xdr:rowOff>
        </xdr:to>
        <xdr:sp macro="" textlink="">
          <xdr:nvSpPr>
            <xdr:cNvPr id="25631" name="Check Box 31" hidden="1">
              <a:extLst>
                <a:ext uri="{63B3BB69-23CF-44E3-9099-C40C66FF867C}">
                  <a14:compatExt spid="_x0000_s25631"/>
                </a:ext>
                <a:ext uri="{FF2B5EF4-FFF2-40B4-BE49-F238E27FC236}">
                  <a16:creationId xmlns:a16="http://schemas.microsoft.com/office/drawing/2014/main" id="{00000000-0008-0000-0700-00001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85725</xdr:colOff>
          <xdr:row>78</xdr:row>
          <xdr:rowOff>9525</xdr:rowOff>
        </xdr:to>
        <xdr:sp macro="" textlink="">
          <xdr:nvSpPr>
            <xdr:cNvPr id="25632" name="Check Box 32" hidden="1">
              <a:extLst>
                <a:ext uri="{63B3BB69-23CF-44E3-9099-C40C66FF867C}">
                  <a14:compatExt spid="_x0000_s25632"/>
                </a:ext>
                <a:ext uri="{FF2B5EF4-FFF2-40B4-BE49-F238E27FC236}">
                  <a16:creationId xmlns:a16="http://schemas.microsoft.com/office/drawing/2014/main" id="{00000000-0008-0000-0700-00002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85725</xdr:colOff>
          <xdr:row>85</xdr:row>
          <xdr:rowOff>276225</xdr:rowOff>
        </xdr:to>
        <xdr:sp macro="" textlink="">
          <xdr:nvSpPr>
            <xdr:cNvPr id="25633" name="Check Box 33" hidden="1">
              <a:extLst>
                <a:ext uri="{63B3BB69-23CF-44E3-9099-C40C66FF867C}">
                  <a14:compatExt spid="_x0000_s25633"/>
                </a:ext>
                <a:ext uri="{FF2B5EF4-FFF2-40B4-BE49-F238E27FC236}">
                  <a16:creationId xmlns:a16="http://schemas.microsoft.com/office/drawing/2014/main" id="{00000000-0008-0000-0700-00002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85725</xdr:colOff>
          <xdr:row>91</xdr:row>
          <xdr:rowOff>285750</xdr:rowOff>
        </xdr:to>
        <xdr:sp macro="" textlink="">
          <xdr:nvSpPr>
            <xdr:cNvPr id="25634" name="Check Box 34" hidden="1">
              <a:extLst>
                <a:ext uri="{63B3BB69-23CF-44E3-9099-C40C66FF867C}">
                  <a14:compatExt spid="_x0000_s25634"/>
                </a:ext>
                <a:ext uri="{FF2B5EF4-FFF2-40B4-BE49-F238E27FC236}">
                  <a16:creationId xmlns:a16="http://schemas.microsoft.com/office/drawing/2014/main" id="{00000000-0008-0000-0700-00002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85725</xdr:colOff>
          <xdr:row>96</xdr:row>
          <xdr:rowOff>276225</xdr:rowOff>
        </xdr:to>
        <xdr:sp macro="" textlink="">
          <xdr:nvSpPr>
            <xdr:cNvPr id="25635" name="Check Box 35" hidden="1">
              <a:extLst>
                <a:ext uri="{63B3BB69-23CF-44E3-9099-C40C66FF867C}">
                  <a14:compatExt spid="_x0000_s25635"/>
                </a:ext>
                <a:ext uri="{FF2B5EF4-FFF2-40B4-BE49-F238E27FC236}">
                  <a16:creationId xmlns:a16="http://schemas.microsoft.com/office/drawing/2014/main" id="{00000000-0008-0000-0700-00002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85725</xdr:colOff>
          <xdr:row>90</xdr:row>
          <xdr:rowOff>276225</xdr:rowOff>
        </xdr:to>
        <xdr:sp macro="" textlink="">
          <xdr:nvSpPr>
            <xdr:cNvPr id="25636" name="Check Box 36" hidden="1">
              <a:extLst>
                <a:ext uri="{63B3BB69-23CF-44E3-9099-C40C66FF867C}">
                  <a14:compatExt spid="_x0000_s25636"/>
                </a:ext>
                <a:ext uri="{FF2B5EF4-FFF2-40B4-BE49-F238E27FC236}">
                  <a16:creationId xmlns:a16="http://schemas.microsoft.com/office/drawing/2014/main" id="{00000000-0008-0000-0700-00002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85725</xdr:colOff>
          <xdr:row>98</xdr:row>
          <xdr:rowOff>276225</xdr:rowOff>
        </xdr:to>
        <xdr:sp macro="" textlink="">
          <xdr:nvSpPr>
            <xdr:cNvPr id="25637" name="Check Box 37" hidden="1">
              <a:extLst>
                <a:ext uri="{63B3BB69-23CF-44E3-9099-C40C66FF867C}">
                  <a14:compatExt spid="_x0000_s25637"/>
                </a:ext>
                <a:ext uri="{FF2B5EF4-FFF2-40B4-BE49-F238E27FC236}">
                  <a16:creationId xmlns:a16="http://schemas.microsoft.com/office/drawing/2014/main" id="{00000000-0008-0000-0700-000025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85725</xdr:colOff>
          <xdr:row>99</xdr:row>
          <xdr:rowOff>276225</xdr:rowOff>
        </xdr:to>
        <xdr:sp macro="" textlink="">
          <xdr:nvSpPr>
            <xdr:cNvPr id="25638" name="Check Box 38" hidden="1">
              <a:extLst>
                <a:ext uri="{63B3BB69-23CF-44E3-9099-C40C66FF867C}">
                  <a14:compatExt spid="_x0000_s25638"/>
                </a:ext>
                <a:ext uri="{FF2B5EF4-FFF2-40B4-BE49-F238E27FC236}">
                  <a16:creationId xmlns:a16="http://schemas.microsoft.com/office/drawing/2014/main" id="{00000000-0008-0000-0700-00002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7" name="Oval 6">
          <a:extLst>
            <a:ext uri="{FF2B5EF4-FFF2-40B4-BE49-F238E27FC236}">
              <a16:creationId xmlns:a16="http://schemas.microsoft.com/office/drawing/2014/main" id="{D0915E6A-AD59-403C-A32C-A5A926AAB8DB}"/>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8" name="Oval 7">
          <a:extLst>
            <a:ext uri="{FF2B5EF4-FFF2-40B4-BE49-F238E27FC236}">
              <a16:creationId xmlns:a16="http://schemas.microsoft.com/office/drawing/2014/main" id="{0D878208-EC72-47EA-A4A7-2257120126D3}"/>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85725</xdr:colOff>
          <xdr:row>101</xdr:row>
          <xdr:rowOff>276225</xdr:rowOff>
        </xdr:to>
        <xdr:sp macro="" textlink="">
          <xdr:nvSpPr>
            <xdr:cNvPr id="25639" name="Check Box 39" hidden="1">
              <a:extLst>
                <a:ext uri="{63B3BB69-23CF-44E3-9099-C40C66FF867C}">
                  <a14:compatExt spid="_x0000_s25639"/>
                </a:ext>
                <a:ext uri="{FF2B5EF4-FFF2-40B4-BE49-F238E27FC236}">
                  <a16:creationId xmlns:a16="http://schemas.microsoft.com/office/drawing/2014/main" id="{00000000-0008-0000-0700-00002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85725</xdr:colOff>
          <xdr:row>104</xdr:row>
          <xdr:rowOff>266700</xdr:rowOff>
        </xdr:to>
        <xdr:sp macro="" textlink="">
          <xdr:nvSpPr>
            <xdr:cNvPr id="25640" name="Check Box 40" hidden="1">
              <a:extLst>
                <a:ext uri="{63B3BB69-23CF-44E3-9099-C40C66FF867C}">
                  <a14:compatExt spid="_x0000_s25640"/>
                </a:ext>
                <a:ext uri="{FF2B5EF4-FFF2-40B4-BE49-F238E27FC236}">
                  <a16:creationId xmlns:a16="http://schemas.microsoft.com/office/drawing/2014/main" id="{00000000-0008-0000-0700-00002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85725</xdr:colOff>
          <xdr:row>108</xdr:row>
          <xdr:rowOff>228600</xdr:rowOff>
        </xdr:to>
        <xdr:sp macro="" textlink="">
          <xdr:nvSpPr>
            <xdr:cNvPr id="25641" name="Check Box 41" hidden="1">
              <a:extLst>
                <a:ext uri="{63B3BB69-23CF-44E3-9099-C40C66FF867C}">
                  <a14:compatExt spid="_x0000_s25641"/>
                </a:ext>
                <a:ext uri="{FF2B5EF4-FFF2-40B4-BE49-F238E27FC236}">
                  <a16:creationId xmlns:a16="http://schemas.microsoft.com/office/drawing/2014/main" id="{00000000-0008-0000-0700-00002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85725</xdr:colOff>
          <xdr:row>108</xdr:row>
          <xdr:rowOff>276225</xdr:rowOff>
        </xdr:to>
        <xdr:sp macro="" textlink="">
          <xdr:nvSpPr>
            <xdr:cNvPr id="25642" name="Check Box 42" hidden="1">
              <a:extLst>
                <a:ext uri="{63B3BB69-23CF-44E3-9099-C40C66FF867C}">
                  <a14:compatExt spid="_x0000_s25642"/>
                </a:ext>
                <a:ext uri="{FF2B5EF4-FFF2-40B4-BE49-F238E27FC236}">
                  <a16:creationId xmlns:a16="http://schemas.microsoft.com/office/drawing/2014/main" id="{00000000-0008-0000-0700-00002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9" name="Oval 8">
          <a:extLst>
            <a:ext uri="{FF2B5EF4-FFF2-40B4-BE49-F238E27FC236}">
              <a16:creationId xmlns:a16="http://schemas.microsoft.com/office/drawing/2014/main" id="{40703402-24B3-46E9-8F23-F045C87CD492}"/>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85725</xdr:colOff>
          <xdr:row>110</xdr:row>
          <xdr:rowOff>276225</xdr:rowOff>
        </xdr:to>
        <xdr:sp macro="" textlink="">
          <xdr:nvSpPr>
            <xdr:cNvPr id="25643" name="Check Box 43" hidden="1">
              <a:extLst>
                <a:ext uri="{63B3BB69-23CF-44E3-9099-C40C66FF867C}">
                  <a14:compatExt spid="_x0000_s25643"/>
                </a:ext>
                <a:ext uri="{FF2B5EF4-FFF2-40B4-BE49-F238E27FC236}">
                  <a16:creationId xmlns:a16="http://schemas.microsoft.com/office/drawing/2014/main" id="{00000000-0008-0000-0700-00002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0" name="Oval 9">
          <a:extLst>
            <a:ext uri="{FF2B5EF4-FFF2-40B4-BE49-F238E27FC236}">
              <a16:creationId xmlns:a16="http://schemas.microsoft.com/office/drawing/2014/main" id="{1FF3E5F9-9CA4-4D2D-862E-E7F1F91095F9}"/>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85725</xdr:colOff>
          <xdr:row>114</xdr:row>
          <xdr:rowOff>19050</xdr:rowOff>
        </xdr:to>
        <xdr:sp macro="" textlink="">
          <xdr:nvSpPr>
            <xdr:cNvPr id="25644" name="Check Box 44" hidden="1">
              <a:extLst>
                <a:ext uri="{63B3BB69-23CF-44E3-9099-C40C66FF867C}">
                  <a14:compatExt spid="_x0000_s25644"/>
                </a:ext>
                <a:ext uri="{FF2B5EF4-FFF2-40B4-BE49-F238E27FC236}">
                  <a16:creationId xmlns:a16="http://schemas.microsoft.com/office/drawing/2014/main" id="{00000000-0008-0000-0700-00002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85725</xdr:colOff>
          <xdr:row>116</xdr:row>
          <xdr:rowOff>9525</xdr:rowOff>
        </xdr:to>
        <xdr:sp macro="" textlink="">
          <xdr:nvSpPr>
            <xdr:cNvPr id="25645" name="Check Box 45" hidden="1">
              <a:extLst>
                <a:ext uri="{63B3BB69-23CF-44E3-9099-C40C66FF867C}">
                  <a14:compatExt spid="_x0000_s25645"/>
                </a:ext>
                <a:ext uri="{FF2B5EF4-FFF2-40B4-BE49-F238E27FC236}">
                  <a16:creationId xmlns:a16="http://schemas.microsoft.com/office/drawing/2014/main" id="{00000000-0008-0000-0700-00002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85725</xdr:colOff>
          <xdr:row>117</xdr:row>
          <xdr:rowOff>276225</xdr:rowOff>
        </xdr:to>
        <xdr:sp macro="" textlink="">
          <xdr:nvSpPr>
            <xdr:cNvPr id="25646" name="Check Box 46" hidden="1">
              <a:extLst>
                <a:ext uri="{63B3BB69-23CF-44E3-9099-C40C66FF867C}">
                  <a14:compatExt spid="_x0000_s25646"/>
                </a:ext>
                <a:ext uri="{FF2B5EF4-FFF2-40B4-BE49-F238E27FC236}">
                  <a16:creationId xmlns:a16="http://schemas.microsoft.com/office/drawing/2014/main" id="{00000000-0008-0000-0700-00002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85725</xdr:colOff>
          <xdr:row>117</xdr:row>
          <xdr:rowOff>9525</xdr:rowOff>
        </xdr:to>
        <xdr:sp macro="" textlink="">
          <xdr:nvSpPr>
            <xdr:cNvPr id="25647" name="Check Box 47" hidden="1">
              <a:extLst>
                <a:ext uri="{63B3BB69-23CF-44E3-9099-C40C66FF867C}">
                  <a14:compatExt spid="_x0000_s25647"/>
                </a:ext>
                <a:ext uri="{FF2B5EF4-FFF2-40B4-BE49-F238E27FC236}">
                  <a16:creationId xmlns:a16="http://schemas.microsoft.com/office/drawing/2014/main" id="{00000000-0008-0000-0700-00002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85725</xdr:colOff>
          <xdr:row>128</xdr:row>
          <xdr:rowOff>276225</xdr:rowOff>
        </xdr:to>
        <xdr:sp macro="" textlink="">
          <xdr:nvSpPr>
            <xdr:cNvPr id="25648" name="Check Box 48" hidden="1">
              <a:extLst>
                <a:ext uri="{63B3BB69-23CF-44E3-9099-C40C66FF867C}">
                  <a14:compatExt spid="_x0000_s25648"/>
                </a:ext>
                <a:ext uri="{FF2B5EF4-FFF2-40B4-BE49-F238E27FC236}">
                  <a16:creationId xmlns:a16="http://schemas.microsoft.com/office/drawing/2014/main" id="{00000000-0008-0000-0700-00003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49" name="Check Box 49" hidden="1">
              <a:extLst>
                <a:ext uri="{63B3BB69-23CF-44E3-9099-C40C66FF867C}">
                  <a14:compatExt spid="_x0000_s25649"/>
                </a:ext>
                <a:ext uri="{FF2B5EF4-FFF2-40B4-BE49-F238E27FC236}">
                  <a16:creationId xmlns:a16="http://schemas.microsoft.com/office/drawing/2014/main" id="{00000000-0008-0000-0700-00003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50" name="Check Box 50" hidden="1">
              <a:extLst>
                <a:ext uri="{63B3BB69-23CF-44E3-9099-C40C66FF867C}">
                  <a14:compatExt spid="_x0000_s25650"/>
                </a:ext>
                <a:ext uri="{FF2B5EF4-FFF2-40B4-BE49-F238E27FC236}">
                  <a16:creationId xmlns:a16="http://schemas.microsoft.com/office/drawing/2014/main" id="{00000000-0008-0000-0700-00003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85725</xdr:colOff>
          <xdr:row>118</xdr:row>
          <xdr:rowOff>295275</xdr:rowOff>
        </xdr:to>
        <xdr:sp macro="" textlink="">
          <xdr:nvSpPr>
            <xdr:cNvPr id="25651" name="Check Box 51" hidden="1">
              <a:extLst>
                <a:ext uri="{63B3BB69-23CF-44E3-9099-C40C66FF867C}">
                  <a14:compatExt spid="_x0000_s25651"/>
                </a:ext>
                <a:ext uri="{FF2B5EF4-FFF2-40B4-BE49-F238E27FC236}">
                  <a16:creationId xmlns:a16="http://schemas.microsoft.com/office/drawing/2014/main" id="{00000000-0008-0000-0700-00003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85725</xdr:colOff>
          <xdr:row>63</xdr:row>
          <xdr:rowOff>238125</xdr:rowOff>
        </xdr:to>
        <xdr:sp macro="" textlink="">
          <xdr:nvSpPr>
            <xdr:cNvPr id="25654" name="Check Box 54" hidden="1">
              <a:extLst>
                <a:ext uri="{63B3BB69-23CF-44E3-9099-C40C66FF867C}">
                  <a14:compatExt spid="_x0000_s25654"/>
                </a:ext>
                <a:ext uri="{FF2B5EF4-FFF2-40B4-BE49-F238E27FC236}">
                  <a16:creationId xmlns:a16="http://schemas.microsoft.com/office/drawing/2014/main" id="{00000000-0008-0000-0700-00003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6</xdr:col>
          <xdr:colOff>428625</xdr:colOff>
          <xdr:row>65</xdr:row>
          <xdr:rowOff>238125</xdr:rowOff>
        </xdr:to>
        <xdr:sp macro="" textlink="">
          <xdr:nvSpPr>
            <xdr:cNvPr id="25655" name="Check Box 55" hidden="1">
              <a:extLst>
                <a:ext uri="{63B3BB69-23CF-44E3-9099-C40C66FF867C}">
                  <a14:compatExt spid="_x0000_s25655"/>
                </a:ext>
                <a:ext uri="{FF2B5EF4-FFF2-40B4-BE49-F238E27FC236}">
                  <a16:creationId xmlns:a16="http://schemas.microsoft.com/office/drawing/2014/main" id="{00000000-0008-0000-0700-00003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6</xdr:col>
          <xdr:colOff>428625</xdr:colOff>
          <xdr:row>66</xdr:row>
          <xdr:rowOff>238125</xdr:rowOff>
        </xdr:to>
        <xdr:sp macro="" textlink="">
          <xdr:nvSpPr>
            <xdr:cNvPr id="25656" name="Check Box 56" hidden="1">
              <a:extLst>
                <a:ext uri="{63B3BB69-23CF-44E3-9099-C40C66FF867C}">
                  <a14:compatExt spid="_x0000_s25656"/>
                </a:ext>
                <a:ext uri="{FF2B5EF4-FFF2-40B4-BE49-F238E27FC236}">
                  <a16:creationId xmlns:a16="http://schemas.microsoft.com/office/drawing/2014/main" id="{00000000-0008-0000-0700-00003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6</xdr:col>
          <xdr:colOff>428625</xdr:colOff>
          <xdr:row>67</xdr:row>
          <xdr:rowOff>238125</xdr:rowOff>
        </xdr:to>
        <xdr:sp macro="" textlink="">
          <xdr:nvSpPr>
            <xdr:cNvPr id="25657" name="Check Box 57" hidden="1">
              <a:extLst>
                <a:ext uri="{63B3BB69-23CF-44E3-9099-C40C66FF867C}">
                  <a14:compatExt spid="_x0000_s25657"/>
                </a:ext>
                <a:ext uri="{FF2B5EF4-FFF2-40B4-BE49-F238E27FC236}">
                  <a16:creationId xmlns:a16="http://schemas.microsoft.com/office/drawing/2014/main" id="{00000000-0008-0000-0700-00003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6</xdr:col>
          <xdr:colOff>428625</xdr:colOff>
          <xdr:row>68</xdr:row>
          <xdr:rowOff>238125</xdr:rowOff>
        </xdr:to>
        <xdr:sp macro="" textlink="">
          <xdr:nvSpPr>
            <xdr:cNvPr id="25658" name="Check Box 58" hidden="1">
              <a:extLst>
                <a:ext uri="{63B3BB69-23CF-44E3-9099-C40C66FF867C}">
                  <a14:compatExt spid="_x0000_s25658"/>
                </a:ext>
                <a:ext uri="{FF2B5EF4-FFF2-40B4-BE49-F238E27FC236}">
                  <a16:creationId xmlns:a16="http://schemas.microsoft.com/office/drawing/2014/main" id="{00000000-0008-0000-0700-00003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6</xdr:col>
          <xdr:colOff>428625</xdr:colOff>
          <xdr:row>69</xdr:row>
          <xdr:rowOff>238125</xdr:rowOff>
        </xdr:to>
        <xdr:sp macro="" textlink="">
          <xdr:nvSpPr>
            <xdr:cNvPr id="25659" name="Check Box 59" hidden="1">
              <a:extLst>
                <a:ext uri="{63B3BB69-23CF-44E3-9099-C40C66FF867C}">
                  <a14:compatExt spid="_x0000_s25659"/>
                </a:ext>
                <a:ext uri="{FF2B5EF4-FFF2-40B4-BE49-F238E27FC236}">
                  <a16:creationId xmlns:a16="http://schemas.microsoft.com/office/drawing/2014/main" id="{00000000-0008-0000-0700-00003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85725</xdr:colOff>
          <xdr:row>65</xdr:row>
          <xdr:rowOff>238125</xdr:rowOff>
        </xdr:to>
        <xdr:sp macro="" textlink="">
          <xdr:nvSpPr>
            <xdr:cNvPr id="25660" name="Check Box 60" hidden="1">
              <a:extLst>
                <a:ext uri="{63B3BB69-23CF-44E3-9099-C40C66FF867C}">
                  <a14:compatExt spid="_x0000_s25660"/>
                </a:ext>
                <a:ext uri="{FF2B5EF4-FFF2-40B4-BE49-F238E27FC236}">
                  <a16:creationId xmlns:a16="http://schemas.microsoft.com/office/drawing/2014/main" id="{00000000-0008-0000-0700-00003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85725</xdr:colOff>
          <xdr:row>66</xdr:row>
          <xdr:rowOff>238125</xdr:rowOff>
        </xdr:to>
        <xdr:sp macro="" textlink="">
          <xdr:nvSpPr>
            <xdr:cNvPr id="25661" name="Check Box 61" hidden="1">
              <a:extLst>
                <a:ext uri="{63B3BB69-23CF-44E3-9099-C40C66FF867C}">
                  <a14:compatExt spid="_x0000_s25661"/>
                </a:ext>
                <a:ext uri="{FF2B5EF4-FFF2-40B4-BE49-F238E27FC236}">
                  <a16:creationId xmlns:a16="http://schemas.microsoft.com/office/drawing/2014/main" id="{00000000-0008-0000-0700-00003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85725</xdr:colOff>
          <xdr:row>67</xdr:row>
          <xdr:rowOff>238125</xdr:rowOff>
        </xdr:to>
        <xdr:sp macro="" textlink="">
          <xdr:nvSpPr>
            <xdr:cNvPr id="25662" name="Check Box 62" hidden="1">
              <a:extLst>
                <a:ext uri="{63B3BB69-23CF-44E3-9099-C40C66FF867C}">
                  <a14:compatExt spid="_x0000_s25662"/>
                </a:ext>
                <a:ext uri="{FF2B5EF4-FFF2-40B4-BE49-F238E27FC236}">
                  <a16:creationId xmlns:a16="http://schemas.microsoft.com/office/drawing/2014/main" id="{00000000-0008-0000-0700-00003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OPs_Checklists_QM_Documents\SOPS%20Sample%20prep\Checklists%20and%20SOPs\10x\TENX_15.06.26.xlsx" TargetMode="External"/><Relationship Id="rId1" Type="http://schemas.openxmlformats.org/officeDocument/2006/relationships/externalLinkPath" Target="file:///L:\bsf\private\SOPs_Checklists_QM_Documents\SOPS%20Sample%20prep\Checklists%20and%20SOPs\10x\TENX_15.06.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 GEMX"/>
      <sheetName val="3'_checklist"/>
      <sheetName val="3'_hashes_checklist"/>
      <sheetName val="3_AC_checklist"/>
      <sheetName val="3'_OCM_4plex"/>
      <sheetName val="Flex_GEMX"/>
      <sheetName val="Flex_GEMX_v2"/>
      <sheetName val="5'_GEMX"/>
      <sheetName val="5'_OCM_4plex"/>
      <sheetName val="Equal_Pooling_RevB"/>
      <sheetName val="Pooling"/>
    </sheetNames>
    <sheetDataSet>
      <sheetData sheetId="0"/>
      <sheetData sheetId="1"/>
      <sheetData sheetId="2">
        <row r="2">
          <cell r="B2"/>
          <cell r="E2"/>
          <cell r="F2" t="e">
            <v>#DIV/0!</v>
          </cell>
        </row>
        <row r="3">
          <cell r="B3"/>
          <cell r="E3"/>
          <cell r="F3" t="e">
            <v>#DIV/0!</v>
          </cell>
        </row>
        <row r="4">
          <cell r="B4"/>
          <cell r="E4"/>
          <cell r="F4" t="e">
            <v>#DIV/0!</v>
          </cell>
        </row>
        <row r="5">
          <cell r="B5"/>
          <cell r="E5"/>
          <cell r="F5" t="e">
            <v>#DIV/0!</v>
          </cell>
        </row>
        <row r="6">
          <cell r="B6"/>
          <cell r="E6"/>
          <cell r="F6" t="e">
            <v>#DIV/0!</v>
          </cell>
        </row>
        <row r="7">
          <cell r="B7"/>
          <cell r="E7"/>
          <cell r="F7" t="e">
            <v>#DIV/0!</v>
          </cell>
        </row>
        <row r="8">
          <cell r="B8"/>
          <cell r="E8"/>
          <cell r="F8" t="e">
            <v>#DIV/0!</v>
          </cell>
        </row>
        <row r="9">
          <cell r="B9"/>
          <cell r="E9"/>
          <cell r="F9" t="e">
            <v>#DIV/0!</v>
          </cell>
        </row>
        <row r="10">
          <cell r="B10"/>
          <cell r="E10"/>
          <cell r="F10" t="e">
            <v>#DIV/0!</v>
          </cell>
        </row>
        <row r="11">
          <cell r="B11"/>
          <cell r="E11"/>
          <cell r="F11" t="e">
            <v>#DIV/0!</v>
          </cell>
        </row>
        <row r="12">
          <cell r="B12"/>
          <cell r="E12"/>
          <cell r="F12" t="e">
            <v>#DIV/0!</v>
          </cell>
        </row>
        <row r="13">
          <cell r="B13"/>
          <cell r="E13"/>
          <cell r="F13" t="e">
            <v>#DIV/0!</v>
          </cell>
        </row>
        <row r="14">
          <cell r="B14"/>
          <cell r="E14"/>
          <cell r="F14" t="e">
            <v>#DIV/0!</v>
          </cell>
        </row>
        <row r="15">
          <cell r="B15"/>
          <cell r="E15"/>
          <cell r="F15" t="e">
            <v>#DIV/0!</v>
          </cell>
        </row>
        <row r="16">
          <cell r="B16"/>
          <cell r="E16"/>
          <cell r="F16" t="e">
            <v>#DIV/0!</v>
          </cell>
        </row>
        <row r="17">
          <cell r="B17"/>
          <cell r="E17"/>
          <cell r="F17" t="e">
            <v>#DIV/0!</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F5AA4A8-86FA-4898-BF05-7FF92D44DA14}" name="FLEX_table" displayName="FLEX_table" ref="A1:J17" totalsRowShown="0" headerRowDxfId="41" headerRowBorderDxfId="40" tableBorderDxfId="39" totalsRowBorderDxfId="38">
  <autoFilter ref="A1:J17" xr:uid="{CF5AA4A8-86FA-4898-BF05-7FF92D44DA14}"/>
  <tableColumns count="10">
    <tableColumn id="1" xr3:uid="{8390F5FD-A92E-41DB-B93F-93E157B2B94B}" name="sample_num" dataDxfId="37"/>
    <tableColumn id="2" xr3:uid="{01D30C3D-1DB0-44FA-B6AB-1847449C96ED}" name="sample_name" dataDxfId="36"/>
    <tableColumn id="3" xr3:uid="{C087E944-272D-4A66-9BEE-F350BE68C573}" name="cellcount_permL" dataDxfId="35"/>
    <tableColumn id="4" xr3:uid="{23BC6B24-5D12-4BB8-A848-9A07BDC7F705}" name="cellcount_peruL" dataDxfId="34">
      <calculatedColumnFormula>C2*10^3</calculatedColumnFormula>
    </tableColumn>
    <tableColumn id="5" xr3:uid="{20962331-0153-4D08-B2E2-FF969DC24F67}" name="targeted_cellinput" dataDxfId="33"/>
    <tableColumn id="6" xr3:uid="{5776BA1D-76DF-4480-AE9D-C94EF93338BB}" name="vol_used_for_hybridization" dataDxfId="32">
      <calculatedColumnFormula>E2/D2</calculatedColumnFormula>
    </tableColumn>
    <tableColumn id="7" xr3:uid="{BDE9CD17-8CC2-4A0F-9166-FFCA2ABDC764}" name="WTA_ProbeID" dataDxfId="31"/>
    <tableColumn id="8" xr3:uid="{21D954C8-C53C-44D7-A573-55E2A3B72627}" name="cellcount_after_hyb" dataDxfId="30"/>
    <tableColumn id="9" xr3:uid="{E9B7C43D-9053-4418-85A5-DD6777A170A0}" name="sample_volume_pooling" dataDxfId="29">
      <calculatedColumnFormula>Equal_Pooling_RevB!H15</calculatedColumnFormula>
    </tableColumn>
    <tableColumn id="10" xr3:uid="{A2B1D4ED-8CDE-4176-821E-33A6CDBCDB95}" name="Chip_problems" dataDxfId="28">
      <calculatedColumnFormula>Equal_Pooling_RevB!I15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27" dataDxfId="25" totalsRowDxfId="24" headerRowBorderDxfId="26">
  <tableColumns count="2">
    <tableColumn id="1" xr3:uid="{CF4D35B6-53E1-43AA-8958-D9DE20121177}" name="Post-Hybridization Cell Concentration_x000a__x000a_ (Cells in Post-Hyb _x000a_Wash Buffer)" dataDxfId="23">
      <calculatedColumnFormula>FLEX_table!$H2</calculatedColumnFormula>
    </tableColumn>
    <tableColumn id="2" xr3:uid="{492F30E2-707A-42CF-9371-3AF8938E14C7}" name="Post-Hybridization Sample Volume_x000a__x000a_" dataDxfId="22"/>
  </tableColumns>
  <tableStyleInfo name="1-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21" dataDxfId="19" totalsRowDxfId="18" headerRowBorderDxfId="20">
  <tableColumns count="1">
    <tableColumn id="1" xr3:uid="{4810EFAF-C4DF-4418-AEA9-81BDCE2494AC}" name="Probe Barcode" dataDxfId="17"/>
  </tableColumns>
  <tableStyleInfo name="1-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16" dataDxfId="15" totalsRowDxfId="14">
  <tableColumns count="6">
    <tableColumn id="1" xr3:uid="{8B85CEA0-203A-4FF7-8230-838726138EF8}" name="Total Cells in Hybridization_x000a__x000a_(Post-Hyb Cell _x000a_Conc. *  Volume)" dataDxfId="13">
      <calculatedColumnFormula xml:space="preserve"> IF(ISBLANK(Table_2[[#This Row],[Post-Hybridization Sample Volume
]]),"",        IF((C15*D15)&gt;0,C15*D15,))</calculatedColumnFormula>
    </tableColumn>
    <tableColumn id="2" xr3:uid="{FF43283E-02B1-4D34-B5B0-867B613F0B5C}" name="% of Final Pool _x000a__x000a_  " dataDxfId="12">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11">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10">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9">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8">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42" Type="http://schemas.openxmlformats.org/officeDocument/2006/relationships/ctrlProp" Target="../ctrlProps/ctrlProp76.xml"/><Relationship Id="rId7" Type="http://schemas.openxmlformats.org/officeDocument/2006/relationships/ctrlProp" Target="../ctrlProps/ctrlProp41.xml"/><Relationship Id="rId2" Type="http://schemas.openxmlformats.org/officeDocument/2006/relationships/drawing" Target="../drawings/drawing3.xml"/><Relationship Id="rId16" Type="http://schemas.openxmlformats.org/officeDocument/2006/relationships/ctrlProp" Target="../ctrlProps/ctrlProp50.xml"/><Relationship Id="rId20" Type="http://schemas.openxmlformats.org/officeDocument/2006/relationships/ctrlProp" Target="../ctrlProps/ctrlProp54.xml"/><Relationship Id="rId29" Type="http://schemas.openxmlformats.org/officeDocument/2006/relationships/ctrlProp" Target="../ctrlProps/ctrlProp63.xml"/><Relationship Id="rId41" Type="http://schemas.openxmlformats.org/officeDocument/2006/relationships/ctrlProp" Target="../ctrlProps/ctrlProp75.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40" Type="http://schemas.openxmlformats.org/officeDocument/2006/relationships/ctrlProp" Target="../ctrlProps/ctrlProp74.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43" Type="http://schemas.openxmlformats.org/officeDocument/2006/relationships/ctrlProp" Target="../ctrlProps/ctrlProp77.xml"/><Relationship Id="rId8" Type="http://schemas.openxmlformats.org/officeDocument/2006/relationships/ctrlProp" Target="../ctrlProps/ctrlProp42.xml"/><Relationship Id="rId3" Type="http://schemas.openxmlformats.org/officeDocument/2006/relationships/vmlDrawing" Target="../drawings/vmlDrawing2.v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s>
</file>

<file path=xl/worksheets/_rels/sheet7.xml.rels><?xml version="1.0" encoding="UTF-8" standalone="yes"?>
<Relationships xmlns="http://schemas.openxmlformats.org/package/2006/relationships"><Relationship Id="rId26" Type="http://schemas.openxmlformats.org/officeDocument/2006/relationships/ctrlProp" Target="../ctrlProps/ctrlProp100.xml"/><Relationship Id="rId21" Type="http://schemas.openxmlformats.org/officeDocument/2006/relationships/ctrlProp" Target="../ctrlProps/ctrlProp95.xml"/><Relationship Id="rId42" Type="http://schemas.openxmlformats.org/officeDocument/2006/relationships/ctrlProp" Target="../ctrlProps/ctrlProp116.xml"/><Relationship Id="rId47" Type="http://schemas.openxmlformats.org/officeDocument/2006/relationships/ctrlProp" Target="../ctrlProps/ctrlProp121.xml"/><Relationship Id="rId63" Type="http://schemas.openxmlformats.org/officeDocument/2006/relationships/ctrlProp" Target="../ctrlProps/ctrlProp137.xml"/><Relationship Id="rId68" Type="http://schemas.openxmlformats.org/officeDocument/2006/relationships/ctrlProp" Target="../ctrlProps/ctrlProp142.xml"/><Relationship Id="rId16" Type="http://schemas.openxmlformats.org/officeDocument/2006/relationships/ctrlProp" Target="../ctrlProps/ctrlProp90.xml"/><Relationship Id="rId11" Type="http://schemas.openxmlformats.org/officeDocument/2006/relationships/ctrlProp" Target="../ctrlProps/ctrlProp85.xml"/><Relationship Id="rId24" Type="http://schemas.openxmlformats.org/officeDocument/2006/relationships/ctrlProp" Target="../ctrlProps/ctrlProp98.xml"/><Relationship Id="rId32" Type="http://schemas.openxmlformats.org/officeDocument/2006/relationships/ctrlProp" Target="../ctrlProps/ctrlProp106.xml"/><Relationship Id="rId37" Type="http://schemas.openxmlformats.org/officeDocument/2006/relationships/ctrlProp" Target="../ctrlProps/ctrlProp111.xml"/><Relationship Id="rId40" Type="http://schemas.openxmlformats.org/officeDocument/2006/relationships/ctrlProp" Target="../ctrlProps/ctrlProp114.xml"/><Relationship Id="rId45" Type="http://schemas.openxmlformats.org/officeDocument/2006/relationships/ctrlProp" Target="../ctrlProps/ctrlProp119.xml"/><Relationship Id="rId53" Type="http://schemas.openxmlformats.org/officeDocument/2006/relationships/ctrlProp" Target="../ctrlProps/ctrlProp127.xml"/><Relationship Id="rId58" Type="http://schemas.openxmlformats.org/officeDocument/2006/relationships/ctrlProp" Target="../ctrlProps/ctrlProp132.xml"/><Relationship Id="rId66" Type="http://schemas.openxmlformats.org/officeDocument/2006/relationships/ctrlProp" Target="../ctrlProps/ctrlProp140.xml"/><Relationship Id="rId74" Type="http://schemas.openxmlformats.org/officeDocument/2006/relationships/ctrlProp" Target="../ctrlProps/ctrlProp148.xml"/><Relationship Id="rId79" Type="http://schemas.openxmlformats.org/officeDocument/2006/relationships/ctrlProp" Target="../ctrlProps/ctrlProp153.xml"/><Relationship Id="rId5" Type="http://schemas.openxmlformats.org/officeDocument/2006/relationships/ctrlProp" Target="../ctrlProps/ctrlProp79.xml"/><Relationship Id="rId61" Type="http://schemas.openxmlformats.org/officeDocument/2006/relationships/ctrlProp" Target="../ctrlProps/ctrlProp135.xml"/><Relationship Id="rId19" Type="http://schemas.openxmlformats.org/officeDocument/2006/relationships/ctrlProp" Target="../ctrlProps/ctrlProp93.xml"/><Relationship Id="rId14" Type="http://schemas.openxmlformats.org/officeDocument/2006/relationships/ctrlProp" Target="../ctrlProps/ctrlProp88.xml"/><Relationship Id="rId22" Type="http://schemas.openxmlformats.org/officeDocument/2006/relationships/ctrlProp" Target="../ctrlProps/ctrlProp96.xml"/><Relationship Id="rId27" Type="http://schemas.openxmlformats.org/officeDocument/2006/relationships/ctrlProp" Target="../ctrlProps/ctrlProp101.xml"/><Relationship Id="rId30" Type="http://schemas.openxmlformats.org/officeDocument/2006/relationships/ctrlProp" Target="../ctrlProps/ctrlProp104.xml"/><Relationship Id="rId35" Type="http://schemas.openxmlformats.org/officeDocument/2006/relationships/ctrlProp" Target="../ctrlProps/ctrlProp109.xml"/><Relationship Id="rId43" Type="http://schemas.openxmlformats.org/officeDocument/2006/relationships/ctrlProp" Target="../ctrlProps/ctrlProp117.xml"/><Relationship Id="rId48" Type="http://schemas.openxmlformats.org/officeDocument/2006/relationships/ctrlProp" Target="../ctrlProps/ctrlProp122.xml"/><Relationship Id="rId56" Type="http://schemas.openxmlformats.org/officeDocument/2006/relationships/ctrlProp" Target="../ctrlProps/ctrlProp130.xml"/><Relationship Id="rId64" Type="http://schemas.openxmlformats.org/officeDocument/2006/relationships/ctrlProp" Target="../ctrlProps/ctrlProp138.xml"/><Relationship Id="rId69" Type="http://schemas.openxmlformats.org/officeDocument/2006/relationships/ctrlProp" Target="../ctrlProps/ctrlProp143.xml"/><Relationship Id="rId77" Type="http://schemas.openxmlformats.org/officeDocument/2006/relationships/ctrlProp" Target="../ctrlProps/ctrlProp151.xml"/><Relationship Id="rId8" Type="http://schemas.openxmlformats.org/officeDocument/2006/relationships/ctrlProp" Target="../ctrlProps/ctrlProp82.xml"/><Relationship Id="rId51" Type="http://schemas.openxmlformats.org/officeDocument/2006/relationships/ctrlProp" Target="../ctrlProps/ctrlProp125.xml"/><Relationship Id="rId72" Type="http://schemas.openxmlformats.org/officeDocument/2006/relationships/ctrlProp" Target="../ctrlProps/ctrlProp146.xml"/><Relationship Id="rId3" Type="http://schemas.openxmlformats.org/officeDocument/2006/relationships/vmlDrawing" Target="../drawings/vmlDrawing3.vml"/><Relationship Id="rId12" Type="http://schemas.openxmlformats.org/officeDocument/2006/relationships/ctrlProp" Target="../ctrlProps/ctrlProp86.xml"/><Relationship Id="rId17" Type="http://schemas.openxmlformats.org/officeDocument/2006/relationships/ctrlProp" Target="../ctrlProps/ctrlProp91.xml"/><Relationship Id="rId25" Type="http://schemas.openxmlformats.org/officeDocument/2006/relationships/ctrlProp" Target="../ctrlProps/ctrlProp99.xml"/><Relationship Id="rId33" Type="http://schemas.openxmlformats.org/officeDocument/2006/relationships/ctrlProp" Target="../ctrlProps/ctrlProp107.xml"/><Relationship Id="rId38" Type="http://schemas.openxmlformats.org/officeDocument/2006/relationships/ctrlProp" Target="../ctrlProps/ctrlProp112.xml"/><Relationship Id="rId46" Type="http://schemas.openxmlformats.org/officeDocument/2006/relationships/ctrlProp" Target="../ctrlProps/ctrlProp120.xml"/><Relationship Id="rId59" Type="http://schemas.openxmlformats.org/officeDocument/2006/relationships/ctrlProp" Target="../ctrlProps/ctrlProp133.xml"/><Relationship Id="rId67" Type="http://schemas.openxmlformats.org/officeDocument/2006/relationships/ctrlProp" Target="../ctrlProps/ctrlProp141.xml"/><Relationship Id="rId20" Type="http://schemas.openxmlformats.org/officeDocument/2006/relationships/ctrlProp" Target="../ctrlProps/ctrlProp94.xml"/><Relationship Id="rId41" Type="http://schemas.openxmlformats.org/officeDocument/2006/relationships/ctrlProp" Target="../ctrlProps/ctrlProp115.xml"/><Relationship Id="rId54" Type="http://schemas.openxmlformats.org/officeDocument/2006/relationships/ctrlProp" Target="../ctrlProps/ctrlProp128.xml"/><Relationship Id="rId62" Type="http://schemas.openxmlformats.org/officeDocument/2006/relationships/ctrlProp" Target="../ctrlProps/ctrlProp136.xml"/><Relationship Id="rId70" Type="http://schemas.openxmlformats.org/officeDocument/2006/relationships/ctrlProp" Target="../ctrlProps/ctrlProp144.xml"/><Relationship Id="rId75" Type="http://schemas.openxmlformats.org/officeDocument/2006/relationships/ctrlProp" Target="../ctrlProps/ctrlProp149.xml"/><Relationship Id="rId1" Type="http://schemas.openxmlformats.org/officeDocument/2006/relationships/printerSettings" Target="../printerSettings/printerSettings3.bin"/><Relationship Id="rId6" Type="http://schemas.openxmlformats.org/officeDocument/2006/relationships/ctrlProp" Target="../ctrlProps/ctrlProp80.xml"/><Relationship Id="rId15" Type="http://schemas.openxmlformats.org/officeDocument/2006/relationships/ctrlProp" Target="../ctrlProps/ctrlProp89.xml"/><Relationship Id="rId23" Type="http://schemas.openxmlformats.org/officeDocument/2006/relationships/ctrlProp" Target="../ctrlProps/ctrlProp97.xml"/><Relationship Id="rId28" Type="http://schemas.openxmlformats.org/officeDocument/2006/relationships/ctrlProp" Target="../ctrlProps/ctrlProp102.xml"/><Relationship Id="rId36" Type="http://schemas.openxmlformats.org/officeDocument/2006/relationships/ctrlProp" Target="../ctrlProps/ctrlProp110.xml"/><Relationship Id="rId49" Type="http://schemas.openxmlformats.org/officeDocument/2006/relationships/ctrlProp" Target="../ctrlProps/ctrlProp123.xml"/><Relationship Id="rId57" Type="http://schemas.openxmlformats.org/officeDocument/2006/relationships/ctrlProp" Target="../ctrlProps/ctrlProp131.xml"/><Relationship Id="rId10" Type="http://schemas.openxmlformats.org/officeDocument/2006/relationships/ctrlProp" Target="../ctrlProps/ctrlProp84.xml"/><Relationship Id="rId31" Type="http://schemas.openxmlformats.org/officeDocument/2006/relationships/ctrlProp" Target="../ctrlProps/ctrlProp105.xml"/><Relationship Id="rId44" Type="http://schemas.openxmlformats.org/officeDocument/2006/relationships/ctrlProp" Target="../ctrlProps/ctrlProp118.xml"/><Relationship Id="rId52" Type="http://schemas.openxmlformats.org/officeDocument/2006/relationships/ctrlProp" Target="../ctrlProps/ctrlProp126.xml"/><Relationship Id="rId60" Type="http://schemas.openxmlformats.org/officeDocument/2006/relationships/ctrlProp" Target="../ctrlProps/ctrlProp134.xml"/><Relationship Id="rId65" Type="http://schemas.openxmlformats.org/officeDocument/2006/relationships/ctrlProp" Target="../ctrlProps/ctrlProp139.xml"/><Relationship Id="rId73" Type="http://schemas.openxmlformats.org/officeDocument/2006/relationships/ctrlProp" Target="../ctrlProps/ctrlProp147.xml"/><Relationship Id="rId78" Type="http://schemas.openxmlformats.org/officeDocument/2006/relationships/ctrlProp" Target="../ctrlProps/ctrlProp152.xml"/><Relationship Id="rId4" Type="http://schemas.openxmlformats.org/officeDocument/2006/relationships/ctrlProp" Target="../ctrlProps/ctrlProp78.xml"/><Relationship Id="rId9" Type="http://schemas.openxmlformats.org/officeDocument/2006/relationships/ctrlProp" Target="../ctrlProps/ctrlProp83.xml"/><Relationship Id="rId13" Type="http://schemas.openxmlformats.org/officeDocument/2006/relationships/ctrlProp" Target="../ctrlProps/ctrlProp87.xml"/><Relationship Id="rId18" Type="http://schemas.openxmlformats.org/officeDocument/2006/relationships/ctrlProp" Target="../ctrlProps/ctrlProp92.xml"/><Relationship Id="rId39" Type="http://schemas.openxmlformats.org/officeDocument/2006/relationships/ctrlProp" Target="../ctrlProps/ctrlProp113.xml"/><Relationship Id="rId34" Type="http://schemas.openxmlformats.org/officeDocument/2006/relationships/ctrlProp" Target="../ctrlProps/ctrlProp108.xml"/><Relationship Id="rId50" Type="http://schemas.openxmlformats.org/officeDocument/2006/relationships/ctrlProp" Target="../ctrlProps/ctrlProp124.xml"/><Relationship Id="rId55" Type="http://schemas.openxmlformats.org/officeDocument/2006/relationships/ctrlProp" Target="../ctrlProps/ctrlProp129.xml"/><Relationship Id="rId76" Type="http://schemas.openxmlformats.org/officeDocument/2006/relationships/ctrlProp" Target="../ctrlProps/ctrlProp150.xml"/><Relationship Id="rId7" Type="http://schemas.openxmlformats.org/officeDocument/2006/relationships/ctrlProp" Target="../ctrlProps/ctrlProp81.xml"/><Relationship Id="rId71" Type="http://schemas.openxmlformats.org/officeDocument/2006/relationships/ctrlProp" Target="../ctrlProps/ctrlProp145.xml"/><Relationship Id="rId2" Type="http://schemas.openxmlformats.org/officeDocument/2006/relationships/drawing" Target="../drawings/drawing4.xml"/><Relationship Id="rId29" Type="http://schemas.openxmlformats.org/officeDocument/2006/relationships/ctrlProp" Target="../ctrlProps/ctrlProp103.xml"/></Relationships>
</file>

<file path=xl/worksheets/_rels/sheet8.xml.rels><?xml version="1.0" encoding="UTF-8" standalone="yes"?>
<Relationships xmlns="http://schemas.openxmlformats.org/package/2006/relationships"><Relationship Id="rId13" Type="http://schemas.openxmlformats.org/officeDocument/2006/relationships/ctrlProp" Target="../ctrlProps/ctrlProp164.xml"/><Relationship Id="rId18" Type="http://schemas.openxmlformats.org/officeDocument/2006/relationships/ctrlProp" Target="../ctrlProps/ctrlProp169.xml"/><Relationship Id="rId26" Type="http://schemas.openxmlformats.org/officeDocument/2006/relationships/ctrlProp" Target="../ctrlProps/ctrlProp177.xml"/><Relationship Id="rId39" Type="http://schemas.openxmlformats.org/officeDocument/2006/relationships/ctrlProp" Target="../ctrlProps/ctrlProp190.xml"/><Relationship Id="rId21" Type="http://schemas.openxmlformats.org/officeDocument/2006/relationships/ctrlProp" Target="../ctrlProps/ctrlProp172.xml"/><Relationship Id="rId34" Type="http://schemas.openxmlformats.org/officeDocument/2006/relationships/ctrlProp" Target="../ctrlProps/ctrlProp185.xml"/><Relationship Id="rId42" Type="http://schemas.openxmlformats.org/officeDocument/2006/relationships/ctrlProp" Target="../ctrlProps/ctrlProp193.xml"/><Relationship Id="rId7" Type="http://schemas.openxmlformats.org/officeDocument/2006/relationships/ctrlProp" Target="../ctrlProps/ctrlProp158.xml"/><Relationship Id="rId2" Type="http://schemas.openxmlformats.org/officeDocument/2006/relationships/vmlDrawing" Target="../drawings/vmlDrawing4.vml"/><Relationship Id="rId16" Type="http://schemas.openxmlformats.org/officeDocument/2006/relationships/ctrlProp" Target="../ctrlProps/ctrlProp167.xml"/><Relationship Id="rId29" Type="http://schemas.openxmlformats.org/officeDocument/2006/relationships/ctrlProp" Target="../ctrlProps/ctrlProp180.xml"/><Relationship Id="rId1" Type="http://schemas.openxmlformats.org/officeDocument/2006/relationships/drawing" Target="../drawings/drawing5.xml"/><Relationship Id="rId6" Type="http://schemas.openxmlformats.org/officeDocument/2006/relationships/ctrlProp" Target="../ctrlProps/ctrlProp157.xml"/><Relationship Id="rId11" Type="http://schemas.openxmlformats.org/officeDocument/2006/relationships/ctrlProp" Target="../ctrlProps/ctrlProp162.xml"/><Relationship Id="rId24" Type="http://schemas.openxmlformats.org/officeDocument/2006/relationships/ctrlProp" Target="../ctrlProps/ctrlProp175.xml"/><Relationship Id="rId32" Type="http://schemas.openxmlformats.org/officeDocument/2006/relationships/ctrlProp" Target="../ctrlProps/ctrlProp183.xml"/><Relationship Id="rId37" Type="http://schemas.openxmlformats.org/officeDocument/2006/relationships/ctrlProp" Target="../ctrlProps/ctrlProp188.xml"/><Relationship Id="rId40" Type="http://schemas.openxmlformats.org/officeDocument/2006/relationships/ctrlProp" Target="../ctrlProps/ctrlProp191.xml"/><Relationship Id="rId45" Type="http://schemas.openxmlformats.org/officeDocument/2006/relationships/ctrlProp" Target="../ctrlProps/ctrlProp196.xml"/><Relationship Id="rId5" Type="http://schemas.openxmlformats.org/officeDocument/2006/relationships/ctrlProp" Target="../ctrlProps/ctrlProp156.xml"/><Relationship Id="rId15" Type="http://schemas.openxmlformats.org/officeDocument/2006/relationships/ctrlProp" Target="../ctrlProps/ctrlProp166.xml"/><Relationship Id="rId23" Type="http://schemas.openxmlformats.org/officeDocument/2006/relationships/ctrlProp" Target="../ctrlProps/ctrlProp174.xml"/><Relationship Id="rId28" Type="http://schemas.openxmlformats.org/officeDocument/2006/relationships/ctrlProp" Target="../ctrlProps/ctrlProp179.xml"/><Relationship Id="rId36" Type="http://schemas.openxmlformats.org/officeDocument/2006/relationships/ctrlProp" Target="../ctrlProps/ctrlProp187.xml"/><Relationship Id="rId10" Type="http://schemas.openxmlformats.org/officeDocument/2006/relationships/ctrlProp" Target="../ctrlProps/ctrlProp161.xml"/><Relationship Id="rId19" Type="http://schemas.openxmlformats.org/officeDocument/2006/relationships/ctrlProp" Target="../ctrlProps/ctrlProp170.xml"/><Relationship Id="rId31" Type="http://schemas.openxmlformats.org/officeDocument/2006/relationships/ctrlProp" Target="../ctrlProps/ctrlProp182.xml"/><Relationship Id="rId44" Type="http://schemas.openxmlformats.org/officeDocument/2006/relationships/ctrlProp" Target="../ctrlProps/ctrlProp195.xml"/><Relationship Id="rId4" Type="http://schemas.openxmlformats.org/officeDocument/2006/relationships/ctrlProp" Target="../ctrlProps/ctrlProp155.xml"/><Relationship Id="rId9" Type="http://schemas.openxmlformats.org/officeDocument/2006/relationships/ctrlProp" Target="../ctrlProps/ctrlProp160.xml"/><Relationship Id="rId14" Type="http://schemas.openxmlformats.org/officeDocument/2006/relationships/ctrlProp" Target="../ctrlProps/ctrlProp165.xml"/><Relationship Id="rId22" Type="http://schemas.openxmlformats.org/officeDocument/2006/relationships/ctrlProp" Target="../ctrlProps/ctrlProp173.xml"/><Relationship Id="rId27" Type="http://schemas.openxmlformats.org/officeDocument/2006/relationships/ctrlProp" Target="../ctrlProps/ctrlProp178.xml"/><Relationship Id="rId30" Type="http://schemas.openxmlformats.org/officeDocument/2006/relationships/ctrlProp" Target="../ctrlProps/ctrlProp181.xml"/><Relationship Id="rId35" Type="http://schemas.openxmlformats.org/officeDocument/2006/relationships/ctrlProp" Target="../ctrlProps/ctrlProp186.xml"/><Relationship Id="rId43" Type="http://schemas.openxmlformats.org/officeDocument/2006/relationships/ctrlProp" Target="../ctrlProps/ctrlProp194.xml"/><Relationship Id="rId8" Type="http://schemas.openxmlformats.org/officeDocument/2006/relationships/ctrlProp" Target="../ctrlProps/ctrlProp159.xml"/><Relationship Id="rId3" Type="http://schemas.openxmlformats.org/officeDocument/2006/relationships/ctrlProp" Target="../ctrlProps/ctrlProp154.xml"/><Relationship Id="rId12" Type="http://schemas.openxmlformats.org/officeDocument/2006/relationships/ctrlProp" Target="../ctrlProps/ctrlProp163.xml"/><Relationship Id="rId17" Type="http://schemas.openxmlformats.org/officeDocument/2006/relationships/ctrlProp" Target="../ctrlProps/ctrlProp168.xml"/><Relationship Id="rId25" Type="http://schemas.openxmlformats.org/officeDocument/2006/relationships/ctrlProp" Target="../ctrlProps/ctrlProp176.xml"/><Relationship Id="rId33" Type="http://schemas.openxmlformats.org/officeDocument/2006/relationships/ctrlProp" Target="../ctrlProps/ctrlProp184.xml"/><Relationship Id="rId38" Type="http://schemas.openxmlformats.org/officeDocument/2006/relationships/ctrlProp" Target="../ctrlProps/ctrlProp189.xml"/><Relationship Id="rId46" Type="http://schemas.openxmlformats.org/officeDocument/2006/relationships/ctrlProp" Target="../ctrlProps/ctrlProp197.xml"/><Relationship Id="rId20" Type="http://schemas.openxmlformats.org/officeDocument/2006/relationships/ctrlProp" Target="../ctrlProps/ctrlProp171.xml"/><Relationship Id="rId41" Type="http://schemas.openxmlformats.org/officeDocument/2006/relationships/ctrlProp" Target="../ctrlProps/ctrlProp19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4.bin"/><Relationship Id="rId4"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sheetPr codeName="Sheet1"/>
  <dimension ref="A1:X98"/>
  <sheetViews>
    <sheetView workbookViewId="0">
      <selection activeCell="H2" sqref="H2"/>
    </sheetView>
  </sheetViews>
  <sheetFormatPr defaultColWidth="9.140625" defaultRowHeight="15"/>
  <cols>
    <col min="1" max="1" width="12.42578125" style="99" bestFit="1" customWidth="1"/>
    <col min="2" max="3" width="12.42578125" style="99" customWidth="1"/>
    <col min="4" max="4" width="8.85546875" style="99" customWidth="1"/>
    <col min="5" max="7" width="13.42578125" style="99" customWidth="1"/>
    <col min="8" max="12" width="12.42578125" style="99" customWidth="1"/>
    <col min="13" max="13" width="10" style="99" customWidth="1"/>
    <col min="14" max="16" width="12.42578125" style="99" customWidth="1"/>
    <col min="17" max="17" width="12.42578125" style="99" bestFit="1" customWidth="1"/>
    <col min="18" max="18" width="16.140625" style="99" bestFit="1" customWidth="1"/>
    <col min="19" max="19" width="9.42578125" style="99" bestFit="1" customWidth="1"/>
    <col min="20" max="20" width="16.140625" style="99" bestFit="1" customWidth="1"/>
    <col min="21" max="21" width="14.42578125" style="99" customWidth="1"/>
    <col min="22" max="24" width="7.85546875" style="99" customWidth="1"/>
    <col min="25" max="16384" width="9.140625" style="99"/>
  </cols>
  <sheetData>
    <row r="1" spans="1:24" ht="30">
      <c r="A1" s="2" t="s">
        <v>0</v>
      </c>
      <c r="B1" s="2" t="s">
        <v>1</v>
      </c>
      <c r="C1" s="2" t="s">
        <v>2</v>
      </c>
      <c r="D1" s="2" t="s">
        <v>3</v>
      </c>
      <c r="E1" s="2" t="s">
        <v>4</v>
      </c>
      <c r="F1" s="2" t="s">
        <v>188</v>
      </c>
      <c r="G1" s="2" t="s">
        <v>189</v>
      </c>
      <c r="H1" s="2" t="s">
        <v>5</v>
      </c>
      <c r="I1" s="2" t="s">
        <v>190</v>
      </c>
      <c r="J1" s="2" t="s">
        <v>202</v>
      </c>
      <c r="K1" s="2" t="s">
        <v>204</v>
      </c>
      <c r="L1" s="2" t="s">
        <v>203</v>
      </c>
      <c r="M1" s="2" t="s">
        <v>201</v>
      </c>
      <c r="N1" s="2" t="s">
        <v>191</v>
      </c>
      <c r="O1" s="2" t="s">
        <v>192</v>
      </c>
      <c r="P1" s="2" t="s">
        <v>193</v>
      </c>
      <c r="Q1" s="2" t="s">
        <v>194</v>
      </c>
      <c r="R1" s="2" t="s">
        <v>195</v>
      </c>
      <c r="S1" s="2" t="s">
        <v>196</v>
      </c>
      <c r="T1" s="2" t="s">
        <v>197</v>
      </c>
      <c r="U1" s="2" t="s">
        <v>284</v>
      </c>
      <c r="V1" s="2" t="s">
        <v>198</v>
      </c>
      <c r="W1" s="2" t="s">
        <v>199</v>
      </c>
      <c r="X1" s="2" t="s">
        <v>200</v>
      </c>
    </row>
    <row r="2" spans="1:24">
      <c r="A2" s="99">
        <v>1</v>
      </c>
      <c r="L2" s="99">
        <f>J2*K2</f>
        <v>0</v>
      </c>
      <c r="W2" s="140" t="e">
        <f>+MAX($U$2:$U$97)/U2</f>
        <v>#DIV/0!</v>
      </c>
      <c r="X2" s="140" t="e">
        <f>+W2*1</f>
        <v>#DIV/0!</v>
      </c>
    </row>
    <row r="3" spans="1:24">
      <c r="A3" s="99">
        <v>2</v>
      </c>
      <c r="L3" s="99">
        <f t="shared" ref="L3:L66" si="0">J3*K3</f>
        <v>0</v>
      </c>
      <c r="W3" s="140" t="e">
        <f t="shared" ref="W3:W66" si="1">+MAX($U$2:$U$97)/U3</f>
        <v>#DIV/0!</v>
      </c>
      <c r="X3" s="140" t="e">
        <f t="shared" ref="X3:X66" si="2">+W3*1</f>
        <v>#DIV/0!</v>
      </c>
    </row>
    <row r="4" spans="1:24">
      <c r="A4" s="99">
        <v>3</v>
      </c>
      <c r="L4" s="99">
        <f t="shared" si="0"/>
        <v>0</v>
      </c>
      <c r="W4" s="140" t="e">
        <f t="shared" si="1"/>
        <v>#DIV/0!</v>
      </c>
      <c r="X4" s="140" t="e">
        <f t="shared" si="2"/>
        <v>#DIV/0!</v>
      </c>
    </row>
    <row r="5" spans="1:24">
      <c r="A5" s="99">
        <v>4</v>
      </c>
      <c r="L5" s="99">
        <f t="shared" si="0"/>
        <v>0</v>
      </c>
      <c r="W5" s="140" t="e">
        <f t="shared" si="1"/>
        <v>#DIV/0!</v>
      </c>
      <c r="X5" s="140" t="e">
        <f t="shared" si="2"/>
        <v>#DIV/0!</v>
      </c>
    </row>
    <row r="6" spans="1:24">
      <c r="A6" s="99">
        <v>5</v>
      </c>
      <c r="L6" s="99">
        <f t="shared" si="0"/>
        <v>0</v>
      </c>
      <c r="W6" s="140" t="e">
        <f t="shared" si="1"/>
        <v>#DIV/0!</v>
      </c>
      <c r="X6" s="140" t="e">
        <f t="shared" si="2"/>
        <v>#DIV/0!</v>
      </c>
    </row>
    <row r="7" spans="1:24">
      <c r="A7" s="99">
        <v>6</v>
      </c>
      <c r="L7" s="99">
        <f t="shared" si="0"/>
        <v>0</v>
      </c>
      <c r="W7" s="140" t="e">
        <f t="shared" si="1"/>
        <v>#DIV/0!</v>
      </c>
      <c r="X7" s="140" t="e">
        <f t="shared" si="2"/>
        <v>#DIV/0!</v>
      </c>
    </row>
    <row r="8" spans="1:24">
      <c r="A8" s="99">
        <v>7</v>
      </c>
      <c r="L8" s="99">
        <f t="shared" si="0"/>
        <v>0</v>
      </c>
      <c r="W8" s="140" t="e">
        <f t="shared" si="1"/>
        <v>#DIV/0!</v>
      </c>
      <c r="X8" s="140" t="e">
        <f t="shared" si="2"/>
        <v>#DIV/0!</v>
      </c>
    </row>
    <row r="9" spans="1:24">
      <c r="A9" s="99">
        <v>8</v>
      </c>
      <c r="L9" s="99">
        <f t="shared" si="0"/>
        <v>0</v>
      </c>
      <c r="W9" s="140" t="e">
        <f t="shared" si="1"/>
        <v>#DIV/0!</v>
      </c>
      <c r="X9" s="140" t="e">
        <f t="shared" si="2"/>
        <v>#DIV/0!</v>
      </c>
    </row>
    <row r="10" spans="1:24">
      <c r="A10" s="99">
        <v>9</v>
      </c>
      <c r="L10" s="99">
        <f t="shared" si="0"/>
        <v>0</v>
      </c>
      <c r="W10" s="140" t="e">
        <f t="shared" si="1"/>
        <v>#DIV/0!</v>
      </c>
      <c r="X10" s="140" t="e">
        <f t="shared" si="2"/>
        <v>#DIV/0!</v>
      </c>
    </row>
    <row r="11" spans="1:24">
      <c r="A11" s="99">
        <v>10</v>
      </c>
      <c r="L11" s="99">
        <f t="shared" si="0"/>
        <v>0</v>
      </c>
      <c r="W11" s="140" t="e">
        <f t="shared" si="1"/>
        <v>#DIV/0!</v>
      </c>
      <c r="X11" s="140" t="e">
        <f t="shared" si="2"/>
        <v>#DIV/0!</v>
      </c>
    </row>
    <row r="12" spans="1:24">
      <c r="A12" s="99">
        <v>11</v>
      </c>
      <c r="L12" s="99">
        <f t="shared" si="0"/>
        <v>0</v>
      </c>
      <c r="W12" s="140" t="e">
        <f t="shared" si="1"/>
        <v>#DIV/0!</v>
      </c>
      <c r="X12" s="140" t="e">
        <f t="shared" si="2"/>
        <v>#DIV/0!</v>
      </c>
    </row>
    <row r="13" spans="1:24">
      <c r="A13" s="99">
        <v>12</v>
      </c>
      <c r="L13" s="99">
        <f t="shared" si="0"/>
        <v>0</v>
      </c>
      <c r="W13" s="140" t="e">
        <f t="shared" si="1"/>
        <v>#DIV/0!</v>
      </c>
      <c r="X13" s="140" t="e">
        <f t="shared" si="2"/>
        <v>#DIV/0!</v>
      </c>
    </row>
    <row r="14" spans="1:24">
      <c r="A14" s="99">
        <v>13</v>
      </c>
      <c r="L14" s="99">
        <f t="shared" si="0"/>
        <v>0</v>
      </c>
      <c r="W14" s="140" t="e">
        <f t="shared" si="1"/>
        <v>#DIV/0!</v>
      </c>
      <c r="X14" s="140" t="e">
        <f t="shared" si="2"/>
        <v>#DIV/0!</v>
      </c>
    </row>
    <row r="15" spans="1:24">
      <c r="A15" s="99">
        <v>14</v>
      </c>
      <c r="L15" s="99">
        <f t="shared" si="0"/>
        <v>0</v>
      </c>
      <c r="W15" s="140" t="e">
        <f t="shared" si="1"/>
        <v>#DIV/0!</v>
      </c>
      <c r="X15" s="140" t="e">
        <f t="shared" si="2"/>
        <v>#DIV/0!</v>
      </c>
    </row>
    <row r="16" spans="1:24">
      <c r="A16" s="99">
        <v>15</v>
      </c>
      <c r="L16" s="99">
        <f t="shared" si="0"/>
        <v>0</v>
      </c>
      <c r="W16" s="140" t="e">
        <f t="shared" si="1"/>
        <v>#DIV/0!</v>
      </c>
      <c r="X16" s="140" t="e">
        <f t="shared" si="2"/>
        <v>#DIV/0!</v>
      </c>
    </row>
    <row r="17" spans="1:24">
      <c r="A17" s="99">
        <v>16</v>
      </c>
      <c r="L17" s="99">
        <f t="shared" si="0"/>
        <v>0</v>
      </c>
      <c r="W17" s="140" t="e">
        <f t="shared" si="1"/>
        <v>#DIV/0!</v>
      </c>
      <c r="X17" s="140" t="e">
        <f t="shared" si="2"/>
        <v>#DIV/0!</v>
      </c>
    </row>
    <row r="18" spans="1:24">
      <c r="A18" s="99">
        <v>17</v>
      </c>
      <c r="L18" s="99">
        <f t="shared" si="0"/>
        <v>0</v>
      </c>
      <c r="W18" s="140" t="e">
        <f t="shared" si="1"/>
        <v>#DIV/0!</v>
      </c>
      <c r="X18" s="140" t="e">
        <f t="shared" si="2"/>
        <v>#DIV/0!</v>
      </c>
    </row>
    <row r="19" spans="1:24">
      <c r="A19" s="99">
        <v>18</v>
      </c>
      <c r="L19" s="99">
        <f t="shared" si="0"/>
        <v>0</v>
      </c>
      <c r="W19" s="140" t="e">
        <f t="shared" si="1"/>
        <v>#DIV/0!</v>
      </c>
      <c r="X19" s="140" t="e">
        <f t="shared" si="2"/>
        <v>#DIV/0!</v>
      </c>
    </row>
    <row r="20" spans="1:24">
      <c r="A20" s="99">
        <v>19</v>
      </c>
      <c r="L20" s="99">
        <f t="shared" si="0"/>
        <v>0</v>
      </c>
      <c r="W20" s="140" t="e">
        <f t="shared" si="1"/>
        <v>#DIV/0!</v>
      </c>
      <c r="X20" s="140" t="e">
        <f t="shared" si="2"/>
        <v>#DIV/0!</v>
      </c>
    </row>
    <row r="21" spans="1:24">
      <c r="A21" s="99">
        <v>20</v>
      </c>
      <c r="L21" s="99">
        <f t="shared" si="0"/>
        <v>0</v>
      </c>
      <c r="W21" s="140" t="e">
        <f t="shared" si="1"/>
        <v>#DIV/0!</v>
      </c>
      <c r="X21" s="140" t="e">
        <f t="shared" si="2"/>
        <v>#DIV/0!</v>
      </c>
    </row>
    <row r="22" spans="1:24">
      <c r="A22" s="99">
        <v>21</v>
      </c>
      <c r="L22" s="99">
        <f t="shared" si="0"/>
        <v>0</v>
      </c>
      <c r="W22" s="140" t="e">
        <f t="shared" si="1"/>
        <v>#DIV/0!</v>
      </c>
      <c r="X22" s="140" t="e">
        <f t="shared" si="2"/>
        <v>#DIV/0!</v>
      </c>
    </row>
    <row r="23" spans="1:24">
      <c r="A23" s="99">
        <v>22</v>
      </c>
      <c r="L23" s="99">
        <f t="shared" si="0"/>
        <v>0</v>
      </c>
      <c r="W23" s="140" t="e">
        <f t="shared" si="1"/>
        <v>#DIV/0!</v>
      </c>
      <c r="X23" s="140" t="e">
        <f t="shared" si="2"/>
        <v>#DIV/0!</v>
      </c>
    </row>
    <row r="24" spans="1:24">
      <c r="A24" s="99">
        <v>23</v>
      </c>
      <c r="L24" s="99">
        <f t="shared" si="0"/>
        <v>0</v>
      </c>
      <c r="W24" s="140" t="e">
        <f t="shared" si="1"/>
        <v>#DIV/0!</v>
      </c>
      <c r="X24" s="140" t="e">
        <f t="shared" si="2"/>
        <v>#DIV/0!</v>
      </c>
    </row>
    <row r="25" spans="1:24">
      <c r="A25" s="99">
        <v>24</v>
      </c>
      <c r="L25" s="99">
        <f t="shared" si="0"/>
        <v>0</v>
      </c>
      <c r="W25" s="140" t="e">
        <f t="shared" si="1"/>
        <v>#DIV/0!</v>
      </c>
      <c r="X25" s="140" t="e">
        <f t="shared" si="2"/>
        <v>#DIV/0!</v>
      </c>
    </row>
    <row r="26" spans="1:24">
      <c r="A26" s="99">
        <v>25</v>
      </c>
      <c r="L26" s="99">
        <f t="shared" si="0"/>
        <v>0</v>
      </c>
      <c r="W26" s="140" t="e">
        <f t="shared" si="1"/>
        <v>#DIV/0!</v>
      </c>
      <c r="X26" s="140" t="e">
        <f t="shared" si="2"/>
        <v>#DIV/0!</v>
      </c>
    </row>
    <row r="27" spans="1:24">
      <c r="A27" s="99">
        <v>26</v>
      </c>
      <c r="L27" s="99">
        <f t="shared" si="0"/>
        <v>0</v>
      </c>
      <c r="W27" s="140" t="e">
        <f t="shared" si="1"/>
        <v>#DIV/0!</v>
      </c>
      <c r="X27" s="140" t="e">
        <f t="shared" si="2"/>
        <v>#DIV/0!</v>
      </c>
    </row>
    <row r="28" spans="1:24">
      <c r="A28" s="99">
        <v>27</v>
      </c>
      <c r="L28" s="99">
        <f t="shared" si="0"/>
        <v>0</v>
      </c>
      <c r="W28" s="140" t="e">
        <f t="shared" si="1"/>
        <v>#DIV/0!</v>
      </c>
      <c r="X28" s="140" t="e">
        <f t="shared" si="2"/>
        <v>#DIV/0!</v>
      </c>
    </row>
    <row r="29" spans="1:24">
      <c r="A29" s="99">
        <v>28</v>
      </c>
      <c r="L29" s="99">
        <f t="shared" si="0"/>
        <v>0</v>
      </c>
      <c r="W29" s="140" t="e">
        <f t="shared" si="1"/>
        <v>#DIV/0!</v>
      </c>
      <c r="X29" s="140" t="e">
        <f t="shared" si="2"/>
        <v>#DIV/0!</v>
      </c>
    </row>
    <row r="30" spans="1:24">
      <c r="A30" s="99">
        <v>29</v>
      </c>
      <c r="L30" s="99">
        <f t="shared" si="0"/>
        <v>0</v>
      </c>
      <c r="W30" s="140" t="e">
        <f t="shared" si="1"/>
        <v>#DIV/0!</v>
      </c>
      <c r="X30" s="140" t="e">
        <f t="shared" si="2"/>
        <v>#DIV/0!</v>
      </c>
    </row>
    <row r="31" spans="1:24">
      <c r="A31" s="99">
        <v>30</v>
      </c>
      <c r="L31" s="99">
        <f t="shared" si="0"/>
        <v>0</v>
      </c>
      <c r="W31" s="140" t="e">
        <f t="shared" si="1"/>
        <v>#DIV/0!</v>
      </c>
      <c r="X31" s="140" t="e">
        <f t="shared" si="2"/>
        <v>#DIV/0!</v>
      </c>
    </row>
    <row r="32" spans="1:24">
      <c r="A32" s="99">
        <v>31</v>
      </c>
      <c r="L32" s="99">
        <f t="shared" si="0"/>
        <v>0</v>
      </c>
      <c r="W32" s="140" t="e">
        <f t="shared" si="1"/>
        <v>#DIV/0!</v>
      </c>
      <c r="X32" s="140" t="e">
        <f t="shared" si="2"/>
        <v>#DIV/0!</v>
      </c>
    </row>
    <row r="33" spans="1:24">
      <c r="A33" s="99">
        <v>32</v>
      </c>
      <c r="L33" s="99">
        <f t="shared" si="0"/>
        <v>0</v>
      </c>
      <c r="W33" s="140" t="e">
        <f t="shared" si="1"/>
        <v>#DIV/0!</v>
      </c>
      <c r="X33" s="140" t="e">
        <f t="shared" si="2"/>
        <v>#DIV/0!</v>
      </c>
    </row>
    <row r="34" spans="1:24">
      <c r="A34" s="99">
        <v>33</v>
      </c>
      <c r="L34" s="99">
        <f t="shared" si="0"/>
        <v>0</v>
      </c>
      <c r="W34" s="140" t="e">
        <f t="shared" si="1"/>
        <v>#DIV/0!</v>
      </c>
      <c r="X34" s="140" t="e">
        <f t="shared" si="2"/>
        <v>#DIV/0!</v>
      </c>
    </row>
    <row r="35" spans="1:24">
      <c r="A35" s="99">
        <v>34</v>
      </c>
      <c r="L35" s="99">
        <f t="shared" si="0"/>
        <v>0</v>
      </c>
      <c r="W35" s="140" t="e">
        <f t="shared" si="1"/>
        <v>#DIV/0!</v>
      </c>
      <c r="X35" s="140" t="e">
        <f t="shared" si="2"/>
        <v>#DIV/0!</v>
      </c>
    </row>
    <row r="36" spans="1:24">
      <c r="A36" s="99">
        <v>35</v>
      </c>
      <c r="L36" s="99">
        <f t="shared" si="0"/>
        <v>0</v>
      </c>
      <c r="W36" s="140" t="e">
        <f t="shared" si="1"/>
        <v>#DIV/0!</v>
      </c>
      <c r="X36" s="140" t="e">
        <f t="shared" si="2"/>
        <v>#DIV/0!</v>
      </c>
    </row>
    <row r="37" spans="1:24">
      <c r="A37" s="99">
        <v>36</v>
      </c>
      <c r="L37" s="99">
        <f t="shared" si="0"/>
        <v>0</v>
      </c>
      <c r="W37" s="140" t="e">
        <f t="shared" si="1"/>
        <v>#DIV/0!</v>
      </c>
      <c r="X37" s="140" t="e">
        <f t="shared" si="2"/>
        <v>#DIV/0!</v>
      </c>
    </row>
    <row r="38" spans="1:24">
      <c r="A38" s="99">
        <v>37</v>
      </c>
      <c r="L38" s="99">
        <f t="shared" si="0"/>
        <v>0</v>
      </c>
      <c r="W38" s="140" t="e">
        <f t="shared" si="1"/>
        <v>#DIV/0!</v>
      </c>
      <c r="X38" s="140" t="e">
        <f t="shared" si="2"/>
        <v>#DIV/0!</v>
      </c>
    </row>
    <row r="39" spans="1:24">
      <c r="A39" s="99">
        <v>38</v>
      </c>
      <c r="L39" s="99">
        <f t="shared" si="0"/>
        <v>0</v>
      </c>
      <c r="W39" s="140" t="e">
        <f t="shared" si="1"/>
        <v>#DIV/0!</v>
      </c>
      <c r="X39" s="140" t="e">
        <f t="shared" si="2"/>
        <v>#DIV/0!</v>
      </c>
    </row>
    <row r="40" spans="1:24">
      <c r="A40" s="99">
        <v>39</v>
      </c>
      <c r="L40" s="99">
        <f t="shared" si="0"/>
        <v>0</v>
      </c>
      <c r="W40" s="140" t="e">
        <f t="shared" si="1"/>
        <v>#DIV/0!</v>
      </c>
      <c r="X40" s="140" t="e">
        <f t="shared" si="2"/>
        <v>#DIV/0!</v>
      </c>
    </row>
    <row r="41" spans="1:24">
      <c r="A41" s="99">
        <v>40</v>
      </c>
      <c r="L41" s="99">
        <f t="shared" si="0"/>
        <v>0</v>
      </c>
      <c r="W41" s="140" t="e">
        <f t="shared" si="1"/>
        <v>#DIV/0!</v>
      </c>
      <c r="X41" s="140" t="e">
        <f t="shared" si="2"/>
        <v>#DIV/0!</v>
      </c>
    </row>
    <row r="42" spans="1:24">
      <c r="A42" s="99">
        <v>41</v>
      </c>
      <c r="L42" s="99">
        <f t="shared" si="0"/>
        <v>0</v>
      </c>
      <c r="W42" s="140" t="e">
        <f t="shared" si="1"/>
        <v>#DIV/0!</v>
      </c>
      <c r="X42" s="140" t="e">
        <f t="shared" si="2"/>
        <v>#DIV/0!</v>
      </c>
    </row>
    <row r="43" spans="1:24">
      <c r="A43" s="99">
        <v>42</v>
      </c>
      <c r="L43" s="99">
        <f t="shared" si="0"/>
        <v>0</v>
      </c>
      <c r="W43" s="140" t="e">
        <f t="shared" si="1"/>
        <v>#DIV/0!</v>
      </c>
      <c r="X43" s="140" t="e">
        <f t="shared" si="2"/>
        <v>#DIV/0!</v>
      </c>
    </row>
    <row r="44" spans="1:24">
      <c r="A44" s="99">
        <v>43</v>
      </c>
      <c r="L44" s="99">
        <f t="shared" si="0"/>
        <v>0</v>
      </c>
      <c r="W44" s="140" t="e">
        <f t="shared" si="1"/>
        <v>#DIV/0!</v>
      </c>
      <c r="X44" s="140" t="e">
        <f t="shared" si="2"/>
        <v>#DIV/0!</v>
      </c>
    </row>
    <row r="45" spans="1:24">
      <c r="A45" s="99">
        <v>44</v>
      </c>
      <c r="L45" s="99">
        <f t="shared" si="0"/>
        <v>0</v>
      </c>
      <c r="W45" s="140" t="e">
        <f t="shared" si="1"/>
        <v>#DIV/0!</v>
      </c>
      <c r="X45" s="140" t="e">
        <f t="shared" si="2"/>
        <v>#DIV/0!</v>
      </c>
    </row>
    <row r="46" spans="1:24">
      <c r="A46" s="99">
        <v>45</v>
      </c>
      <c r="L46" s="99">
        <f t="shared" si="0"/>
        <v>0</v>
      </c>
      <c r="W46" s="140" t="e">
        <f t="shared" si="1"/>
        <v>#DIV/0!</v>
      </c>
      <c r="X46" s="140" t="e">
        <f t="shared" si="2"/>
        <v>#DIV/0!</v>
      </c>
    </row>
    <row r="47" spans="1:24">
      <c r="A47" s="99">
        <v>46</v>
      </c>
      <c r="L47" s="99">
        <f t="shared" si="0"/>
        <v>0</v>
      </c>
      <c r="W47" s="140" t="e">
        <f t="shared" si="1"/>
        <v>#DIV/0!</v>
      </c>
      <c r="X47" s="140" t="e">
        <f t="shared" si="2"/>
        <v>#DIV/0!</v>
      </c>
    </row>
    <row r="48" spans="1:24">
      <c r="A48" s="99">
        <v>47</v>
      </c>
      <c r="L48" s="99">
        <f t="shared" si="0"/>
        <v>0</v>
      </c>
      <c r="W48" s="140" t="e">
        <f t="shared" si="1"/>
        <v>#DIV/0!</v>
      </c>
      <c r="X48" s="140" t="e">
        <f t="shared" si="2"/>
        <v>#DIV/0!</v>
      </c>
    </row>
    <row r="49" spans="1:24">
      <c r="A49" s="99">
        <v>48</v>
      </c>
      <c r="L49" s="99">
        <f t="shared" si="0"/>
        <v>0</v>
      </c>
      <c r="W49" s="140" t="e">
        <f t="shared" si="1"/>
        <v>#DIV/0!</v>
      </c>
      <c r="X49" s="140" t="e">
        <f t="shared" si="2"/>
        <v>#DIV/0!</v>
      </c>
    </row>
    <row r="50" spans="1:24">
      <c r="A50" s="99">
        <v>49</v>
      </c>
      <c r="L50" s="99">
        <f t="shared" si="0"/>
        <v>0</v>
      </c>
      <c r="W50" s="140" t="e">
        <f t="shared" si="1"/>
        <v>#DIV/0!</v>
      </c>
      <c r="X50" s="140" t="e">
        <f t="shared" si="2"/>
        <v>#DIV/0!</v>
      </c>
    </row>
    <row r="51" spans="1:24">
      <c r="A51" s="99">
        <v>50</v>
      </c>
      <c r="L51" s="99">
        <f t="shared" si="0"/>
        <v>0</v>
      </c>
      <c r="W51" s="140" t="e">
        <f t="shared" si="1"/>
        <v>#DIV/0!</v>
      </c>
      <c r="X51" s="140" t="e">
        <f t="shared" si="2"/>
        <v>#DIV/0!</v>
      </c>
    </row>
    <row r="52" spans="1:24">
      <c r="A52" s="99">
        <v>51</v>
      </c>
      <c r="L52" s="99">
        <f t="shared" si="0"/>
        <v>0</v>
      </c>
      <c r="W52" s="140" t="e">
        <f t="shared" si="1"/>
        <v>#DIV/0!</v>
      </c>
      <c r="X52" s="140" t="e">
        <f t="shared" si="2"/>
        <v>#DIV/0!</v>
      </c>
    </row>
    <row r="53" spans="1:24">
      <c r="A53" s="99">
        <v>52</v>
      </c>
      <c r="L53" s="99">
        <f t="shared" si="0"/>
        <v>0</v>
      </c>
      <c r="W53" s="140" t="e">
        <f t="shared" si="1"/>
        <v>#DIV/0!</v>
      </c>
      <c r="X53" s="140" t="e">
        <f t="shared" si="2"/>
        <v>#DIV/0!</v>
      </c>
    </row>
    <row r="54" spans="1:24">
      <c r="A54" s="99">
        <v>53</v>
      </c>
      <c r="L54" s="99">
        <f t="shared" si="0"/>
        <v>0</v>
      </c>
      <c r="W54" s="140" t="e">
        <f t="shared" si="1"/>
        <v>#DIV/0!</v>
      </c>
      <c r="X54" s="140" t="e">
        <f t="shared" si="2"/>
        <v>#DIV/0!</v>
      </c>
    </row>
    <row r="55" spans="1:24">
      <c r="A55" s="99">
        <v>54</v>
      </c>
      <c r="L55" s="99">
        <f t="shared" si="0"/>
        <v>0</v>
      </c>
      <c r="W55" s="140" t="e">
        <f t="shared" si="1"/>
        <v>#DIV/0!</v>
      </c>
      <c r="X55" s="140" t="e">
        <f t="shared" si="2"/>
        <v>#DIV/0!</v>
      </c>
    </row>
    <row r="56" spans="1:24">
      <c r="A56" s="99">
        <v>55</v>
      </c>
      <c r="L56" s="99">
        <f t="shared" si="0"/>
        <v>0</v>
      </c>
      <c r="W56" s="140" t="e">
        <f t="shared" si="1"/>
        <v>#DIV/0!</v>
      </c>
      <c r="X56" s="140" t="e">
        <f t="shared" si="2"/>
        <v>#DIV/0!</v>
      </c>
    </row>
    <row r="57" spans="1:24">
      <c r="A57" s="99">
        <v>56</v>
      </c>
      <c r="L57" s="99">
        <f t="shared" si="0"/>
        <v>0</v>
      </c>
      <c r="W57" s="140" t="e">
        <f t="shared" si="1"/>
        <v>#DIV/0!</v>
      </c>
      <c r="X57" s="140" t="e">
        <f t="shared" si="2"/>
        <v>#DIV/0!</v>
      </c>
    </row>
    <row r="58" spans="1:24">
      <c r="A58" s="99">
        <v>57</v>
      </c>
      <c r="L58" s="99">
        <f t="shared" si="0"/>
        <v>0</v>
      </c>
      <c r="W58" s="140" t="e">
        <f t="shared" si="1"/>
        <v>#DIV/0!</v>
      </c>
      <c r="X58" s="140" t="e">
        <f t="shared" si="2"/>
        <v>#DIV/0!</v>
      </c>
    </row>
    <row r="59" spans="1:24">
      <c r="A59" s="99">
        <v>58</v>
      </c>
      <c r="L59" s="99">
        <f t="shared" si="0"/>
        <v>0</v>
      </c>
      <c r="W59" s="140" t="e">
        <f t="shared" si="1"/>
        <v>#DIV/0!</v>
      </c>
      <c r="X59" s="140" t="e">
        <f t="shared" si="2"/>
        <v>#DIV/0!</v>
      </c>
    </row>
    <row r="60" spans="1:24">
      <c r="A60" s="99">
        <v>59</v>
      </c>
      <c r="L60" s="99">
        <f t="shared" si="0"/>
        <v>0</v>
      </c>
      <c r="W60" s="140" t="e">
        <f t="shared" si="1"/>
        <v>#DIV/0!</v>
      </c>
      <c r="X60" s="140" t="e">
        <f t="shared" si="2"/>
        <v>#DIV/0!</v>
      </c>
    </row>
    <row r="61" spans="1:24">
      <c r="A61" s="99">
        <v>60</v>
      </c>
      <c r="L61" s="99">
        <f t="shared" si="0"/>
        <v>0</v>
      </c>
      <c r="W61" s="140" t="e">
        <f t="shared" si="1"/>
        <v>#DIV/0!</v>
      </c>
      <c r="X61" s="140" t="e">
        <f t="shared" si="2"/>
        <v>#DIV/0!</v>
      </c>
    </row>
    <row r="62" spans="1:24">
      <c r="A62" s="99">
        <v>61</v>
      </c>
      <c r="L62" s="99">
        <f t="shared" si="0"/>
        <v>0</v>
      </c>
      <c r="W62" s="140" t="e">
        <f t="shared" si="1"/>
        <v>#DIV/0!</v>
      </c>
      <c r="X62" s="140" t="e">
        <f t="shared" si="2"/>
        <v>#DIV/0!</v>
      </c>
    </row>
    <row r="63" spans="1:24">
      <c r="A63" s="99">
        <v>62</v>
      </c>
      <c r="L63" s="99">
        <f t="shared" si="0"/>
        <v>0</v>
      </c>
      <c r="W63" s="140" t="e">
        <f t="shared" si="1"/>
        <v>#DIV/0!</v>
      </c>
      <c r="X63" s="140" t="e">
        <f t="shared" si="2"/>
        <v>#DIV/0!</v>
      </c>
    </row>
    <row r="64" spans="1:24">
      <c r="A64" s="99">
        <v>63</v>
      </c>
      <c r="L64" s="99">
        <f t="shared" si="0"/>
        <v>0</v>
      </c>
      <c r="W64" s="140" t="e">
        <f t="shared" si="1"/>
        <v>#DIV/0!</v>
      </c>
      <c r="X64" s="140" t="e">
        <f t="shared" si="2"/>
        <v>#DIV/0!</v>
      </c>
    </row>
    <row r="65" spans="1:24">
      <c r="A65" s="99">
        <v>64</v>
      </c>
      <c r="L65" s="99">
        <f t="shared" si="0"/>
        <v>0</v>
      </c>
      <c r="W65" s="140" t="e">
        <f t="shared" si="1"/>
        <v>#DIV/0!</v>
      </c>
      <c r="X65" s="140" t="e">
        <f t="shared" si="2"/>
        <v>#DIV/0!</v>
      </c>
    </row>
    <row r="66" spans="1:24">
      <c r="A66" s="99">
        <v>65</v>
      </c>
      <c r="L66" s="99">
        <f t="shared" si="0"/>
        <v>0</v>
      </c>
      <c r="W66" s="140" t="e">
        <f t="shared" si="1"/>
        <v>#DIV/0!</v>
      </c>
      <c r="X66" s="140" t="e">
        <f t="shared" si="2"/>
        <v>#DIV/0!</v>
      </c>
    </row>
    <row r="67" spans="1:24">
      <c r="A67" s="99">
        <v>66</v>
      </c>
      <c r="L67" s="99">
        <f t="shared" ref="L67:L97" si="3">J67*K67</f>
        <v>0</v>
      </c>
      <c r="W67" s="140" t="e">
        <f t="shared" ref="W67:W97" si="4">+MAX($U$2:$U$97)/U67</f>
        <v>#DIV/0!</v>
      </c>
      <c r="X67" s="140" t="e">
        <f t="shared" ref="X67:X97" si="5">+W67*1</f>
        <v>#DIV/0!</v>
      </c>
    </row>
    <row r="68" spans="1:24">
      <c r="A68" s="99">
        <v>67</v>
      </c>
      <c r="L68" s="99">
        <f t="shared" si="3"/>
        <v>0</v>
      </c>
      <c r="W68" s="140" t="e">
        <f t="shared" si="4"/>
        <v>#DIV/0!</v>
      </c>
      <c r="X68" s="140" t="e">
        <f t="shared" si="5"/>
        <v>#DIV/0!</v>
      </c>
    </row>
    <row r="69" spans="1:24">
      <c r="A69" s="99">
        <v>68</v>
      </c>
      <c r="L69" s="99">
        <f t="shared" si="3"/>
        <v>0</v>
      </c>
      <c r="W69" s="140" t="e">
        <f t="shared" si="4"/>
        <v>#DIV/0!</v>
      </c>
      <c r="X69" s="140" t="e">
        <f t="shared" si="5"/>
        <v>#DIV/0!</v>
      </c>
    </row>
    <row r="70" spans="1:24">
      <c r="A70" s="99">
        <v>69</v>
      </c>
      <c r="L70" s="99">
        <f t="shared" si="3"/>
        <v>0</v>
      </c>
      <c r="W70" s="140" t="e">
        <f t="shared" si="4"/>
        <v>#DIV/0!</v>
      </c>
      <c r="X70" s="140" t="e">
        <f t="shared" si="5"/>
        <v>#DIV/0!</v>
      </c>
    </row>
    <row r="71" spans="1:24">
      <c r="A71" s="99">
        <v>70</v>
      </c>
      <c r="L71" s="99">
        <f t="shared" si="3"/>
        <v>0</v>
      </c>
      <c r="W71" s="140" t="e">
        <f t="shared" si="4"/>
        <v>#DIV/0!</v>
      </c>
      <c r="X71" s="140" t="e">
        <f t="shared" si="5"/>
        <v>#DIV/0!</v>
      </c>
    </row>
    <row r="72" spans="1:24">
      <c r="A72" s="99">
        <v>71</v>
      </c>
      <c r="L72" s="99">
        <f t="shared" si="3"/>
        <v>0</v>
      </c>
      <c r="W72" s="140" t="e">
        <f t="shared" si="4"/>
        <v>#DIV/0!</v>
      </c>
      <c r="X72" s="140" t="e">
        <f t="shared" si="5"/>
        <v>#DIV/0!</v>
      </c>
    </row>
    <row r="73" spans="1:24">
      <c r="A73" s="99">
        <v>72</v>
      </c>
      <c r="L73" s="99">
        <f t="shared" si="3"/>
        <v>0</v>
      </c>
      <c r="W73" s="140" t="e">
        <f t="shared" si="4"/>
        <v>#DIV/0!</v>
      </c>
      <c r="X73" s="140" t="e">
        <f t="shared" si="5"/>
        <v>#DIV/0!</v>
      </c>
    </row>
    <row r="74" spans="1:24">
      <c r="A74" s="99">
        <v>73</v>
      </c>
      <c r="L74" s="99">
        <f t="shared" si="3"/>
        <v>0</v>
      </c>
      <c r="W74" s="140" t="e">
        <f t="shared" si="4"/>
        <v>#DIV/0!</v>
      </c>
      <c r="X74" s="140" t="e">
        <f t="shared" si="5"/>
        <v>#DIV/0!</v>
      </c>
    </row>
    <row r="75" spans="1:24">
      <c r="A75" s="99">
        <v>74</v>
      </c>
      <c r="L75" s="99">
        <f t="shared" si="3"/>
        <v>0</v>
      </c>
      <c r="W75" s="140" t="e">
        <f t="shared" si="4"/>
        <v>#DIV/0!</v>
      </c>
      <c r="X75" s="140" t="e">
        <f t="shared" si="5"/>
        <v>#DIV/0!</v>
      </c>
    </row>
    <row r="76" spans="1:24">
      <c r="A76" s="99">
        <v>75</v>
      </c>
      <c r="L76" s="99">
        <f t="shared" si="3"/>
        <v>0</v>
      </c>
      <c r="W76" s="140" t="e">
        <f t="shared" si="4"/>
        <v>#DIV/0!</v>
      </c>
      <c r="X76" s="140" t="e">
        <f t="shared" si="5"/>
        <v>#DIV/0!</v>
      </c>
    </row>
    <row r="77" spans="1:24">
      <c r="A77" s="99">
        <v>76</v>
      </c>
      <c r="L77" s="99">
        <f t="shared" si="3"/>
        <v>0</v>
      </c>
      <c r="W77" s="140" t="e">
        <f t="shared" si="4"/>
        <v>#DIV/0!</v>
      </c>
      <c r="X77" s="140" t="e">
        <f t="shared" si="5"/>
        <v>#DIV/0!</v>
      </c>
    </row>
    <row r="78" spans="1:24">
      <c r="A78" s="99">
        <v>77</v>
      </c>
      <c r="L78" s="99">
        <f t="shared" si="3"/>
        <v>0</v>
      </c>
      <c r="W78" s="140" t="e">
        <f t="shared" si="4"/>
        <v>#DIV/0!</v>
      </c>
      <c r="X78" s="140" t="e">
        <f t="shared" si="5"/>
        <v>#DIV/0!</v>
      </c>
    </row>
    <row r="79" spans="1:24">
      <c r="A79" s="99">
        <v>78</v>
      </c>
      <c r="L79" s="99">
        <f t="shared" si="3"/>
        <v>0</v>
      </c>
      <c r="W79" s="140" t="e">
        <f t="shared" si="4"/>
        <v>#DIV/0!</v>
      </c>
      <c r="X79" s="140" t="e">
        <f t="shared" si="5"/>
        <v>#DIV/0!</v>
      </c>
    </row>
    <row r="80" spans="1:24">
      <c r="A80" s="99">
        <v>79</v>
      </c>
      <c r="L80" s="99">
        <f t="shared" si="3"/>
        <v>0</v>
      </c>
      <c r="W80" s="140" t="e">
        <f t="shared" si="4"/>
        <v>#DIV/0!</v>
      </c>
      <c r="X80" s="140" t="e">
        <f t="shared" si="5"/>
        <v>#DIV/0!</v>
      </c>
    </row>
    <row r="81" spans="1:24">
      <c r="A81" s="99">
        <v>80</v>
      </c>
      <c r="L81" s="99">
        <f t="shared" si="3"/>
        <v>0</v>
      </c>
      <c r="W81" s="140" t="e">
        <f t="shared" si="4"/>
        <v>#DIV/0!</v>
      </c>
      <c r="X81" s="140" t="e">
        <f t="shared" si="5"/>
        <v>#DIV/0!</v>
      </c>
    </row>
    <row r="82" spans="1:24">
      <c r="A82" s="99">
        <v>81</v>
      </c>
      <c r="L82" s="99">
        <f t="shared" si="3"/>
        <v>0</v>
      </c>
      <c r="W82" s="140" t="e">
        <f t="shared" si="4"/>
        <v>#DIV/0!</v>
      </c>
      <c r="X82" s="140" t="e">
        <f t="shared" si="5"/>
        <v>#DIV/0!</v>
      </c>
    </row>
    <row r="83" spans="1:24">
      <c r="A83" s="99">
        <v>82</v>
      </c>
      <c r="L83" s="99">
        <f t="shared" si="3"/>
        <v>0</v>
      </c>
      <c r="W83" s="140" t="e">
        <f t="shared" si="4"/>
        <v>#DIV/0!</v>
      </c>
      <c r="X83" s="140" t="e">
        <f t="shared" si="5"/>
        <v>#DIV/0!</v>
      </c>
    </row>
    <row r="84" spans="1:24">
      <c r="A84" s="99">
        <v>83</v>
      </c>
      <c r="L84" s="99">
        <f t="shared" si="3"/>
        <v>0</v>
      </c>
      <c r="W84" s="140" t="e">
        <f t="shared" si="4"/>
        <v>#DIV/0!</v>
      </c>
      <c r="X84" s="140" t="e">
        <f t="shared" si="5"/>
        <v>#DIV/0!</v>
      </c>
    </row>
    <row r="85" spans="1:24">
      <c r="A85" s="99">
        <v>84</v>
      </c>
      <c r="L85" s="99">
        <f t="shared" si="3"/>
        <v>0</v>
      </c>
      <c r="W85" s="140" t="e">
        <f t="shared" si="4"/>
        <v>#DIV/0!</v>
      </c>
      <c r="X85" s="140" t="e">
        <f t="shared" si="5"/>
        <v>#DIV/0!</v>
      </c>
    </row>
    <row r="86" spans="1:24">
      <c r="A86" s="99">
        <v>85</v>
      </c>
      <c r="L86" s="99">
        <f t="shared" si="3"/>
        <v>0</v>
      </c>
      <c r="W86" s="140" t="e">
        <f t="shared" si="4"/>
        <v>#DIV/0!</v>
      </c>
      <c r="X86" s="140" t="e">
        <f t="shared" si="5"/>
        <v>#DIV/0!</v>
      </c>
    </row>
    <row r="87" spans="1:24">
      <c r="A87" s="99">
        <v>86</v>
      </c>
      <c r="L87" s="99">
        <f t="shared" si="3"/>
        <v>0</v>
      </c>
      <c r="W87" s="140" t="e">
        <f t="shared" si="4"/>
        <v>#DIV/0!</v>
      </c>
      <c r="X87" s="140" t="e">
        <f t="shared" si="5"/>
        <v>#DIV/0!</v>
      </c>
    </row>
    <row r="88" spans="1:24">
      <c r="A88" s="99">
        <v>87</v>
      </c>
      <c r="L88" s="99">
        <f t="shared" si="3"/>
        <v>0</v>
      </c>
      <c r="W88" s="140" t="e">
        <f t="shared" si="4"/>
        <v>#DIV/0!</v>
      </c>
      <c r="X88" s="140" t="e">
        <f t="shared" si="5"/>
        <v>#DIV/0!</v>
      </c>
    </row>
    <row r="89" spans="1:24">
      <c r="A89" s="99">
        <v>88</v>
      </c>
      <c r="L89" s="99">
        <f t="shared" si="3"/>
        <v>0</v>
      </c>
      <c r="W89" s="140" t="e">
        <f t="shared" si="4"/>
        <v>#DIV/0!</v>
      </c>
      <c r="X89" s="140" t="e">
        <f t="shared" si="5"/>
        <v>#DIV/0!</v>
      </c>
    </row>
    <row r="90" spans="1:24">
      <c r="A90" s="99">
        <v>89</v>
      </c>
      <c r="L90" s="99">
        <f t="shared" si="3"/>
        <v>0</v>
      </c>
      <c r="W90" s="140" t="e">
        <f t="shared" si="4"/>
        <v>#DIV/0!</v>
      </c>
      <c r="X90" s="140" t="e">
        <f t="shared" si="5"/>
        <v>#DIV/0!</v>
      </c>
    </row>
    <row r="91" spans="1:24">
      <c r="A91" s="99">
        <v>90</v>
      </c>
      <c r="L91" s="99">
        <f t="shared" si="3"/>
        <v>0</v>
      </c>
      <c r="W91" s="140" t="e">
        <f t="shared" si="4"/>
        <v>#DIV/0!</v>
      </c>
      <c r="X91" s="140" t="e">
        <f t="shared" si="5"/>
        <v>#DIV/0!</v>
      </c>
    </row>
    <row r="92" spans="1:24">
      <c r="A92" s="99">
        <v>91</v>
      </c>
      <c r="L92" s="99">
        <f t="shared" si="3"/>
        <v>0</v>
      </c>
      <c r="W92" s="140" t="e">
        <f t="shared" si="4"/>
        <v>#DIV/0!</v>
      </c>
      <c r="X92" s="140" t="e">
        <f t="shared" si="5"/>
        <v>#DIV/0!</v>
      </c>
    </row>
    <row r="93" spans="1:24">
      <c r="A93" s="99">
        <v>92</v>
      </c>
      <c r="L93" s="99">
        <f t="shared" si="3"/>
        <v>0</v>
      </c>
      <c r="W93" s="140" t="e">
        <f t="shared" si="4"/>
        <v>#DIV/0!</v>
      </c>
      <c r="X93" s="140" t="e">
        <f t="shared" si="5"/>
        <v>#DIV/0!</v>
      </c>
    </row>
    <row r="94" spans="1:24">
      <c r="A94" s="99">
        <v>93</v>
      </c>
      <c r="L94" s="99">
        <f t="shared" si="3"/>
        <v>0</v>
      </c>
      <c r="W94" s="140" t="e">
        <f t="shared" si="4"/>
        <v>#DIV/0!</v>
      </c>
      <c r="X94" s="140" t="e">
        <f t="shared" si="5"/>
        <v>#DIV/0!</v>
      </c>
    </row>
    <row r="95" spans="1:24">
      <c r="A95" s="99">
        <v>94</v>
      </c>
      <c r="L95" s="99">
        <f t="shared" si="3"/>
        <v>0</v>
      </c>
      <c r="W95" s="140" t="e">
        <f t="shared" si="4"/>
        <v>#DIV/0!</v>
      </c>
      <c r="X95" s="140" t="e">
        <f t="shared" si="5"/>
        <v>#DIV/0!</v>
      </c>
    </row>
    <row r="96" spans="1:24">
      <c r="A96" s="99">
        <v>95</v>
      </c>
      <c r="L96" s="99">
        <f t="shared" si="3"/>
        <v>0</v>
      </c>
      <c r="W96" s="140" t="e">
        <f t="shared" si="4"/>
        <v>#DIV/0!</v>
      </c>
      <c r="X96" s="140" t="e">
        <f t="shared" si="5"/>
        <v>#DIV/0!</v>
      </c>
    </row>
    <row r="97" spans="1:24">
      <c r="A97" s="99">
        <v>96</v>
      </c>
      <c r="L97" s="99">
        <f t="shared" si="3"/>
        <v>0</v>
      </c>
      <c r="W97" s="140" t="e">
        <f t="shared" si="4"/>
        <v>#DIV/0!</v>
      </c>
      <c r="X97" s="140" t="e">
        <f t="shared" si="5"/>
        <v>#DIV/0!</v>
      </c>
    </row>
    <row r="98" spans="1:24">
      <c r="X98" s="140"/>
    </row>
  </sheetData>
  <conditionalFormatting sqref="W98:W1048576">
    <cfRule type="cellIs" dxfId="7"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sheetPr codeName="Sheet2"/>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283</v>
      </c>
      <c r="C1" s="2" t="s">
        <v>2</v>
      </c>
      <c r="D1" s="2" t="s">
        <v>3</v>
      </c>
      <c r="E1" s="2" t="s">
        <v>4</v>
      </c>
      <c r="F1" s="2" t="s">
        <v>5</v>
      </c>
      <c r="G1" s="2" t="s">
        <v>6</v>
      </c>
      <c r="H1" s="2" t="s">
        <v>205</v>
      </c>
      <c r="I1" s="2" t="s">
        <v>7</v>
      </c>
      <c r="J1" s="2" t="s">
        <v>206</v>
      </c>
      <c r="K1" s="2" t="s">
        <v>207</v>
      </c>
      <c r="L1" s="2" t="s">
        <v>208</v>
      </c>
      <c r="M1" s="2" t="s">
        <v>209</v>
      </c>
    </row>
    <row r="2" spans="1:13" customFormat="1">
      <c r="A2" s="1">
        <v>1</v>
      </c>
      <c r="B2" s="139"/>
      <c r="C2" s="1">
        <f>prep_table!C2</f>
        <v>0</v>
      </c>
      <c r="D2" s="1">
        <f>prep_table!D2</f>
        <v>0</v>
      </c>
      <c r="E2" s="1">
        <f>prep_table!E2</f>
        <v>0</v>
      </c>
      <c r="F2" s="1"/>
      <c r="G2" s="1"/>
      <c r="H2" s="1">
        <f>G2*10^3</f>
        <v>0</v>
      </c>
      <c r="I2" s="1"/>
      <c r="J2" s="1"/>
      <c r="K2" s="1"/>
      <c r="L2" s="1"/>
      <c r="M2" s="1" t="str">
        <f>Equal_Pooling_RevB!H15</f>
        <v/>
      </c>
    </row>
    <row r="3" spans="1:13" customFormat="1">
      <c r="A3" s="1">
        <v>2</v>
      </c>
      <c r="B3" s="139"/>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39"/>
      <c r="C4" s="1">
        <f>prep_table!C4</f>
        <v>0</v>
      </c>
      <c r="D4" s="1">
        <f>prep_table!D4</f>
        <v>0</v>
      </c>
      <c r="E4" s="1">
        <f>prep_table!E4</f>
        <v>0</v>
      </c>
      <c r="F4" s="1"/>
      <c r="G4" s="1"/>
      <c r="H4" s="1">
        <f t="shared" si="0"/>
        <v>0</v>
      </c>
      <c r="I4" s="1"/>
      <c r="J4" s="1"/>
      <c r="K4" s="1"/>
      <c r="L4" s="1"/>
      <c r="M4" s="1" t="str">
        <f>Equal_Pooling_RevB!H17</f>
        <v/>
      </c>
    </row>
    <row r="5" spans="1:13" customFormat="1">
      <c r="A5" s="1">
        <v>4</v>
      </c>
      <c r="B5" s="139"/>
      <c r="C5" s="1">
        <f>prep_table!C5</f>
        <v>0</v>
      </c>
      <c r="D5" s="1">
        <f>prep_table!D5</f>
        <v>0</v>
      </c>
      <c r="E5" s="1">
        <f>prep_table!E5</f>
        <v>0</v>
      </c>
      <c r="F5" s="1"/>
      <c r="G5" s="1"/>
      <c r="H5" s="1">
        <f t="shared" si="0"/>
        <v>0</v>
      </c>
      <c r="I5" s="1"/>
      <c r="J5" s="1"/>
      <c r="K5" s="1"/>
      <c r="L5" s="1"/>
      <c r="M5" s="1" t="str">
        <f>Equal_Pooling_RevB!H18</f>
        <v/>
      </c>
    </row>
    <row r="6" spans="1:13" customFormat="1">
      <c r="A6" s="1">
        <v>5</v>
      </c>
      <c r="B6" s="139"/>
      <c r="C6" s="1">
        <f>prep_table!C6</f>
        <v>0</v>
      </c>
      <c r="D6" s="1">
        <f>prep_table!D6</f>
        <v>0</v>
      </c>
      <c r="E6" s="1">
        <f>prep_table!E6</f>
        <v>0</v>
      </c>
      <c r="F6" s="1"/>
      <c r="G6" s="1"/>
      <c r="H6" s="1">
        <f t="shared" si="0"/>
        <v>0</v>
      </c>
      <c r="I6" s="1"/>
      <c r="J6" s="1"/>
      <c r="K6" s="1"/>
      <c r="L6" s="1"/>
      <c r="M6" s="1" t="str">
        <f>Equal_Pooling_RevB!H19</f>
        <v/>
      </c>
    </row>
    <row r="7" spans="1:13" customFormat="1">
      <c r="A7" s="1">
        <v>6</v>
      </c>
      <c r="B7" s="139"/>
      <c r="C7" s="1">
        <f>prep_table!C7</f>
        <v>0</v>
      </c>
      <c r="D7" s="1">
        <f>prep_table!D7</f>
        <v>0</v>
      </c>
      <c r="E7" s="1">
        <f>prep_table!E7</f>
        <v>0</v>
      </c>
      <c r="F7" s="1"/>
      <c r="G7" s="1"/>
      <c r="H7" s="1">
        <f t="shared" si="0"/>
        <v>0</v>
      </c>
      <c r="I7" s="1"/>
      <c r="J7" s="1"/>
      <c r="K7" s="1"/>
      <c r="L7" s="1"/>
      <c r="M7" s="1" t="str">
        <f>Equal_Pooling_RevB!H20</f>
        <v/>
      </c>
    </row>
    <row r="8" spans="1:13" customFormat="1">
      <c r="A8" s="1">
        <v>7</v>
      </c>
      <c r="B8" s="139"/>
      <c r="C8" s="1">
        <f>prep_table!C8</f>
        <v>0</v>
      </c>
      <c r="D8" s="1">
        <f>prep_table!D8</f>
        <v>0</v>
      </c>
      <c r="E8" s="1">
        <f>prep_table!E8</f>
        <v>0</v>
      </c>
      <c r="F8" s="1"/>
      <c r="G8" s="1"/>
      <c r="H8" s="1">
        <f t="shared" si="0"/>
        <v>0</v>
      </c>
      <c r="I8" s="1"/>
      <c r="J8" s="1"/>
      <c r="K8" s="1"/>
      <c r="L8" s="1"/>
      <c r="M8" s="1" t="str">
        <f>Equal_Pooling_RevB!H21</f>
        <v/>
      </c>
    </row>
    <row r="9" spans="1:13" customFormat="1">
      <c r="A9" s="1">
        <v>8</v>
      </c>
      <c r="B9" s="139"/>
      <c r="C9" s="1">
        <f>prep_table!C9</f>
        <v>0</v>
      </c>
      <c r="D9" s="1">
        <f>prep_table!D9</f>
        <v>0</v>
      </c>
      <c r="E9" s="1">
        <f>prep_table!E9</f>
        <v>0</v>
      </c>
      <c r="F9" s="1"/>
      <c r="G9" s="1"/>
      <c r="H9" s="1">
        <f t="shared" si="0"/>
        <v>0</v>
      </c>
      <c r="I9" s="1"/>
      <c r="J9" s="1"/>
      <c r="K9" s="1"/>
      <c r="L9" s="1"/>
      <c r="M9" s="1" t="str">
        <f>Equal_Pooling_RevB!H22</f>
        <v/>
      </c>
    </row>
    <row r="10" spans="1:13" customFormat="1">
      <c r="A10" s="1">
        <v>9</v>
      </c>
      <c r="B10" s="139"/>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39"/>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39"/>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39"/>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39"/>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39"/>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39"/>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39"/>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6"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sheetPr codeName="Sheet3"/>
  <dimension ref="A1:W272"/>
  <sheetViews>
    <sheetView workbookViewId="0">
      <selection activeCell="B1" sqref="B1"/>
    </sheetView>
  </sheetViews>
  <sheetFormatPr defaultColWidth="9.140625" defaultRowHeight="15"/>
  <cols>
    <col min="1" max="1" width="14.5703125" style="3" customWidth="1"/>
    <col min="2" max="2" width="16.85546875" style="3" customWidth="1"/>
    <col min="3" max="3" width="17.85546875" style="3" customWidth="1"/>
    <col min="4" max="4" width="17.28515625" style="3" customWidth="1"/>
    <col min="5" max="5" width="19.5703125" style="3" customWidth="1"/>
    <col min="6" max="6" width="27.42578125" style="3" customWidth="1"/>
    <col min="7" max="7" width="15.5703125" style="3" customWidth="1"/>
    <col min="8" max="8" width="20.85546875" style="3" customWidth="1"/>
    <col min="9" max="9" width="25" style="4" customWidth="1"/>
    <col min="10" max="10" width="16.5703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c r="A1" s="269" t="s">
        <v>0</v>
      </c>
      <c r="B1" s="270" t="s">
        <v>283</v>
      </c>
      <c r="C1" s="270" t="s">
        <v>6</v>
      </c>
      <c r="D1" s="270" t="s">
        <v>205</v>
      </c>
      <c r="E1" s="270" t="s">
        <v>297</v>
      </c>
      <c r="F1" s="270" t="s">
        <v>8</v>
      </c>
      <c r="G1" s="270" t="s">
        <v>9</v>
      </c>
      <c r="H1" s="270" t="s">
        <v>10</v>
      </c>
      <c r="I1" s="270" t="s">
        <v>11</v>
      </c>
      <c r="J1" s="271" t="s">
        <v>209</v>
      </c>
    </row>
    <row r="2" spans="1:10" customFormat="1">
      <c r="A2" s="251">
        <v>1</v>
      </c>
      <c r="B2" s="1"/>
      <c r="C2" s="1"/>
      <c r="D2" s="1">
        <f>C2*10^3</f>
        <v>0</v>
      </c>
      <c r="E2" s="1"/>
      <c r="F2" s="1" t="e">
        <f>E2/D2</f>
        <v>#DIV/0!</v>
      </c>
      <c r="G2" s="1"/>
      <c r="H2" s="1"/>
      <c r="I2" s="1" t="str">
        <f>Equal_Pooling_RevB!H15</f>
        <v/>
      </c>
      <c r="J2" s="186" t="str">
        <f>Equal_Pooling_RevB!I15</f>
        <v/>
      </c>
    </row>
    <row r="3" spans="1:10" customFormat="1">
      <c r="A3" s="251">
        <v>2</v>
      </c>
      <c r="B3" s="1"/>
      <c r="C3" s="1"/>
      <c r="D3" s="1">
        <f t="shared" ref="D3:D17" si="0">C3*10^3</f>
        <v>0</v>
      </c>
      <c r="E3" s="1"/>
      <c r="F3" s="1" t="e">
        <f t="shared" ref="F3:F17" si="1">E3/D3</f>
        <v>#DIV/0!</v>
      </c>
      <c r="G3" s="1"/>
      <c r="H3" s="1"/>
      <c r="I3" s="1" t="str">
        <f>Equal_Pooling_RevB!H16</f>
        <v/>
      </c>
      <c r="J3" s="186" t="str">
        <f>Equal_Pooling_RevB!I16</f>
        <v/>
      </c>
    </row>
    <row r="4" spans="1:10" customFormat="1">
      <c r="A4" s="251">
        <v>3</v>
      </c>
      <c r="B4" s="1"/>
      <c r="C4" s="1"/>
      <c r="D4" s="1">
        <f t="shared" si="0"/>
        <v>0</v>
      </c>
      <c r="E4" s="1"/>
      <c r="F4" s="1" t="e">
        <f t="shared" si="1"/>
        <v>#DIV/0!</v>
      </c>
      <c r="G4" s="1"/>
      <c r="H4" s="1"/>
      <c r="I4" s="1" t="str">
        <f>Equal_Pooling_RevB!H17</f>
        <v/>
      </c>
      <c r="J4" s="186" t="str">
        <f>Equal_Pooling_RevB!I17</f>
        <v/>
      </c>
    </row>
    <row r="5" spans="1:10" customFormat="1">
      <c r="A5" s="251">
        <v>4</v>
      </c>
      <c r="B5" s="1"/>
      <c r="C5" s="1"/>
      <c r="D5" s="1">
        <f t="shared" si="0"/>
        <v>0</v>
      </c>
      <c r="E5" s="1"/>
      <c r="F5" s="1" t="e">
        <f t="shared" si="1"/>
        <v>#DIV/0!</v>
      </c>
      <c r="G5" s="1"/>
      <c r="H5" s="1"/>
      <c r="I5" s="1" t="str">
        <f>Equal_Pooling_RevB!H18</f>
        <v/>
      </c>
      <c r="J5" s="186" t="str">
        <f>Equal_Pooling_RevB!I18</f>
        <v/>
      </c>
    </row>
    <row r="6" spans="1:10" customFormat="1">
      <c r="A6" s="251">
        <v>5</v>
      </c>
      <c r="B6" s="1"/>
      <c r="C6" s="1"/>
      <c r="D6" s="1">
        <f t="shared" si="0"/>
        <v>0</v>
      </c>
      <c r="E6" s="1"/>
      <c r="F6" s="1" t="e">
        <f t="shared" si="1"/>
        <v>#DIV/0!</v>
      </c>
      <c r="G6" s="1"/>
      <c r="H6" s="1"/>
      <c r="I6" s="1" t="str">
        <f>Equal_Pooling_RevB!H19</f>
        <v/>
      </c>
      <c r="J6" s="186" t="str">
        <f>Equal_Pooling_RevB!I19</f>
        <v/>
      </c>
    </row>
    <row r="7" spans="1:10" customFormat="1">
      <c r="A7" s="251">
        <v>6</v>
      </c>
      <c r="B7" s="1"/>
      <c r="C7" s="1"/>
      <c r="D7" s="1">
        <f t="shared" si="0"/>
        <v>0</v>
      </c>
      <c r="E7" s="1"/>
      <c r="F7" s="1" t="e">
        <f t="shared" si="1"/>
        <v>#DIV/0!</v>
      </c>
      <c r="G7" s="1"/>
      <c r="H7" s="1"/>
      <c r="I7" s="1" t="str">
        <f>Equal_Pooling_RevB!H20</f>
        <v/>
      </c>
      <c r="J7" s="186" t="str">
        <f>Equal_Pooling_RevB!I20</f>
        <v/>
      </c>
    </row>
    <row r="8" spans="1:10" customFormat="1">
      <c r="A8" s="251">
        <v>7</v>
      </c>
      <c r="B8" s="1"/>
      <c r="C8" s="1"/>
      <c r="D8" s="1">
        <f t="shared" si="0"/>
        <v>0</v>
      </c>
      <c r="E8" s="1"/>
      <c r="F8" s="1" t="e">
        <f t="shared" si="1"/>
        <v>#DIV/0!</v>
      </c>
      <c r="G8" s="1"/>
      <c r="H8" s="1"/>
      <c r="I8" s="1" t="str">
        <f>Equal_Pooling_RevB!H21</f>
        <v/>
      </c>
      <c r="J8" s="186" t="str">
        <f>Equal_Pooling_RevB!I21</f>
        <v/>
      </c>
    </row>
    <row r="9" spans="1:10" customFormat="1">
      <c r="A9" s="251">
        <v>8</v>
      </c>
      <c r="B9" s="1"/>
      <c r="C9" s="1"/>
      <c r="D9" s="1">
        <f t="shared" si="0"/>
        <v>0</v>
      </c>
      <c r="E9" s="1"/>
      <c r="F9" s="1" t="e">
        <f t="shared" si="1"/>
        <v>#DIV/0!</v>
      </c>
      <c r="G9" s="1"/>
      <c r="H9" s="1"/>
      <c r="I9" s="1" t="str">
        <f>Equal_Pooling_RevB!H22</f>
        <v/>
      </c>
      <c r="J9" s="186" t="str">
        <f>Equal_Pooling_RevB!I22</f>
        <v/>
      </c>
    </row>
    <row r="10" spans="1:10" customFormat="1">
      <c r="A10" s="251">
        <v>9</v>
      </c>
      <c r="B10" s="1"/>
      <c r="C10" s="1"/>
      <c r="D10" s="1">
        <f t="shared" si="0"/>
        <v>0</v>
      </c>
      <c r="E10" s="1"/>
      <c r="F10" s="1" t="e">
        <f t="shared" si="1"/>
        <v>#DIV/0!</v>
      </c>
      <c r="G10" s="1"/>
      <c r="H10" s="1"/>
      <c r="I10" s="1" t="str">
        <f>Equal_Pooling_RevB!H23</f>
        <v/>
      </c>
      <c r="J10" s="186" t="str">
        <f>Equal_Pooling_RevB!I23</f>
        <v/>
      </c>
    </row>
    <row r="11" spans="1:10" customFormat="1">
      <c r="A11" s="251">
        <v>10</v>
      </c>
      <c r="B11" s="1"/>
      <c r="C11" s="1"/>
      <c r="D11" s="1">
        <f t="shared" si="0"/>
        <v>0</v>
      </c>
      <c r="E11" s="1"/>
      <c r="F11" s="1" t="e">
        <f t="shared" si="1"/>
        <v>#DIV/0!</v>
      </c>
      <c r="G11" s="1"/>
      <c r="H11" s="1"/>
      <c r="I11" s="1" t="str">
        <f>Equal_Pooling_RevB!H24</f>
        <v/>
      </c>
      <c r="J11" s="186" t="str">
        <f>Equal_Pooling_RevB!I24</f>
        <v/>
      </c>
    </row>
    <row r="12" spans="1:10" customFormat="1">
      <c r="A12" s="251">
        <v>11</v>
      </c>
      <c r="B12" s="1"/>
      <c r="C12" s="1"/>
      <c r="D12" s="1">
        <f t="shared" si="0"/>
        <v>0</v>
      </c>
      <c r="E12" s="1"/>
      <c r="F12" s="1" t="e">
        <f t="shared" si="1"/>
        <v>#DIV/0!</v>
      </c>
      <c r="G12" s="1"/>
      <c r="H12" s="1"/>
      <c r="I12" s="1" t="str">
        <f>Equal_Pooling_RevB!H25</f>
        <v/>
      </c>
      <c r="J12" s="186" t="str">
        <f>Equal_Pooling_RevB!I25</f>
        <v/>
      </c>
    </row>
    <row r="13" spans="1:10" customFormat="1">
      <c r="A13" s="251">
        <v>12</v>
      </c>
      <c r="B13" s="1"/>
      <c r="C13" s="1"/>
      <c r="D13" s="1">
        <f t="shared" si="0"/>
        <v>0</v>
      </c>
      <c r="E13" s="1"/>
      <c r="F13" s="1" t="e">
        <f t="shared" si="1"/>
        <v>#DIV/0!</v>
      </c>
      <c r="G13" s="1"/>
      <c r="H13" s="1"/>
      <c r="I13" s="1" t="str">
        <f>Equal_Pooling_RevB!H26</f>
        <v/>
      </c>
      <c r="J13" s="186" t="str">
        <f>Equal_Pooling_RevB!I26</f>
        <v/>
      </c>
    </row>
    <row r="14" spans="1:10" customFormat="1">
      <c r="A14" s="251">
        <v>13</v>
      </c>
      <c r="B14" s="1"/>
      <c r="C14" s="1"/>
      <c r="D14" s="1">
        <f t="shared" si="0"/>
        <v>0</v>
      </c>
      <c r="E14" s="1"/>
      <c r="F14" s="1" t="e">
        <f t="shared" si="1"/>
        <v>#DIV/0!</v>
      </c>
      <c r="G14" s="1"/>
      <c r="H14" s="1"/>
      <c r="I14" s="1" t="str">
        <f>Equal_Pooling_RevB!H27</f>
        <v/>
      </c>
      <c r="J14" s="186" t="str">
        <f>Equal_Pooling_RevB!I27</f>
        <v/>
      </c>
    </row>
    <row r="15" spans="1:10" customFormat="1">
      <c r="A15" s="251">
        <v>14</v>
      </c>
      <c r="B15" s="1"/>
      <c r="C15" s="1"/>
      <c r="D15" s="1">
        <f t="shared" si="0"/>
        <v>0</v>
      </c>
      <c r="E15" s="1"/>
      <c r="F15" s="1" t="e">
        <f t="shared" si="1"/>
        <v>#DIV/0!</v>
      </c>
      <c r="G15" s="1"/>
      <c r="H15" s="1"/>
      <c r="I15" s="1" t="str">
        <f>Equal_Pooling_RevB!H28</f>
        <v/>
      </c>
      <c r="J15" s="186" t="str">
        <f>Equal_Pooling_RevB!I28</f>
        <v/>
      </c>
    </row>
    <row r="16" spans="1:10" customFormat="1">
      <c r="A16" s="251">
        <v>15</v>
      </c>
      <c r="B16" s="1"/>
      <c r="C16" s="1"/>
      <c r="D16" s="1">
        <f t="shared" si="0"/>
        <v>0</v>
      </c>
      <c r="E16" s="1"/>
      <c r="F16" s="1" t="e">
        <f t="shared" si="1"/>
        <v>#DIV/0!</v>
      </c>
      <c r="G16" s="1"/>
      <c r="H16" s="1"/>
      <c r="I16" s="1" t="str">
        <f>Equal_Pooling_RevB!H29</f>
        <v/>
      </c>
      <c r="J16" s="186" t="str">
        <f>Equal_Pooling_RevB!I29</f>
        <v/>
      </c>
    </row>
    <row r="17" spans="1:22" customFormat="1">
      <c r="A17" s="272">
        <v>16</v>
      </c>
      <c r="B17" s="273"/>
      <c r="C17" s="273"/>
      <c r="D17" s="273">
        <f t="shared" si="0"/>
        <v>0</v>
      </c>
      <c r="E17" s="273"/>
      <c r="F17" s="273" t="e">
        <f t="shared" si="1"/>
        <v>#DIV/0!</v>
      </c>
      <c r="G17" s="273"/>
      <c r="H17" s="273"/>
      <c r="I17" s="273" t="str">
        <f>Equal_Pooling_RevB!H30</f>
        <v/>
      </c>
      <c r="J17" s="274"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5" priority="10" operator="greaterThan">
      <formula>10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codeName="Sheet4">
    <pageSetUpPr fitToPage="1"/>
  </sheetPr>
  <dimension ref="A1:AK127"/>
  <sheetViews>
    <sheetView topLeftCell="A112" zoomScaleNormal="100" workbookViewId="0">
      <selection activeCell="F122" sqref="F122:I122"/>
    </sheetView>
  </sheetViews>
  <sheetFormatPr defaultColWidth="8.85546875" defaultRowHeight="26.25" customHeight="1"/>
  <cols>
    <col min="1" max="1" width="4.42578125" style="141" customWidth="1"/>
    <col min="2" max="2" width="6.140625" style="141" customWidth="1"/>
    <col min="3" max="3" width="10.425781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9.140625" style="141" customWidth="1"/>
    <col min="10" max="10" width="8.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37" t="s">
        <v>508</v>
      </c>
      <c r="D1" s="337"/>
      <c r="E1" s="337"/>
      <c r="F1" s="337"/>
      <c r="G1" s="337"/>
      <c r="H1" s="337"/>
      <c r="I1" s="337"/>
      <c r="J1" s="337"/>
      <c r="Q1" s="90"/>
    </row>
    <row r="2" spans="1:37" ht="26.25" customHeight="1">
      <c r="A2" s="338" t="s">
        <v>61</v>
      </c>
      <c r="B2" s="338"/>
      <c r="C2" s="338"/>
      <c r="D2" s="338"/>
      <c r="E2" s="339"/>
      <c r="F2" s="339"/>
      <c r="G2" s="339"/>
    </row>
    <row r="3" spans="1:37" ht="26.25" customHeight="1">
      <c r="A3" s="340" t="s">
        <v>63</v>
      </c>
      <c r="B3" s="341"/>
      <c r="C3" s="341"/>
      <c r="D3" s="342"/>
      <c r="E3" s="339"/>
      <c r="F3" s="339"/>
      <c r="G3" s="339"/>
      <c r="K3" s="145" t="s">
        <v>210</v>
      </c>
      <c r="L3" s="144" t="s">
        <v>211</v>
      </c>
    </row>
    <row r="4" spans="1:37" ht="23.45" customHeight="1">
      <c r="A4" s="352" t="s">
        <v>518</v>
      </c>
      <c r="B4" s="352"/>
      <c r="C4" s="352"/>
      <c r="D4" s="352"/>
      <c r="E4" s="339"/>
      <c r="F4" s="339"/>
      <c r="G4" s="339"/>
      <c r="J4" s="287" t="s">
        <v>64</v>
      </c>
      <c r="K4" s="288"/>
      <c r="L4" s="144"/>
      <c r="AK4" s="147"/>
    </row>
    <row r="5" spans="1:37" ht="25.5" customHeight="1">
      <c r="A5" s="338" t="s">
        <v>520</v>
      </c>
      <c r="B5" s="338"/>
      <c r="C5" s="338"/>
      <c r="D5" s="338"/>
      <c r="E5" s="339"/>
      <c r="F5" s="339"/>
      <c r="G5" s="339"/>
      <c r="AK5" s="147"/>
    </row>
    <row r="6" spans="1:37" ht="23.45" customHeight="1">
      <c r="A6" s="338" t="s">
        <v>391</v>
      </c>
      <c r="B6" s="338"/>
      <c r="C6" s="338"/>
      <c r="D6" s="338"/>
      <c r="E6" s="387"/>
      <c r="F6" s="388"/>
      <c r="G6" s="389"/>
      <c r="I6" s="360" t="s">
        <v>521</v>
      </c>
      <c r="J6" s="392"/>
      <c r="K6" s="361"/>
      <c r="L6" s="387"/>
      <c r="M6" s="388"/>
      <c r="N6" s="389"/>
      <c r="O6"/>
      <c r="AK6" s="147"/>
    </row>
    <row r="7" spans="1:37" ht="28.5" customHeight="1">
      <c r="A7" s="352" t="s">
        <v>519</v>
      </c>
      <c r="B7" s="352"/>
      <c r="C7" s="352"/>
      <c r="D7" s="352"/>
      <c r="E7" s="387"/>
      <c r="F7" s="388"/>
      <c r="G7" s="389"/>
      <c r="L7"/>
      <c r="M7"/>
      <c r="N7"/>
      <c r="AK7" s="147"/>
    </row>
    <row r="8" spans="1:37" ht="29.25" customHeight="1">
      <c r="A8" s="393" t="s">
        <v>66</v>
      </c>
      <c r="B8" s="394"/>
      <c r="C8" s="394"/>
      <c r="D8" s="395"/>
      <c r="E8" s="359"/>
      <c r="F8" s="359"/>
      <c r="G8" s="359"/>
    </row>
    <row r="9" spans="1:37" ht="26.25" customHeight="1">
      <c r="A9" s="393" t="s">
        <v>67</v>
      </c>
      <c r="B9" s="394"/>
      <c r="C9" s="394"/>
      <c r="D9" s="395"/>
      <c r="E9" s="339"/>
      <c r="F9" s="339"/>
      <c r="G9" s="339"/>
    </row>
    <row r="10" spans="1:37" ht="26.25" customHeight="1">
      <c r="A10" s="396" t="s">
        <v>68</v>
      </c>
      <c r="B10" s="397"/>
      <c r="C10" s="397"/>
      <c r="D10" s="398"/>
      <c r="E10" s="399"/>
      <c r="F10" s="400"/>
      <c r="G10" s="401"/>
    </row>
    <row r="11" spans="1:37" ht="20.45" customHeight="1" thickBot="1">
      <c r="A11" s="393" t="s">
        <v>172</v>
      </c>
      <c r="B11" s="394"/>
      <c r="C11" s="394"/>
      <c r="D11" s="395"/>
      <c r="E11" s="148"/>
      <c r="F11"/>
      <c r="G11"/>
      <c r="H11"/>
      <c r="I11"/>
    </row>
    <row r="12" spans="1:37" ht="26.25" customHeight="1" thickBot="1">
      <c r="A12" s="149"/>
      <c r="B12" s="289" t="s">
        <v>69</v>
      </c>
      <c r="C12" s="290"/>
      <c r="D12" s="290"/>
      <c r="E12" s="290"/>
      <c r="F12" s="290"/>
      <c r="G12" s="290"/>
      <c r="H12" s="290"/>
      <c r="I12" s="290"/>
      <c r="J12" s="290"/>
      <c r="K12" s="290"/>
      <c r="L12" s="290"/>
      <c r="M12" s="291"/>
      <c r="O12" s="92"/>
    </row>
    <row r="13" spans="1:37" ht="26.25" customHeight="1" thickBot="1">
      <c r="A13" s="150"/>
      <c r="B13" s="151" t="s">
        <v>392</v>
      </c>
      <c r="C13" s="151"/>
      <c r="D13" s="151"/>
      <c r="E13" s="151"/>
      <c r="O13" s="92"/>
    </row>
    <row r="14" spans="1:37" ht="26.25" customHeight="1" thickBot="1">
      <c r="A14" s="150"/>
      <c r="B14" s="151" t="s">
        <v>393</v>
      </c>
      <c r="C14" s="151"/>
      <c r="D14" s="151"/>
      <c r="E14" s="151"/>
      <c r="O14" s="92"/>
    </row>
    <row r="15" spans="1:37" ht="33.6" customHeight="1" thickBot="1">
      <c r="A15"/>
      <c r="B15" s="151"/>
      <c r="C15" s="151"/>
      <c r="E15" s="152" t="s">
        <v>72</v>
      </c>
      <c r="F15" s="152" t="str">
        <f>CONCATENATE(" Volume for ",$E$11," samples")</f>
        <v xml:space="preserve"> Volume for  samples</v>
      </c>
      <c r="O15" s="92"/>
    </row>
    <row r="16" spans="1:37" ht="26.25" customHeight="1" thickBot="1">
      <c r="A16" s="150"/>
      <c r="B16" s="151" t="s">
        <v>73</v>
      </c>
      <c r="C16" s="153"/>
      <c r="D16" s="237" t="s">
        <v>329</v>
      </c>
      <c r="E16" s="155">
        <v>16.3</v>
      </c>
      <c r="F16" s="156">
        <f>E16*$E$11*1.1</f>
        <v>0</v>
      </c>
      <c r="G16" s="143" t="s">
        <v>74</v>
      </c>
      <c r="O16" s="92"/>
      <c r="Q16" s="151"/>
    </row>
    <row r="17" spans="1:17" ht="26.25" customHeight="1">
      <c r="A17" s="149"/>
      <c r="B17" s="151"/>
      <c r="C17" s="157"/>
      <c r="D17" s="158" t="s">
        <v>330</v>
      </c>
      <c r="E17" s="159">
        <v>3.1</v>
      </c>
      <c r="F17" s="156">
        <f>E17*$E$11*1.1</f>
        <v>0</v>
      </c>
      <c r="G17" s="143" t="s">
        <v>74</v>
      </c>
      <c r="O17" s="92"/>
      <c r="Q17" s="151"/>
    </row>
    <row r="18" spans="1:17" ht="28.5" customHeight="1">
      <c r="A18" s="149"/>
      <c r="B18" s="151"/>
      <c r="C18" s="157"/>
      <c r="D18" s="158" t="s">
        <v>75</v>
      </c>
      <c r="E18" s="159">
        <v>2</v>
      </c>
      <c r="F18" s="156">
        <f>E18*$E$11*1.1</f>
        <v>0</v>
      </c>
      <c r="G18" s="143" t="s">
        <v>74</v>
      </c>
      <c r="O18" s="92"/>
      <c r="Q18" s="151"/>
    </row>
    <row r="19" spans="1:17" ht="23.1" customHeight="1" thickBot="1">
      <c r="A19" s="149"/>
      <c r="B19" s="151"/>
      <c r="C19" s="161"/>
      <c r="D19" s="162" t="s">
        <v>331</v>
      </c>
      <c r="E19" s="163">
        <v>7</v>
      </c>
      <c r="F19" s="163">
        <f>E19*$E$11*1.1</f>
        <v>0</v>
      </c>
      <c r="G19" s="164" t="s">
        <v>74</v>
      </c>
      <c r="O19" s="92"/>
    </row>
    <row r="20" spans="1:17" ht="15.95" customHeight="1" thickBot="1">
      <c r="A20" s="149"/>
      <c r="B20" s="151"/>
      <c r="D20" s="165"/>
      <c r="E20" s="166">
        <f>SUM(E16:E19)</f>
        <v>28.400000000000002</v>
      </c>
      <c r="F20" s="166">
        <f>SUM(F16:F19)</f>
        <v>0</v>
      </c>
      <c r="G20" s="167" t="s">
        <v>74</v>
      </c>
      <c r="H20" s="141" t="s">
        <v>76</v>
      </c>
      <c r="O20" s="92"/>
    </row>
    <row r="21" spans="1:17" ht="26.25" customHeight="1" thickBot="1">
      <c r="A21" s="150"/>
      <c r="B21" s="151" t="s">
        <v>509</v>
      </c>
      <c r="D21" s="94"/>
      <c r="E21" s="151"/>
      <c r="F21" s="95"/>
      <c r="G21" s="238"/>
      <c r="H21" s="238"/>
      <c r="K21" s="239"/>
      <c r="O21" s="92"/>
    </row>
    <row r="22" spans="1:17" ht="23.1" customHeight="1" thickBot="1">
      <c r="A22" s="150"/>
      <c r="B22" s="141" t="s">
        <v>394</v>
      </c>
      <c r="D22" s="142"/>
      <c r="E22" s="142"/>
      <c r="F22" s="142"/>
      <c r="G22" s="142"/>
      <c r="H22" s="142"/>
      <c r="I22"/>
      <c r="J22"/>
      <c r="K22"/>
      <c r="L22"/>
      <c r="M22"/>
    </row>
    <row r="23" spans="1:17" ht="26.25" customHeight="1" thickBot="1">
      <c r="A23" s="150"/>
      <c r="B23" s="151" t="s">
        <v>333</v>
      </c>
      <c r="D23" s="151"/>
      <c r="E23" s="151"/>
      <c r="H23"/>
      <c r="I23"/>
      <c r="J23"/>
      <c r="K23"/>
      <c r="L23"/>
      <c r="M23"/>
    </row>
    <row r="24" spans="1:17" ht="26.25" customHeight="1" thickBot="1">
      <c r="A24" s="149"/>
      <c r="C24" s="168"/>
      <c r="D24" s="169" t="s">
        <v>215</v>
      </c>
      <c r="E24" s="170" t="s">
        <v>216</v>
      </c>
      <c r="F24" s="170" t="s">
        <v>395</v>
      </c>
      <c r="G24" s="335" t="s">
        <v>218</v>
      </c>
      <c r="H24" s="336"/>
      <c r="I24"/>
      <c r="J24" s="103" t="s">
        <v>396</v>
      </c>
      <c r="K24" s="103"/>
      <c r="L24" s="103"/>
      <c r="M24"/>
    </row>
    <row r="25" spans="1:17" ht="14.45" customHeight="1">
      <c r="A25" s="149"/>
      <c r="C25" s="171">
        <v>1</v>
      </c>
      <c r="D25" s="172"/>
      <c r="E25" s="172"/>
      <c r="F25" s="172"/>
      <c r="G25" s="383"/>
      <c r="H25" s="384"/>
      <c r="I25"/>
      <c r="J25"/>
      <c r="K25"/>
      <c r="L25"/>
      <c r="M25"/>
    </row>
    <row r="26" spans="1:17" ht="14.45" customHeight="1">
      <c r="A26" s="149"/>
      <c r="C26" s="173">
        <v>2</v>
      </c>
      <c r="D26" s="156"/>
      <c r="E26" s="172"/>
      <c r="F26" s="156"/>
      <c r="G26" s="360"/>
      <c r="H26" s="361"/>
      <c r="I26"/>
      <c r="J26"/>
      <c r="K26"/>
      <c r="L26"/>
      <c r="M26"/>
    </row>
    <row r="27" spans="1:17" ht="14.45" customHeight="1">
      <c r="A27" s="149"/>
      <c r="C27" s="1">
        <v>3</v>
      </c>
      <c r="D27" s="156"/>
      <c r="E27" s="156"/>
      <c r="F27" s="156"/>
      <c r="G27" s="360"/>
      <c r="H27" s="361"/>
      <c r="I27"/>
      <c r="J27"/>
      <c r="K27"/>
      <c r="L27"/>
      <c r="M27"/>
    </row>
    <row r="28" spans="1:17" ht="14.45" customHeight="1">
      <c r="A28" s="149"/>
      <c r="C28" s="173">
        <v>4</v>
      </c>
      <c r="D28" s="156"/>
      <c r="E28" s="156"/>
      <c r="F28" s="156"/>
      <c r="G28" s="360"/>
      <c r="H28" s="361"/>
      <c r="I28"/>
      <c r="J28"/>
      <c r="K28"/>
      <c r="L28"/>
      <c r="M28"/>
    </row>
    <row r="29" spans="1:17" ht="14.45" customHeight="1">
      <c r="A29" s="149"/>
      <c r="C29" s="173">
        <v>5</v>
      </c>
      <c r="D29" s="156"/>
      <c r="E29" s="156"/>
      <c r="F29" s="156"/>
      <c r="G29" s="360"/>
      <c r="H29" s="361"/>
      <c r="I29"/>
      <c r="J29"/>
      <c r="K29"/>
      <c r="L29"/>
      <c r="M29"/>
    </row>
    <row r="30" spans="1:17" ht="14.45" customHeight="1">
      <c r="A30" s="149"/>
      <c r="C30" s="173">
        <v>6</v>
      </c>
      <c r="D30" s="156"/>
      <c r="E30" s="156"/>
      <c r="F30" s="156"/>
      <c r="G30" s="360"/>
      <c r="H30" s="361"/>
      <c r="I30"/>
      <c r="J30"/>
      <c r="K30"/>
      <c r="L30"/>
      <c r="M30"/>
    </row>
    <row r="31" spans="1:17" ht="14.45" customHeight="1">
      <c r="A31" s="149"/>
      <c r="C31" s="173">
        <v>7</v>
      </c>
      <c r="D31" s="156"/>
      <c r="E31" s="156"/>
      <c r="F31" s="156"/>
      <c r="G31" s="360"/>
      <c r="H31" s="361"/>
      <c r="I31"/>
      <c r="J31"/>
      <c r="K31"/>
      <c r="L31"/>
      <c r="M31"/>
    </row>
    <row r="32" spans="1:17" ht="14.45" customHeight="1" thickBot="1">
      <c r="A32" s="149"/>
      <c r="C32" s="173">
        <v>8</v>
      </c>
      <c r="D32" s="156"/>
      <c r="E32" s="156"/>
      <c r="F32" s="156"/>
      <c r="G32" s="360"/>
      <c r="H32" s="361"/>
      <c r="I32"/>
      <c r="J32"/>
      <c r="K32"/>
      <c r="L32"/>
      <c r="M32"/>
    </row>
    <row r="33" spans="1:13" ht="26.25" customHeight="1" thickBot="1">
      <c r="A33" s="150"/>
      <c r="B33" s="96" t="s">
        <v>360</v>
      </c>
      <c r="C33"/>
      <c r="D33"/>
      <c r="E33"/>
      <c r="F33"/>
    </row>
    <row r="34" spans="1:13" ht="26.25" customHeight="1" thickBot="1">
      <c r="A34" s="174"/>
      <c r="B34" s="96" t="s">
        <v>397</v>
      </c>
      <c r="C34"/>
      <c r="D34"/>
      <c r="E34"/>
      <c r="F34"/>
    </row>
    <row r="35" spans="1:13" ht="26.25" customHeight="1" thickBot="1">
      <c r="A35" s="174"/>
      <c r="B35" s="96" t="s">
        <v>398</v>
      </c>
      <c r="C35"/>
      <c r="D35"/>
      <c r="E35"/>
      <c r="F35"/>
    </row>
    <row r="36" spans="1:13" ht="26.25" customHeight="1" thickBot="1">
      <c r="A36" s="150"/>
      <c r="B36" s="96" t="s">
        <v>220</v>
      </c>
      <c r="C36"/>
      <c r="D36"/>
      <c r="E36"/>
      <c r="F36"/>
    </row>
    <row r="37" spans="1:13" ht="26.25" customHeight="1" thickBot="1">
      <c r="A37" s="150"/>
      <c r="B37" s="96" t="s">
        <v>399</v>
      </c>
      <c r="C37"/>
      <c r="D37"/>
      <c r="E37"/>
      <c r="F37"/>
      <c r="I37" s="94" t="s">
        <v>338</v>
      </c>
      <c r="K37" s="151" t="s">
        <v>339</v>
      </c>
    </row>
    <row r="38" spans="1:13" ht="21.95" customHeight="1" thickBot="1">
      <c r="A38" s="149"/>
      <c r="B38" s="96"/>
      <c r="C38"/>
      <c r="D38"/>
      <c r="E38"/>
      <c r="F38"/>
      <c r="I38" s="94" t="s">
        <v>221</v>
      </c>
    </row>
    <row r="39" spans="1:13" ht="26.25" customHeight="1" thickBot="1">
      <c r="A39" s="149"/>
      <c r="B39" s="298" t="s">
        <v>222</v>
      </c>
      <c r="C39" s="299"/>
      <c r="D39" s="299"/>
      <c r="E39" s="299"/>
      <c r="F39" s="299"/>
      <c r="G39" s="299"/>
      <c r="H39" s="299"/>
      <c r="I39" s="299"/>
      <c r="J39" s="299"/>
      <c r="K39" s="299"/>
      <c r="L39" s="299"/>
      <c r="M39" s="300"/>
    </row>
    <row r="40" spans="1:13" s="151" customFormat="1" ht="26.25" customHeight="1" thickBot="1">
      <c r="A40" s="175"/>
      <c r="B40" s="151" t="s">
        <v>223</v>
      </c>
      <c r="H40" s="95" t="s">
        <v>78</v>
      </c>
    </row>
    <row r="41" spans="1:13" ht="26.25" customHeight="1" thickBot="1">
      <c r="A41" s="150"/>
      <c r="B41" s="96" t="s">
        <v>224</v>
      </c>
      <c r="C41"/>
      <c r="D41"/>
      <c r="E41"/>
      <c r="F41"/>
      <c r="G41"/>
      <c r="H41" s="95" t="s">
        <v>400</v>
      </c>
      <c r="I41"/>
    </row>
    <row r="42" spans="1:13" ht="35.1" customHeight="1" thickBot="1">
      <c r="A42" s="150"/>
      <c r="B42" s="376" t="s">
        <v>225</v>
      </c>
      <c r="C42" s="375"/>
      <c r="D42" s="375"/>
      <c r="E42" s="375"/>
      <c r="F42" s="375"/>
      <c r="G42" s="96" t="s">
        <v>226</v>
      </c>
      <c r="H42"/>
      <c r="I42"/>
      <c r="J42" s="203" t="s">
        <v>72</v>
      </c>
      <c r="K42" s="176" t="str">
        <f>CONCATENATE(" Volume for ",$E$11," samples")</f>
        <v xml:space="preserve"> Volume for  samples</v>
      </c>
    </row>
    <row r="43" spans="1:13" s="142" customFormat="1" ht="23.1" customHeight="1">
      <c r="A43" s="99"/>
      <c r="B43" s="99"/>
      <c r="C43" s="177"/>
      <c r="D43" s="177"/>
      <c r="E43" s="177"/>
      <c r="F43" s="177"/>
      <c r="G43" s="385" t="s">
        <v>227</v>
      </c>
      <c r="H43" s="385"/>
      <c r="I43" s="385"/>
      <c r="J43" s="155">
        <v>182</v>
      </c>
      <c r="K43" s="156">
        <f>J43*$E$11*1.1</f>
        <v>0</v>
      </c>
      <c r="L43" s="156" t="s">
        <v>74</v>
      </c>
    </row>
    <row r="44" spans="1:13" s="142" customFormat="1" ht="23.1" customHeight="1">
      <c r="B44" s="99"/>
      <c r="C44" s="386" t="s">
        <v>228</v>
      </c>
      <c r="D44" s="386"/>
      <c r="E44" s="386"/>
      <c r="F44" s="99"/>
      <c r="G44" s="385" t="s">
        <v>229</v>
      </c>
      <c r="H44" s="385"/>
      <c r="I44" s="385"/>
      <c r="J44" s="155">
        <v>8</v>
      </c>
      <c r="K44" s="156">
        <f>J44*$E$11*1.1</f>
        <v>0</v>
      </c>
      <c r="L44" s="156" t="s">
        <v>74</v>
      </c>
    </row>
    <row r="45" spans="1:13" s="142" customFormat="1" ht="23.1" customHeight="1">
      <c r="B45" s="99"/>
      <c r="C45" s="386"/>
      <c r="D45" s="386"/>
      <c r="E45" s="386"/>
      <c r="F45" s="99"/>
      <c r="G45" s="381" t="s">
        <v>230</v>
      </c>
      <c r="H45" s="381"/>
      <c r="I45" s="381"/>
      <c r="J45" s="155">
        <v>5</v>
      </c>
      <c r="K45" s="156">
        <f>J45*$E$11*1.1</f>
        <v>0</v>
      </c>
      <c r="L45" s="156" t="s">
        <v>74</v>
      </c>
    </row>
    <row r="46" spans="1:13" s="142" customFormat="1" ht="23.1" customHeight="1" thickBot="1">
      <c r="B46" s="99"/>
      <c r="C46" s="99"/>
      <c r="D46" s="99"/>
      <c r="E46" s="99"/>
      <c r="F46" s="99"/>
      <c r="G46" s="382" t="s">
        <v>80</v>
      </c>
      <c r="H46" s="382"/>
      <c r="I46" s="382"/>
      <c r="J46" s="178">
        <v>5</v>
      </c>
      <c r="K46" s="163">
        <f>J46*$E$11*1.1</f>
        <v>0</v>
      </c>
      <c r="L46" s="163" t="s">
        <v>74</v>
      </c>
    </row>
    <row r="47" spans="1:13" s="142" customFormat="1" ht="23.1" customHeight="1" thickBot="1">
      <c r="B47" s="99"/>
      <c r="C47" s="99"/>
      <c r="D47" s="99"/>
      <c r="E47" s="99"/>
      <c r="F47" s="99"/>
      <c r="G47" s="99"/>
      <c r="H47" s="99"/>
      <c r="I47" s="99"/>
      <c r="J47" s="172">
        <f>SUM(J43:J46)</f>
        <v>200</v>
      </c>
      <c r="K47" s="172">
        <f>SUM(K43:K46)</f>
        <v>0</v>
      </c>
      <c r="L47" s="172" t="s">
        <v>74</v>
      </c>
      <c r="M47" s="179" t="s">
        <v>76</v>
      </c>
    </row>
    <row r="48" spans="1:13" ht="33" customHeight="1" thickBot="1">
      <c r="A48" s="150"/>
      <c r="B48" s="96" t="s">
        <v>81</v>
      </c>
      <c r="C48"/>
      <c r="D48"/>
      <c r="E48" s="176" t="s">
        <v>72</v>
      </c>
      <c r="F48" s="176" t="str">
        <f>CONCATENATE(" Volume for ",$E$11," samples")</f>
        <v xml:space="preserve"> Volume for  samples</v>
      </c>
      <c r="G48"/>
      <c r="H48"/>
      <c r="I48"/>
      <c r="L48" s="146"/>
      <c r="M48" s="179"/>
    </row>
    <row r="49" spans="1:13" ht="26.25" customHeight="1">
      <c r="A49" s="149"/>
      <c r="B49" s="96"/>
      <c r="C49" s="377" t="s">
        <v>82</v>
      </c>
      <c r="D49" s="378"/>
      <c r="E49" s="180">
        <v>98</v>
      </c>
      <c r="F49" s="173">
        <f>IF($E$11&lt;2, E49,E49*0.5*$E$11)</f>
        <v>98</v>
      </c>
      <c r="G49" s="143" t="s">
        <v>74</v>
      </c>
      <c r="I49"/>
      <c r="L49" s="146"/>
      <c r="M49" s="179"/>
    </row>
    <row r="50" spans="1:13" ht="26.25" customHeight="1">
      <c r="A50" s="149"/>
      <c r="B50" s="96"/>
      <c r="C50" s="377" t="s">
        <v>83</v>
      </c>
      <c r="D50" s="378"/>
      <c r="E50" s="180">
        <v>1</v>
      </c>
      <c r="F50" s="173">
        <f t="shared" ref="F50:F51" si="0">IF($E$11&lt;2, E50,E50*0.5*$E$11)</f>
        <v>1</v>
      </c>
      <c r="G50" s="143" t="s">
        <v>74</v>
      </c>
      <c r="I50"/>
      <c r="L50" s="146"/>
      <c r="M50" s="179"/>
    </row>
    <row r="51" spans="1:13" ht="26.25" customHeight="1" thickBot="1">
      <c r="A51" s="149"/>
      <c r="B51" s="96"/>
      <c r="C51" s="379" t="s">
        <v>75</v>
      </c>
      <c r="D51" s="380"/>
      <c r="E51" s="182">
        <v>1</v>
      </c>
      <c r="F51" s="183">
        <f t="shared" si="0"/>
        <v>1</v>
      </c>
      <c r="G51" s="164" t="s">
        <v>74</v>
      </c>
      <c r="I51"/>
      <c r="L51" s="146"/>
      <c r="M51" s="179"/>
    </row>
    <row r="52" spans="1:13" ht="26.25" customHeight="1" thickBot="1">
      <c r="A52" s="149"/>
      <c r="B52"/>
      <c r="C52"/>
      <c r="D52"/>
      <c r="E52" s="171">
        <f>SUM(E49:E51)</f>
        <v>100</v>
      </c>
      <c r="F52" s="171">
        <f>SUM(F49:F51)</f>
        <v>100</v>
      </c>
      <c r="G52" s="167" t="s">
        <v>74</v>
      </c>
      <c r="H52" s="179" t="s">
        <v>76</v>
      </c>
      <c r="I52"/>
    </row>
    <row r="53" spans="1:13" ht="23.1" customHeight="1" thickBot="1">
      <c r="A53" s="150"/>
      <c r="B53" s="96" t="s">
        <v>231</v>
      </c>
      <c r="C53"/>
      <c r="D53"/>
      <c r="E53"/>
      <c r="F53"/>
      <c r="G53"/>
      <c r="H53"/>
      <c r="I53"/>
      <c r="L53" s="146"/>
      <c r="M53" s="179"/>
    </row>
    <row r="54" spans="1:13" ht="30.95" customHeight="1" thickBot="1">
      <c r="A54" s="150"/>
      <c r="B54" s="96" t="s">
        <v>232</v>
      </c>
      <c r="C54"/>
      <c r="D54"/>
      <c r="E54"/>
      <c r="H54" s="184" t="s">
        <v>233</v>
      </c>
      <c r="I54"/>
      <c r="J54" s="176" t="s">
        <v>72</v>
      </c>
      <c r="K54" s="176" t="str">
        <f>CONCATENATE(" Volume for ",$E$11," samples")</f>
        <v xml:space="preserve"> Volume for  samples</v>
      </c>
    </row>
    <row r="55" spans="1:13" ht="21.6" customHeight="1">
      <c r="A55" s="149"/>
      <c r="B55" s="96"/>
      <c r="C55"/>
      <c r="D55"/>
      <c r="E55"/>
      <c r="F55"/>
      <c r="G55" s="381" t="s">
        <v>234</v>
      </c>
      <c r="H55" s="381"/>
      <c r="I55" s="381"/>
      <c r="J55" s="155">
        <v>50</v>
      </c>
      <c r="K55" s="156">
        <f>J55*$E$11*1.1</f>
        <v>0</v>
      </c>
      <c r="L55" s="143" t="s">
        <v>74</v>
      </c>
    </row>
    <row r="56" spans="1:13" ht="21.95" customHeight="1" thickBot="1">
      <c r="A56"/>
      <c r="B56"/>
      <c r="C56"/>
      <c r="D56"/>
      <c r="E56"/>
      <c r="F56"/>
      <c r="G56" s="382" t="s">
        <v>235</v>
      </c>
      <c r="H56" s="382"/>
      <c r="I56" s="382"/>
      <c r="J56" s="178">
        <v>15</v>
      </c>
      <c r="K56" s="163">
        <f>J56*$E$11*1.1</f>
        <v>0</v>
      </c>
      <c r="L56" s="164" t="s">
        <v>74</v>
      </c>
    </row>
    <row r="57" spans="1:13" ht="21.6" customHeight="1" thickBot="1">
      <c r="A57"/>
      <c r="B57"/>
      <c r="C57"/>
      <c r="D57"/>
      <c r="E57"/>
      <c r="F57"/>
      <c r="G57"/>
      <c r="H57"/>
      <c r="I57"/>
      <c r="J57" s="172">
        <f>SUM(J55:J56)</f>
        <v>65</v>
      </c>
      <c r="K57" s="172">
        <f>SUM(K55:K56)</f>
        <v>0</v>
      </c>
      <c r="L57" s="167" t="s">
        <v>74</v>
      </c>
      <c r="M57" s="179" t="s">
        <v>76</v>
      </c>
    </row>
    <row r="58" spans="1:13" ht="20.100000000000001" customHeight="1" thickBot="1">
      <c r="A58" s="150"/>
      <c r="B58" s="96" t="s">
        <v>84</v>
      </c>
      <c r="C58"/>
      <c r="D58" s="240" t="s">
        <v>401</v>
      </c>
      <c r="E58"/>
      <c r="F58"/>
      <c r="G58"/>
      <c r="H58"/>
      <c r="I58"/>
      <c r="L58" s="146"/>
      <c r="M58" s="179"/>
    </row>
    <row r="59" spans="1:13" ht="20.100000000000001" customHeight="1">
      <c r="A59"/>
      <c r="B59"/>
      <c r="C59"/>
      <c r="D59" s="241" t="s">
        <v>402</v>
      </c>
      <c r="E59" s="301" t="s">
        <v>403</v>
      </c>
      <c r="F59"/>
      <c r="G59"/>
      <c r="H59"/>
      <c r="I59"/>
      <c r="L59" s="146"/>
      <c r="M59" s="179"/>
    </row>
    <row r="60" spans="1:13" ht="20.100000000000001" customHeight="1">
      <c r="A60"/>
      <c r="B60"/>
      <c r="C60"/>
      <c r="D60" s="241" t="s">
        <v>87</v>
      </c>
      <c r="E60" s="302"/>
      <c r="F60"/>
      <c r="G60"/>
      <c r="H60"/>
      <c r="I60"/>
      <c r="L60" s="146"/>
      <c r="M60" s="179"/>
    </row>
    <row r="61" spans="1:13" ht="20.100000000000001" customHeight="1">
      <c r="A61"/>
      <c r="B61"/>
      <c r="C61"/>
      <c r="D61" s="241" t="s">
        <v>88</v>
      </c>
      <c r="E61" s="303"/>
      <c r="F61"/>
      <c r="G61" s="142" t="s">
        <v>89</v>
      </c>
      <c r="H61" s="185">
        <v>11</v>
      </c>
      <c r="I61"/>
      <c r="J61"/>
      <c r="L61" s="146"/>
      <c r="M61" s="179"/>
    </row>
    <row r="62" spans="1:13" ht="20.100000000000001" customHeight="1">
      <c r="A62"/>
      <c r="B62"/>
      <c r="C62"/>
      <c r="D62" s="240" t="s">
        <v>88</v>
      </c>
      <c r="E62" s="99"/>
      <c r="F62"/>
      <c r="G62" s="142"/>
      <c r="H62" s="185"/>
      <c r="I62"/>
      <c r="J62"/>
      <c r="L62" s="146"/>
      <c r="M62" s="179"/>
    </row>
    <row r="63" spans="1:13" ht="20.100000000000001" customHeight="1" thickBot="1">
      <c r="A63"/>
      <c r="B63"/>
      <c r="C63"/>
      <c r="D63" s="240" t="s">
        <v>404</v>
      </c>
      <c r="E63"/>
      <c r="F63"/>
      <c r="G63"/>
      <c r="H63"/>
      <c r="I63"/>
      <c r="J63"/>
    </row>
    <row r="64" spans="1:13" ht="24.95" customHeight="1" thickBot="1">
      <c r="A64" s="150"/>
      <c r="B64" s="96" t="s">
        <v>405</v>
      </c>
      <c r="C64"/>
      <c r="D64"/>
      <c r="E64"/>
      <c r="F64"/>
      <c r="G64"/>
      <c r="H64"/>
      <c r="I64"/>
      <c r="J64"/>
    </row>
    <row r="65" spans="1:16" ht="26.25" customHeight="1" thickBot="1">
      <c r="A65"/>
      <c r="B65" s="317" t="s">
        <v>238</v>
      </c>
      <c r="C65" s="318"/>
      <c r="D65" s="318"/>
      <c r="E65" s="318"/>
      <c r="F65" s="318"/>
      <c r="G65" s="318"/>
      <c r="H65" s="318"/>
      <c r="I65" s="318"/>
      <c r="J65" s="318"/>
      <c r="K65" s="318"/>
      <c r="L65" s="318"/>
      <c r="M65" s="319"/>
      <c r="N65"/>
      <c r="O65"/>
      <c r="P65"/>
    </row>
    <row r="66" spans="1:16" ht="24.95" customHeight="1" thickBot="1">
      <c r="A66" s="150"/>
      <c r="B66" s="96" t="s">
        <v>239</v>
      </c>
      <c r="C66"/>
      <c r="D66"/>
      <c r="E66"/>
      <c r="F66"/>
      <c r="G66"/>
      <c r="H66"/>
      <c r="I66"/>
      <c r="J66"/>
    </row>
    <row r="67" spans="1:16" ht="24.95" customHeight="1" thickBot="1">
      <c r="A67" s="150"/>
      <c r="B67" s="96" t="s">
        <v>240</v>
      </c>
      <c r="C67"/>
      <c r="D67"/>
      <c r="E67"/>
      <c r="F67"/>
      <c r="G67"/>
      <c r="H67"/>
      <c r="I67"/>
      <c r="J67"/>
    </row>
    <row r="68" spans="1:16" ht="36" customHeight="1" thickBot="1">
      <c r="A68"/>
      <c r="B68"/>
      <c r="C68"/>
      <c r="D68"/>
      <c r="E68" s="176" t="s">
        <v>72</v>
      </c>
      <c r="F68" s="176" t="str">
        <f>CONCATENATE(" Volume for ",$E$11," samples")</f>
        <v xml:space="preserve"> Volume for  samples</v>
      </c>
      <c r="J68"/>
      <c r="K68"/>
      <c r="L68"/>
      <c r="M68"/>
      <c r="N68"/>
      <c r="O68"/>
      <c r="P68"/>
    </row>
    <row r="69" spans="1:16" ht="26.1" customHeight="1" thickBot="1">
      <c r="A69" s="150"/>
      <c r="B69" s="151" t="s">
        <v>73</v>
      </c>
      <c r="C69" s="186"/>
      <c r="D69" s="133" t="s">
        <v>241</v>
      </c>
      <c r="E69" s="155">
        <v>5</v>
      </c>
      <c r="F69" s="156">
        <f>E69*$E$11*1.1</f>
        <v>0</v>
      </c>
      <c r="G69" s="143" t="s">
        <v>74</v>
      </c>
      <c r="J69"/>
      <c r="K69"/>
      <c r="L69"/>
      <c r="M69"/>
      <c r="N69"/>
      <c r="O69"/>
      <c r="P69"/>
    </row>
    <row r="70" spans="1:16" ht="26.1" customHeight="1" thickBot="1">
      <c r="A70"/>
      <c r="B70"/>
      <c r="C70" s="187"/>
      <c r="D70" s="181" t="s">
        <v>242</v>
      </c>
      <c r="E70" s="178">
        <v>10</v>
      </c>
      <c r="F70" s="163">
        <f>E70*$E$11*1.1</f>
        <v>0</v>
      </c>
      <c r="G70" s="164" t="s">
        <v>74</v>
      </c>
      <c r="J70"/>
      <c r="K70"/>
      <c r="L70"/>
      <c r="M70"/>
      <c r="N70"/>
      <c r="O70"/>
      <c r="P70"/>
    </row>
    <row r="71" spans="1:16" ht="21.6" customHeight="1" thickBot="1">
      <c r="A71"/>
      <c r="B71"/>
      <c r="C71"/>
      <c r="D71"/>
      <c r="E71" s="172">
        <f>SUM(E69:E70)</f>
        <v>15</v>
      </c>
      <c r="F71" s="172">
        <f>SUM(F69:F70)</f>
        <v>0</v>
      </c>
      <c r="G71" s="167" t="s">
        <v>74</v>
      </c>
      <c r="H71" s="179" t="s">
        <v>76</v>
      </c>
      <c r="I71" s="179"/>
      <c r="J71"/>
      <c r="K71"/>
      <c r="L71"/>
      <c r="M71"/>
      <c r="N71"/>
      <c r="O71"/>
      <c r="P71"/>
    </row>
    <row r="72" spans="1:16" ht="21.6" customHeight="1" thickBot="1">
      <c r="A72" s="150"/>
      <c r="B72" s="96" t="s">
        <v>84</v>
      </c>
      <c r="C72"/>
      <c r="D72" s="94" t="s">
        <v>243</v>
      </c>
      <c r="E72"/>
      <c r="F72"/>
      <c r="G72"/>
      <c r="H72"/>
      <c r="I72"/>
      <c r="J72"/>
      <c r="K72"/>
      <c r="L72"/>
      <c r="M72"/>
      <c r="N72"/>
      <c r="O72"/>
      <c r="P72"/>
    </row>
    <row r="73" spans="1:16" ht="21.6" customHeight="1">
      <c r="A73"/>
      <c r="B73"/>
      <c r="C73"/>
      <c r="D73" s="94" t="s">
        <v>244</v>
      </c>
      <c r="E73"/>
      <c r="F73"/>
      <c r="G73"/>
      <c r="H73"/>
      <c r="I73"/>
      <c r="J73"/>
      <c r="K73"/>
      <c r="L73"/>
      <c r="M73"/>
      <c r="N73"/>
      <c r="O73"/>
      <c r="P73"/>
    </row>
    <row r="74" spans="1:16" ht="21.6" customHeight="1">
      <c r="A74"/>
      <c r="B74"/>
      <c r="C74"/>
      <c r="D74" s="94" t="s">
        <v>245</v>
      </c>
      <c r="E74"/>
      <c r="F74"/>
      <c r="G74"/>
      <c r="H74"/>
      <c r="I74"/>
      <c r="J74"/>
      <c r="K74"/>
      <c r="L74"/>
      <c r="M74"/>
      <c r="N74"/>
      <c r="O74"/>
      <c r="P74"/>
    </row>
    <row r="75" spans="1:16" ht="21.6" customHeight="1" thickBot="1">
      <c r="A75"/>
      <c r="B75"/>
      <c r="C75"/>
      <c r="D75" s="94" t="s">
        <v>246</v>
      </c>
      <c r="E75"/>
      <c r="F75"/>
      <c r="G75"/>
      <c r="H75"/>
      <c r="I75"/>
      <c r="J75"/>
      <c r="K75"/>
      <c r="L75"/>
      <c r="M75"/>
      <c r="N75"/>
      <c r="O75"/>
      <c r="P75"/>
    </row>
    <row r="76" spans="1:16" ht="24.95" customHeight="1" thickBot="1">
      <c r="A76" s="150"/>
      <c r="B76" s="375" t="s">
        <v>247</v>
      </c>
      <c r="C76" s="375"/>
      <c r="D76" s="375"/>
      <c r="E76" s="375"/>
      <c r="F76" s="375"/>
      <c r="G76" s="375"/>
      <c r="H76" s="375"/>
      <c r="I76" s="375"/>
      <c r="J76"/>
      <c r="K76" s="103" t="s">
        <v>248</v>
      </c>
    </row>
    <row r="77" spans="1:16" ht="17.45" customHeight="1" thickBot="1">
      <c r="A77"/>
      <c r="B77" s="375"/>
      <c r="C77" s="375"/>
      <c r="D77" s="375"/>
      <c r="E77" s="375"/>
      <c r="F77" s="375"/>
      <c r="G77" s="375"/>
      <c r="H77" s="375"/>
      <c r="I77" s="375"/>
      <c r="J77"/>
      <c r="K77"/>
      <c r="L77"/>
      <c r="M77"/>
      <c r="N77"/>
      <c r="O77"/>
      <c r="P77"/>
    </row>
    <row r="78" spans="1:16" ht="24.95" customHeight="1" thickBot="1">
      <c r="A78" s="150"/>
      <c r="B78" s="96" t="s">
        <v>249</v>
      </c>
      <c r="C78"/>
      <c r="D78"/>
      <c r="E78"/>
      <c r="F78"/>
      <c r="G78"/>
      <c r="H78"/>
      <c r="I78"/>
      <c r="J78"/>
    </row>
    <row r="79" spans="1:16" ht="33" customHeight="1" thickBot="1">
      <c r="A79"/>
      <c r="B79"/>
      <c r="C79"/>
      <c r="D79"/>
      <c r="E79" s="176" t="s">
        <v>72</v>
      </c>
      <c r="F79" s="176" t="str">
        <f>CONCATENATE(" Volume for ",$E$11," samples")</f>
        <v xml:space="preserve"> Volume for  samples</v>
      </c>
      <c r="I79"/>
      <c r="J79"/>
      <c r="K79"/>
      <c r="L79"/>
      <c r="M79"/>
      <c r="N79"/>
      <c r="O79"/>
      <c r="P79"/>
    </row>
    <row r="80" spans="1:16" ht="26.1" customHeight="1" thickBot="1">
      <c r="A80" s="150"/>
      <c r="B80" s="151" t="s">
        <v>250</v>
      </c>
      <c r="C80" s="186"/>
      <c r="D80" s="133" t="s">
        <v>345</v>
      </c>
      <c r="E80" s="155">
        <v>40</v>
      </c>
      <c r="F80" s="156">
        <f>E80*$E$11*1.1</f>
        <v>0</v>
      </c>
      <c r="G80" s="143" t="s">
        <v>74</v>
      </c>
      <c r="I80"/>
      <c r="J80"/>
      <c r="K80"/>
      <c r="L80"/>
      <c r="M80"/>
      <c r="N80"/>
      <c r="O80"/>
      <c r="P80"/>
    </row>
    <row r="81" spans="1:16" ht="26.1" customHeight="1">
      <c r="A81" s="149"/>
      <c r="B81" s="151"/>
      <c r="C81" s="186"/>
      <c r="D81" s="133" t="s">
        <v>251</v>
      </c>
      <c r="E81" s="156">
        <v>10</v>
      </c>
      <c r="F81" s="156">
        <f>E81*$E$11*1.1</f>
        <v>0</v>
      </c>
      <c r="G81" s="143" t="s">
        <v>74</v>
      </c>
      <c r="I81"/>
      <c r="J81"/>
      <c r="K81"/>
      <c r="L81"/>
      <c r="M81"/>
      <c r="N81"/>
      <c r="O81"/>
      <c r="P81"/>
    </row>
    <row r="82" spans="1:16" ht="26.25" customHeight="1" thickBot="1">
      <c r="A82"/>
      <c r="B82"/>
      <c r="C82"/>
      <c r="D82"/>
      <c r="E82" s="172">
        <f>SUM(E80:E81)</f>
        <v>50</v>
      </c>
      <c r="F82" s="172">
        <f>SUM(F80:F81)</f>
        <v>0</v>
      </c>
      <c r="G82" s="167" t="s">
        <v>74</v>
      </c>
      <c r="H82" s="179" t="s">
        <v>76</v>
      </c>
    </row>
    <row r="83" spans="1:16" ht="20.45" customHeight="1" thickBot="1">
      <c r="A83" s="150"/>
      <c r="B83" s="96" t="s">
        <v>84</v>
      </c>
      <c r="C83"/>
      <c r="D83" s="94" t="s">
        <v>252</v>
      </c>
      <c r="G83" s="146"/>
      <c r="H83" s="179"/>
    </row>
    <row r="84" spans="1:16" ht="20.45" customHeight="1" thickBot="1">
      <c r="A84"/>
      <c r="B84"/>
      <c r="C84"/>
      <c r="D84" s="94" t="s">
        <v>243</v>
      </c>
      <c r="G84" s="146"/>
      <c r="H84" s="179"/>
    </row>
    <row r="85" spans="1:16" ht="24.95" customHeight="1" thickBot="1">
      <c r="A85" s="150"/>
      <c r="B85" s="96" t="s">
        <v>253</v>
      </c>
      <c r="C85"/>
      <c r="D85"/>
      <c r="E85"/>
      <c r="F85"/>
      <c r="G85"/>
      <c r="H85"/>
      <c r="I85"/>
      <c r="J85"/>
    </row>
    <row r="86" spans="1:16" ht="24.95" customHeight="1" thickBot="1">
      <c r="A86" s="150"/>
      <c r="B86" s="96" t="s">
        <v>254</v>
      </c>
      <c r="C86"/>
      <c r="D86"/>
      <c r="E86"/>
      <c r="F86"/>
      <c r="G86"/>
      <c r="H86"/>
      <c r="I86"/>
      <c r="J86"/>
    </row>
    <row r="87" spans="1:16" ht="24.95" customHeight="1" thickBot="1">
      <c r="A87" s="150"/>
      <c r="B87" s="96" t="str">
        <f>CONCATENATE("Add 20 µL of indexes of the plate ", L3)</f>
        <v>Add 20 µL of indexes of the plate TT Set A</v>
      </c>
      <c r="C87"/>
      <c r="D87"/>
      <c r="E87"/>
      <c r="F87"/>
      <c r="G87"/>
      <c r="H87"/>
      <c r="I87"/>
      <c r="J87"/>
    </row>
    <row r="88" spans="1:16" ht="24.95" customHeight="1" thickBot="1">
      <c r="A88" s="188"/>
      <c r="B88" s="179" t="s">
        <v>90</v>
      </c>
      <c r="G88" s="141" t="s">
        <v>91</v>
      </c>
      <c r="H88" s="185"/>
    </row>
    <row r="89" spans="1:16" ht="24.95" customHeight="1">
      <c r="A89" s="149"/>
      <c r="B89" s="189"/>
      <c r="C89" s="104">
        <v>1</v>
      </c>
      <c r="D89" s="104">
        <v>2</v>
      </c>
      <c r="E89" s="104">
        <v>3</v>
      </c>
      <c r="F89" s="104">
        <v>4</v>
      </c>
      <c r="G89" s="104">
        <v>5</v>
      </c>
      <c r="H89" s="104">
        <v>6</v>
      </c>
      <c r="I89" s="104">
        <v>7</v>
      </c>
      <c r="J89" s="104">
        <v>8</v>
      </c>
      <c r="K89" s="104">
        <v>9</v>
      </c>
      <c r="L89" s="104">
        <v>10</v>
      </c>
      <c r="M89" s="104">
        <v>11</v>
      </c>
      <c r="N89" s="104">
        <v>12</v>
      </c>
    </row>
    <row r="90" spans="1:16" ht="24.95" customHeight="1">
      <c r="A90" s="149"/>
      <c r="B90" s="105" t="s">
        <v>92</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6" ht="24.95" customHeight="1">
      <c r="B91" s="105" t="s">
        <v>93</v>
      </c>
      <c r="C91" s="106"/>
      <c r="D91" s="106"/>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6" ht="24.95" customHeight="1">
      <c r="B92" s="105" t="s">
        <v>94</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6" ht="24.95" customHeight="1">
      <c r="B93" s="105" t="s">
        <v>95</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6" ht="24.95" customHeight="1">
      <c r="B94" s="105" t="s">
        <v>96</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6" ht="24.95" customHeight="1">
      <c r="B95" s="105" t="s">
        <v>97</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6" ht="24.95" customHeight="1">
      <c r="B96" s="105" t="s">
        <v>98</v>
      </c>
      <c r="C96" s="106" t="str">
        <f>IF(ISNUMBER(#REF!),#REF!, " ")</f>
        <v xml:space="preserve"> </v>
      </c>
      <c r="D96" s="106" t="str">
        <f>IF(ISNUMBER(#REF!),#REF!, " ")</f>
        <v xml:space="preserve"> </v>
      </c>
      <c r="E96" s="106" t="str">
        <f>IF(ISNUMBER(#REF!),#REF!, " ")</f>
        <v xml:space="preserve"> </v>
      </c>
      <c r="F96" s="106" t="str">
        <f>IF(ISNUMBER(#REF!),#REF!, " ")</f>
        <v xml:space="preserve"> </v>
      </c>
      <c r="G96" s="106" t="str">
        <f>IF(ISNUMBER(#REF!),#REF!, " ")</f>
        <v xml:space="preserve"> </v>
      </c>
      <c r="H96" s="106" t="str">
        <f>IF(ISNUMBER(#REF!),#REF!, " ")</f>
        <v xml:space="preserve"> </v>
      </c>
      <c r="I96" s="106" t="str">
        <f>IF(ISNUMBER(#REF!),#REF!, " ")</f>
        <v xml:space="preserve"> </v>
      </c>
      <c r="J96" s="106" t="str">
        <f>IF(ISNUMBER(#REF!),#REF!, " ")</f>
        <v xml:space="preserve"> </v>
      </c>
      <c r="K96" s="106" t="str">
        <f>IF(ISNUMBER(#REF!),#REF!, " ")</f>
        <v xml:space="preserve"> </v>
      </c>
      <c r="L96" s="106" t="str">
        <f>IF(ISNUMBER(#REF!),#REF!, " ")</f>
        <v xml:space="preserve"> </v>
      </c>
      <c r="M96" s="106" t="str">
        <f>IF(ISNUMBER(#REF!),#REF!, " ")</f>
        <v xml:space="preserve"> </v>
      </c>
      <c r="N96" s="106" t="str">
        <f>IF(ISNUMBER(#REF!),#REF!, " ")</f>
        <v xml:space="preserve"> </v>
      </c>
    </row>
    <row r="97" spans="1:14" ht="24.95" customHeight="1" thickBot="1">
      <c r="B97" s="105" t="s">
        <v>99</v>
      </c>
      <c r="C97" s="106" t="str">
        <f>IF(ISNUMBER(#REF!),#REF!, " ")</f>
        <v xml:space="preserve"> </v>
      </c>
      <c r="D97" s="106" t="str">
        <f>IF(ISNUMBER(#REF!),#REF!, " ")</f>
        <v xml:space="preserve"> </v>
      </c>
      <c r="E97" s="106" t="str">
        <f>IF(ISNUMBER(#REF!),#REF!, " ")</f>
        <v xml:space="preserve"> </v>
      </c>
      <c r="F97" s="106" t="str">
        <f>IF(ISNUMBER(#REF!),#REF!, " ")</f>
        <v xml:space="preserve"> </v>
      </c>
      <c r="G97" s="106" t="str">
        <f>IF(ISNUMBER(#REF!),#REF!, " ")</f>
        <v xml:space="preserve"> </v>
      </c>
      <c r="H97" s="106" t="str">
        <f>IF(ISNUMBER(#REF!),#REF!, " ")</f>
        <v xml:space="preserve"> </v>
      </c>
      <c r="I97" s="106" t="str">
        <f>IF(ISNUMBER(#REF!),#REF!, " ")</f>
        <v xml:space="preserve"> </v>
      </c>
      <c r="J97" s="106" t="str">
        <f>IF(ISNUMBER(#REF!),#REF!, " ")</f>
        <v xml:space="preserve"> </v>
      </c>
      <c r="K97" s="106" t="str">
        <f>IF(ISNUMBER(#REF!),#REF!, " ")</f>
        <v xml:space="preserve"> </v>
      </c>
      <c r="L97" s="106" t="str">
        <f>IF(ISNUMBER(#REF!),#REF!, " ")</f>
        <v xml:space="preserve"> </v>
      </c>
      <c r="M97" s="106" t="str">
        <f>IF(ISNUMBER(#REF!),#REF!, " ")</f>
        <v xml:space="preserve"> </v>
      </c>
      <c r="N97" s="106" t="str">
        <f>IF(ISNUMBER(#REF!),#REF!, " ")</f>
        <v xml:space="preserve"> </v>
      </c>
    </row>
    <row r="98" spans="1:14" ht="24.95" customHeight="1" thickBot="1">
      <c r="A98" s="150"/>
      <c r="B98" s="96" t="s">
        <v>84</v>
      </c>
      <c r="C98"/>
      <c r="D98" s="190" t="s">
        <v>100</v>
      </c>
      <c r="E98"/>
      <c r="F98"/>
      <c r="G98" s="142" t="s">
        <v>89</v>
      </c>
      <c r="H98" s="185"/>
      <c r="I98"/>
      <c r="J98"/>
    </row>
    <row r="99" spans="1:14" ht="24.95" customHeight="1">
      <c r="A99"/>
      <c r="B99"/>
      <c r="C99"/>
      <c r="D99" s="191" t="s">
        <v>101</v>
      </c>
      <c r="E99" s="301" t="str">
        <f>IF($H$98&gt;0,CONCATENATE($H$98," cycles"),"___cycles")</f>
        <v>___cycles</v>
      </c>
      <c r="F99"/>
      <c r="G99"/>
      <c r="H99"/>
      <c r="I99"/>
      <c r="J99"/>
    </row>
    <row r="100" spans="1:14" ht="24.95" customHeight="1">
      <c r="A100"/>
      <c r="B100"/>
      <c r="C100"/>
      <c r="D100" s="191" t="s">
        <v>102</v>
      </c>
      <c r="E100" s="302"/>
      <c r="F100"/>
      <c r="G100"/>
      <c r="H100"/>
      <c r="I100"/>
      <c r="J100"/>
    </row>
    <row r="101" spans="1:14" ht="24.95" customHeight="1">
      <c r="A101"/>
      <c r="B101"/>
      <c r="C101"/>
      <c r="D101" s="191" t="s">
        <v>103</v>
      </c>
      <c r="E101" s="303"/>
      <c r="F101"/>
      <c r="G101"/>
      <c r="H101"/>
      <c r="I101"/>
      <c r="J101"/>
    </row>
    <row r="102" spans="1:14" ht="24.95" customHeight="1">
      <c r="A102"/>
      <c r="B102"/>
      <c r="C102"/>
      <c r="D102" s="190" t="s">
        <v>88</v>
      </c>
      <c r="E102"/>
      <c r="F102"/>
      <c r="G102"/>
      <c r="H102"/>
      <c r="I102"/>
      <c r="J102"/>
    </row>
    <row r="103" spans="1:14" ht="24.95" customHeight="1" thickBot="1">
      <c r="A103"/>
      <c r="B103"/>
      <c r="C103"/>
      <c r="D103" s="190" t="s">
        <v>243</v>
      </c>
      <c r="E103"/>
      <c r="F103"/>
      <c r="G103"/>
      <c r="H103"/>
      <c r="I103"/>
      <c r="J103"/>
    </row>
    <row r="104" spans="1:14" ht="24.95" customHeight="1" thickBot="1">
      <c r="A104" s="150"/>
      <c r="B104" s="376" t="s">
        <v>255</v>
      </c>
      <c r="C104" s="375"/>
      <c r="D104" s="375"/>
      <c r="E104" s="375"/>
      <c r="F104" s="375"/>
      <c r="G104" s="375"/>
      <c r="H104" s="375"/>
      <c r="I104" s="375"/>
      <c r="J104"/>
      <c r="K104" s="103" t="s">
        <v>248</v>
      </c>
    </row>
    <row r="105" spans="1:14" ht="12" customHeight="1" thickBot="1">
      <c r="A105"/>
      <c r="B105" s="375"/>
      <c r="C105" s="375"/>
      <c r="D105" s="375"/>
      <c r="E105" s="375"/>
      <c r="F105" s="375"/>
      <c r="G105" s="375"/>
      <c r="H105" s="375"/>
      <c r="I105" s="375"/>
      <c r="J105"/>
      <c r="K105" s="103"/>
    </row>
    <row r="106" spans="1:14" ht="24.95" customHeight="1" thickBot="1">
      <c r="A106" s="150"/>
      <c r="B106" s="96" t="s">
        <v>256</v>
      </c>
      <c r="C106"/>
      <c r="D106"/>
      <c r="E106"/>
      <c r="F106"/>
      <c r="G106"/>
      <c r="H106"/>
      <c r="I106"/>
      <c r="J106"/>
    </row>
    <row r="107" spans="1:14" ht="26.25" customHeight="1" thickBot="1">
      <c r="A107" s="188"/>
      <c r="B107" s="310" t="s">
        <v>257</v>
      </c>
      <c r="C107" s="311"/>
      <c r="D107" s="311"/>
      <c r="E107" s="311"/>
      <c r="F107" s="311"/>
      <c r="G107" s="311"/>
      <c r="H107" s="311"/>
      <c r="I107" s="311"/>
      <c r="J107" s="311"/>
      <c r="K107" s="311"/>
      <c r="L107" s="311"/>
      <c r="M107" s="312"/>
    </row>
    <row r="108" spans="1:14" ht="26.25" customHeight="1" thickBot="1">
      <c r="A108" s="175"/>
      <c r="B108" s="96" t="s">
        <v>258</v>
      </c>
      <c r="C108" s="151"/>
      <c r="E108" s="192"/>
      <c r="G108" s="192"/>
    </row>
    <row r="109" spans="1:14" ht="26.25" customHeight="1" thickBot="1">
      <c r="A109" s="175"/>
      <c r="B109" s="151" t="s">
        <v>259</v>
      </c>
      <c r="C109"/>
      <c r="D109"/>
      <c r="E109"/>
    </row>
    <row r="110" spans="1:14" ht="26.25" customHeight="1">
      <c r="A110" s="179"/>
      <c r="C110" s="96" t="s">
        <v>111</v>
      </c>
      <c r="D110" s="96"/>
      <c r="E110" s="96"/>
      <c r="F110" s="96" t="s">
        <v>260</v>
      </c>
      <c r="G110" s="151"/>
    </row>
    <row r="111" spans="1:14" ht="26.25" customHeight="1">
      <c r="A111" s="179"/>
      <c r="C111" s="294" t="s">
        <v>112</v>
      </c>
      <c r="D111" s="294"/>
      <c r="E111" s="294"/>
      <c r="F111" s="294"/>
      <c r="G111" s="294"/>
      <c r="H111" s="294"/>
      <c r="I111" s="294"/>
      <c r="J111" s="294"/>
      <c r="K111" s="390" t="s">
        <v>113</v>
      </c>
      <c r="L111" s="390"/>
    </row>
    <row r="112" spans="1:14" ht="26.25" customHeight="1">
      <c r="A112" s="179"/>
      <c r="C112" s="294" t="s">
        <v>261</v>
      </c>
      <c r="D112" s="294"/>
      <c r="E112" s="294"/>
      <c r="F112" s="294"/>
      <c r="G112" s="294"/>
      <c r="H112" s="294"/>
      <c r="I112" s="294"/>
      <c r="J112" s="294"/>
      <c r="K112" s="390" t="s">
        <v>165</v>
      </c>
      <c r="L112" s="390"/>
    </row>
    <row r="113" spans="1:12" ht="26.25" customHeight="1">
      <c r="A113" s="179"/>
      <c r="C113" s="391" t="s">
        <v>510</v>
      </c>
      <c r="D113" s="294"/>
      <c r="E113" s="294"/>
      <c r="F113" s="294"/>
      <c r="G113" s="294"/>
      <c r="H113" s="294"/>
      <c r="I113" s="294"/>
      <c r="J113" s="294"/>
      <c r="K113" s="308" t="s">
        <v>511</v>
      </c>
      <c r="L113" s="390"/>
    </row>
    <row r="114" spans="1:12" customFormat="1" ht="25.5" customHeight="1">
      <c r="C114" s="294" t="s">
        <v>512</v>
      </c>
      <c r="D114" s="294"/>
      <c r="E114" s="294"/>
      <c r="F114" s="294"/>
      <c r="G114" s="294"/>
      <c r="H114" s="294"/>
      <c r="I114" s="294"/>
      <c r="J114" s="294"/>
      <c r="K114" s="308" t="s">
        <v>513</v>
      </c>
      <c r="L114" s="390"/>
    </row>
    <row r="115" spans="1:12" customFormat="1" ht="26.25" customHeight="1">
      <c r="C115" s="294" t="s">
        <v>514</v>
      </c>
      <c r="D115" s="294"/>
      <c r="E115" s="294"/>
      <c r="F115" s="294"/>
      <c r="G115" s="294"/>
      <c r="H115" s="294"/>
      <c r="I115" s="294"/>
      <c r="J115" s="294"/>
      <c r="K115" s="308" t="s">
        <v>515</v>
      </c>
      <c r="L115" s="390"/>
    </row>
    <row r="116" spans="1:12" customFormat="1" ht="26.25" customHeight="1">
      <c r="C116" s="294" t="s">
        <v>517</v>
      </c>
      <c r="D116" s="294"/>
      <c r="E116" s="294"/>
      <c r="F116" s="294"/>
      <c r="G116" s="294"/>
      <c r="H116" s="294"/>
      <c r="I116" s="294"/>
      <c r="J116" s="294"/>
      <c r="K116" s="308" t="s">
        <v>516</v>
      </c>
      <c r="L116" s="390"/>
    </row>
    <row r="117" spans="1:12" customFormat="1" ht="31.5" customHeight="1"/>
    <row r="120" spans="1:12" ht="26.25" customHeight="1">
      <c r="C120" s="373" t="s">
        <v>114</v>
      </c>
      <c r="D120" s="373"/>
      <c r="E120" s="373"/>
      <c r="F120" s="366" t="s">
        <v>522</v>
      </c>
      <c r="G120" s="367"/>
      <c r="H120" s="367"/>
      <c r="I120" s="368"/>
    </row>
    <row r="121" spans="1:12" ht="26.25" customHeight="1">
      <c r="C121" s="374" t="s">
        <v>115</v>
      </c>
      <c r="D121" s="374"/>
      <c r="E121" s="374"/>
      <c r="F121" s="366" t="s">
        <v>116</v>
      </c>
      <c r="G121" s="367"/>
      <c r="H121" s="367"/>
      <c r="I121" s="368"/>
    </row>
    <row r="122" spans="1:12" ht="26.25" customHeight="1">
      <c r="C122" s="374" t="s">
        <v>117</v>
      </c>
      <c r="D122" s="374"/>
      <c r="E122" s="374"/>
      <c r="F122" s="366" t="s">
        <v>118</v>
      </c>
      <c r="G122" s="367"/>
      <c r="H122" s="367"/>
      <c r="I122" s="368"/>
    </row>
    <row r="123" spans="1:12" ht="44.25" customHeight="1">
      <c r="C123" s="366" t="s">
        <v>119</v>
      </c>
      <c r="D123" s="367"/>
      <c r="E123" s="368"/>
      <c r="F123" s="366" t="s">
        <v>508</v>
      </c>
      <c r="G123" s="367"/>
      <c r="H123" s="367"/>
      <c r="I123" s="368"/>
    </row>
    <row r="124" spans="1:12" ht="26.25" customHeight="1">
      <c r="C124" s="366" t="s">
        <v>120</v>
      </c>
      <c r="D124" s="367"/>
      <c r="E124" s="368"/>
      <c r="F124" s="366" t="s">
        <v>121</v>
      </c>
      <c r="G124" s="367"/>
      <c r="H124" s="367"/>
      <c r="I124" s="368"/>
    </row>
    <row r="125" spans="1:12" ht="26.25" customHeight="1">
      <c r="C125" s="366" t="s">
        <v>122</v>
      </c>
      <c r="D125" s="367"/>
      <c r="E125" s="368"/>
      <c r="F125" s="366"/>
      <c r="G125" s="367"/>
      <c r="H125" s="367"/>
      <c r="I125" s="368"/>
    </row>
    <row r="126" spans="1:12" ht="26.25" customHeight="1">
      <c r="C126" s="366" t="s">
        <v>123</v>
      </c>
      <c r="D126" s="367"/>
      <c r="E126" s="368"/>
      <c r="F126" s="369"/>
      <c r="G126" s="367"/>
      <c r="H126" s="367"/>
      <c r="I126" s="368"/>
    </row>
    <row r="127" spans="1:12" ht="26.25" customHeight="1">
      <c r="C127" s="366" t="s">
        <v>124</v>
      </c>
      <c r="D127" s="367"/>
      <c r="E127" s="368"/>
      <c r="F127" s="370">
        <v>20260615</v>
      </c>
      <c r="G127" s="371"/>
      <c r="H127" s="371"/>
      <c r="I127" s="372"/>
    </row>
  </sheetData>
  <mergeCells count="79">
    <mergeCell ref="I6:K6"/>
    <mergeCell ref="L6:N6"/>
    <mergeCell ref="C114:J114"/>
    <mergeCell ref="K114:L114"/>
    <mergeCell ref="C115:J115"/>
    <mergeCell ref="K115:L115"/>
    <mergeCell ref="G27:H27"/>
    <mergeCell ref="A8:D8"/>
    <mergeCell ref="E8:G8"/>
    <mergeCell ref="A9:D9"/>
    <mergeCell ref="E9:G9"/>
    <mergeCell ref="A10:D10"/>
    <mergeCell ref="E10:G10"/>
    <mergeCell ref="A11:D11"/>
    <mergeCell ref="B12:M12"/>
    <mergeCell ref="G24:H24"/>
    <mergeCell ref="C116:J116"/>
    <mergeCell ref="K116:L116"/>
    <mergeCell ref="C111:J111"/>
    <mergeCell ref="K111:L111"/>
    <mergeCell ref="C112:J112"/>
    <mergeCell ref="K112:L112"/>
    <mergeCell ref="C113:J113"/>
    <mergeCell ref="K113:L113"/>
    <mergeCell ref="A4:D4"/>
    <mergeCell ref="E4:G4"/>
    <mergeCell ref="J4:K4"/>
    <mergeCell ref="C1:J1"/>
    <mergeCell ref="A2:D2"/>
    <mergeCell ref="E2:G2"/>
    <mergeCell ref="A3:D3"/>
    <mergeCell ref="E3:G3"/>
    <mergeCell ref="A5:D5"/>
    <mergeCell ref="E5:G5"/>
    <mergeCell ref="A6:D6"/>
    <mergeCell ref="E6:G6"/>
    <mergeCell ref="A7:D7"/>
    <mergeCell ref="E7:G7"/>
    <mergeCell ref="G25:H25"/>
    <mergeCell ref="G26:H26"/>
    <mergeCell ref="B107:M107"/>
    <mergeCell ref="G46:I46"/>
    <mergeCell ref="G28:H28"/>
    <mergeCell ref="G29:H29"/>
    <mergeCell ref="G30:H30"/>
    <mergeCell ref="G31:H31"/>
    <mergeCell ref="G32:H32"/>
    <mergeCell ref="B39:M39"/>
    <mergeCell ref="B42:F42"/>
    <mergeCell ref="G43:I43"/>
    <mergeCell ref="C44:E45"/>
    <mergeCell ref="G44:I44"/>
    <mergeCell ref="G45:I45"/>
    <mergeCell ref="E59:E61"/>
    <mergeCell ref="B65:M65"/>
    <mergeCell ref="B76:I77"/>
    <mergeCell ref="E99:E101"/>
    <mergeCell ref="B104:I105"/>
    <mergeCell ref="C49:D49"/>
    <mergeCell ref="C50:D50"/>
    <mergeCell ref="C51:D51"/>
    <mergeCell ref="G55:I55"/>
    <mergeCell ref="G56:I56"/>
    <mergeCell ref="C120:E120"/>
    <mergeCell ref="F120:I120"/>
    <mergeCell ref="C121:E121"/>
    <mergeCell ref="F121:I121"/>
    <mergeCell ref="C122:E122"/>
    <mergeCell ref="F122:I122"/>
    <mergeCell ref="C126:E126"/>
    <mergeCell ref="F126:I126"/>
    <mergeCell ref="C127:E127"/>
    <mergeCell ref="F127:I127"/>
    <mergeCell ref="C123:E123"/>
    <mergeCell ref="F123:I123"/>
    <mergeCell ref="C124:E124"/>
    <mergeCell ref="F124:I124"/>
    <mergeCell ref="C125:E125"/>
    <mergeCell ref="F125:I125"/>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sheetPr codeName="Sheet5"/>
  <dimension ref="A1:AK121"/>
  <sheetViews>
    <sheetView topLeftCell="A80" zoomScaleNormal="100" workbookViewId="0">
      <selection activeCell="D24" sqref="D24:D3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37" t="s">
        <v>323</v>
      </c>
      <c r="D1" s="406"/>
      <c r="E1" s="406"/>
      <c r="F1" s="406"/>
      <c r="G1" s="406"/>
      <c r="H1" s="406"/>
      <c r="I1" s="406"/>
      <c r="J1" s="406"/>
      <c r="Q1" s="90"/>
    </row>
    <row r="2" spans="1:37" ht="26.25" customHeight="1">
      <c r="A2" s="338" t="s">
        <v>61</v>
      </c>
      <c r="B2" s="402"/>
      <c r="C2" s="402"/>
      <c r="D2" s="403"/>
      <c r="E2" s="339"/>
      <c r="F2" s="402"/>
      <c r="G2" s="403"/>
    </row>
    <row r="3" spans="1:37" ht="26.25" customHeight="1">
      <c r="A3" s="422" t="s">
        <v>63</v>
      </c>
      <c r="B3" s="402"/>
      <c r="C3" s="402"/>
      <c r="D3" s="403"/>
      <c r="E3" s="339"/>
      <c r="F3" s="402"/>
      <c r="G3" s="403"/>
      <c r="K3" s="145" t="s">
        <v>210</v>
      </c>
      <c r="L3" s="144" t="s">
        <v>211</v>
      </c>
    </row>
    <row r="4" spans="1:37" ht="23.45" customHeight="1">
      <c r="A4" s="352" t="s">
        <v>212</v>
      </c>
      <c r="B4" s="402"/>
      <c r="C4" s="402"/>
      <c r="D4" s="403"/>
      <c r="E4" s="339"/>
      <c r="F4" s="402"/>
      <c r="G4" s="403"/>
      <c r="J4" s="288" t="s">
        <v>64</v>
      </c>
      <c r="K4" s="421"/>
      <c r="L4" s="144"/>
      <c r="AK4" s="147"/>
    </row>
    <row r="5" spans="1:37" ht="25.5" customHeight="1">
      <c r="A5" s="352" t="s">
        <v>324</v>
      </c>
      <c r="B5" s="402"/>
      <c r="C5" s="402"/>
      <c r="D5" s="403"/>
      <c r="E5" s="339"/>
      <c r="F5" s="402"/>
      <c r="G5" s="403"/>
      <c r="AK5" s="147"/>
    </row>
    <row r="6" spans="1:37" ht="23.45" customHeight="1">
      <c r="A6" s="338" t="s">
        <v>325</v>
      </c>
      <c r="B6" s="402"/>
      <c r="C6" s="402"/>
      <c r="D6" s="403"/>
      <c r="E6" s="339"/>
      <c r="F6" s="402"/>
      <c r="G6" s="403"/>
      <c r="AK6" s="147"/>
    </row>
    <row r="7" spans="1:37" ht="28.5" customHeight="1">
      <c r="A7" s="352" t="s">
        <v>326</v>
      </c>
      <c r="B7" s="402"/>
      <c r="C7" s="402"/>
      <c r="D7" s="403"/>
      <c r="E7" s="339"/>
      <c r="F7" s="402"/>
      <c r="G7" s="403"/>
      <c r="AK7" s="147"/>
    </row>
    <row r="8" spans="1:37" ht="29.25" customHeight="1">
      <c r="A8" s="338" t="s">
        <v>66</v>
      </c>
      <c r="B8" s="402"/>
      <c r="C8" s="402"/>
      <c r="D8" s="403"/>
      <c r="E8" s="359"/>
      <c r="F8" s="402"/>
      <c r="G8" s="403"/>
    </row>
    <row r="9" spans="1:37" ht="26.25" customHeight="1">
      <c r="A9" s="338" t="s">
        <v>67</v>
      </c>
      <c r="B9" s="402"/>
      <c r="C9" s="402"/>
      <c r="D9" s="403"/>
      <c r="E9" s="339"/>
      <c r="F9" s="402"/>
      <c r="G9" s="403"/>
    </row>
    <row r="10" spans="1:37" ht="26.25" customHeight="1">
      <c r="A10" s="416" t="s">
        <v>68</v>
      </c>
      <c r="B10" s="402"/>
      <c r="C10" s="402"/>
      <c r="D10" s="403"/>
      <c r="E10" s="417"/>
      <c r="F10" s="402"/>
      <c r="G10" s="403"/>
    </row>
    <row r="11" spans="1:37" ht="20.45" customHeight="1" thickBot="1">
      <c r="A11" s="338" t="s">
        <v>172</v>
      </c>
      <c r="B11" s="402"/>
      <c r="C11" s="402"/>
      <c r="D11" s="403"/>
      <c r="E11" s="148"/>
    </row>
    <row r="12" spans="1:37" ht="26.25" customHeight="1" thickBot="1">
      <c r="A12" s="149"/>
      <c r="B12" s="418" t="s">
        <v>69</v>
      </c>
      <c r="C12" s="412"/>
      <c r="D12" s="412"/>
      <c r="E12" s="412"/>
      <c r="F12" s="412"/>
      <c r="G12" s="412"/>
      <c r="H12" s="412"/>
      <c r="I12" s="412"/>
      <c r="J12" s="412"/>
      <c r="K12" s="412"/>
      <c r="L12" s="412"/>
      <c r="M12" s="413"/>
      <c r="O12" s="92"/>
    </row>
    <row r="13" spans="1:37" ht="26.25" customHeight="1" thickBot="1">
      <c r="A13" s="150"/>
      <c r="B13" s="151" t="s">
        <v>214</v>
      </c>
      <c r="C13" s="151"/>
      <c r="D13" s="151"/>
      <c r="E13" s="151"/>
      <c r="O13" s="92"/>
    </row>
    <row r="14" spans="1:37" ht="26.25" customHeight="1" thickBot="1">
      <c r="A14" s="150"/>
      <c r="B14" s="151" t="s">
        <v>327</v>
      </c>
      <c r="C14" s="151"/>
      <c r="D14" s="151"/>
      <c r="E14" s="151"/>
      <c r="O14" s="92"/>
    </row>
    <row r="15" spans="1:37" ht="33.6" customHeight="1" thickBot="1">
      <c r="B15" s="151"/>
      <c r="C15" s="151"/>
      <c r="E15" s="152" t="s">
        <v>328</v>
      </c>
      <c r="F15" s="152" t="str">
        <f>CONCATENATE(" Volume for ",$E$11," samples")</f>
        <v xml:space="preserve"> Volume for  samples</v>
      </c>
      <c r="O15" s="92"/>
    </row>
    <row r="16" spans="1:37" ht="26.25" customHeight="1" thickBot="1">
      <c r="A16" s="150"/>
      <c r="B16" s="151" t="s">
        <v>73</v>
      </c>
      <c r="C16" s="153"/>
      <c r="D16" s="154" t="s">
        <v>329</v>
      </c>
      <c r="E16" s="155">
        <v>17.18</v>
      </c>
      <c r="F16" s="234">
        <f>E16*$E$11*1.1</f>
        <v>0</v>
      </c>
      <c r="G16" s="143" t="s">
        <v>74</v>
      </c>
      <c r="O16" s="92"/>
      <c r="Q16" s="151"/>
    </row>
    <row r="17" spans="1:17" ht="26.25" customHeight="1">
      <c r="A17" s="149"/>
      <c r="B17" s="151"/>
      <c r="C17" s="157"/>
      <c r="D17" s="158" t="s">
        <v>330</v>
      </c>
      <c r="E17" s="159">
        <v>3.18</v>
      </c>
      <c r="F17" s="234">
        <f>E17*$E$11*1.1</f>
        <v>0</v>
      </c>
      <c r="G17" s="143" t="s">
        <v>74</v>
      </c>
      <c r="O17" s="92"/>
      <c r="Q17" s="151"/>
    </row>
    <row r="18" spans="1:17" ht="28.5" customHeight="1">
      <c r="A18" s="149"/>
      <c r="B18" s="151"/>
      <c r="C18" s="157"/>
      <c r="D18" s="160" t="s">
        <v>75</v>
      </c>
      <c r="E18" s="159">
        <v>2</v>
      </c>
      <c r="F18" s="234">
        <f>E18*$E$11*1.1</f>
        <v>0</v>
      </c>
      <c r="G18" s="143" t="s">
        <v>74</v>
      </c>
      <c r="O18" s="92"/>
      <c r="Q18" s="151"/>
    </row>
    <row r="19" spans="1:17" ht="23.1" customHeight="1" thickBot="1">
      <c r="A19" s="149"/>
      <c r="B19" s="151"/>
      <c r="C19" s="161"/>
      <c r="D19" s="162" t="s">
        <v>331</v>
      </c>
      <c r="E19" s="163">
        <v>7.18</v>
      </c>
      <c r="F19" s="235">
        <f>E19*$E$11*1.1</f>
        <v>0</v>
      </c>
      <c r="G19" s="164" t="s">
        <v>74</v>
      </c>
      <c r="O19" s="92"/>
    </row>
    <row r="20" spans="1:17" ht="15.95" customHeight="1" thickBot="1">
      <c r="A20" s="149"/>
      <c r="B20" s="151"/>
      <c r="D20" s="165"/>
      <c r="E20" s="166">
        <f>SUM(E16:E19)</f>
        <v>29.54</v>
      </c>
      <c r="F20" s="236">
        <f>SUM(F16:F19)</f>
        <v>0</v>
      </c>
      <c r="G20" s="167" t="s">
        <v>74</v>
      </c>
      <c r="H20" s="141" t="s">
        <v>76</v>
      </c>
      <c r="O20" s="92"/>
    </row>
    <row r="21" spans="1:17" ht="26.25" customHeight="1" thickBot="1">
      <c r="A21" s="150"/>
      <c r="B21" s="151" t="s">
        <v>332</v>
      </c>
      <c r="D21" s="94"/>
      <c r="E21" s="151"/>
      <c r="F21" s="95"/>
      <c r="O21" s="92"/>
    </row>
    <row r="22" spans="1:17" ht="26.25" customHeight="1" thickBot="1">
      <c r="A22" s="150"/>
      <c r="B22" s="151" t="s">
        <v>333</v>
      </c>
      <c r="D22" s="151"/>
      <c r="E22" s="151"/>
    </row>
    <row r="23" spans="1:17" ht="26.25" customHeight="1" thickBot="1">
      <c r="A23" s="149"/>
      <c r="C23" s="168"/>
      <c r="D23" s="169" t="s">
        <v>215</v>
      </c>
      <c r="E23" s="170" t="s">
        <v>216</v>
      </c>
      <c r="F23" s="170" t="s">
        <v>217</v>
      </c>
      <c r="G23" s="419" t="s">
        <v>218</v>
      </c>
      <c r="H23" s="356"/>
      <c r="J23" s="420" t="s">
        <v>219</v>
      </c>
      <c r="K23" s="406"/>
      <c r="L23" s="406"/>
    </row>
    <row r="24" spans="1:17" ht="14.45" customHeight="1">
      <c r="A24" s="149"/>
      <c r="C24" s="171">
        <v>1</v>
      </c>
      <c r="D24" s="172">
        <f>'10X_table'!C2</f>
        <v>0</v>
      </c>
      <c r="E24" s="172"/>
      <c r="F24" s="172"/>
      <c r="G24" s="357"/>
      <c r="H24" s="358"/>
    </row>
    <row r="25" spans="1:17" ht="14.45" customHeight="1">
      <c r="A25" s="149"/>
      <c r="C25" s="173">
        <v>2</v>
      </c>
      <c r="D25" s="172">
        <f>'10X_table'!C3</f>
        <v>0</v>
      </c>
      <c r="E25" s="156"/>
      <c r="F25" s="156"/>
      <c r="G25" s="308"/>
      <c r="H25" s="403"/>
    </row>
    <row r="26" spans="1:17" ht="14.45" customHeight="1">
      <c r="A26" s="149"/>
      <c r="C26" s="1">
        <v>3</v>
      </c>
      <c r="D26" s="172">
        <f>'10X_table'!C4</f>
        <v>0</v>
      </c>
      <c r="E26" s="156"/>
      <c r="F26" s="156"/>
      <c r="G26" s="308"/>
      <c r="H26" s="403"/>
    </row>
    <row r="27" spans="1:17" ht="14.45" customHeight="1">
      <c r="A27" s="149"/>
      <c r="C27" s="173">
        <v>4</v>
      </c>
      <c r="D27" s="172">
        <f>'10X_table'!C5</f>
        <v>0</v>
      </c>
      <c r="E27" s="156"/>
      <c r="F27" s="156"/>
      <c r="G27" s="308"/>
      <c r="H27" s="403"/>
    </row>
    <row r="28" spans="1:17" ht="14.45" customHeight="1">
      <c r="A28" s="149"/>
      <c r="C28" s="173">
        <v>5</v>
      </c>
      <c r="D28" s="172">
        <f>'10X_table'!C6</f>
        <v>0</v>
      </c>
      <c r="E28" s="156"/>
      <c r="F28" s="156"/>
      <c r="G28" s="308"/>
      <c r="H28" s="403"/>
    </row>
    <row r="29" spans="1:17" ht="14.45" customHeight="1">
      <c r="A29" s="149"/>
      <c r="C29" s="173">
        <v>6</v>
      </c>
      <c r="D29" s="172">
        <f>'10X_table'!C7</f>
        <v>0</v>
      </c>
      <c r="E29" s="156"/>
      <c r="F29" s="156"/>
      <c r="G29" s="308"/>
      <c r="H29" s="403"/>
    </row>
    <row r="30" spans="1:17" ht="14.45" customHeight="1">
      <c r="A30" s="149"/>
      <c r="C30" s="173">
        <v>7</v>
      </c>
      <c r="D30" s="172">
        <f>'10X_table'!C8</f>
        <v>0</v>
      </c>
      <c r="E30" s="156"/>
      <c r="F30" s="156"/>
      <c r="G30" s="308"/>
      <c r="H30" s="403"/>
    </row>
    <row r="31" spans="1:17" ht="14.45" customHeight="1" thickBot="1">
      <c r="A31" s="149"/>
      <c r="C31" s="173">
        <v>8</v>
      </c>
      <c r="D31" s="172">
        <f>'10X_table'!C9</f>
        <v>0</v>
      </c>
      <c r="E31" s="156"/>
      <c r="F31" s="156"/>
      <c r="G31" s="308"/>
      <c r="H31" s="403"/>
    </row>
    <row r="32" spans="1:17" ht="26.25" customHeight="1" thickBot="1">
      <c r="A32" s="150"/>
      <c r="B32" s="96" t="s">
        <v>334</v>
      </c>
    </row>
    <row r="33" spans="1:13" ht="26.25" customHeight="1" thickBot="1">
      <c r="A33" s="174"/>
      <c r="B33" s="96" t="s">
        <v>335</v>
      </c>
    </row>
    <row r="34" spans="1:13" ht="26.25" customHeight="1" thickBot="1">
      <c r="A34" s="174"/>
      <c r="B34" s="96" t="s">
        <v>336</v>
      </c>
    </row>
    <row r="35" spans="1:13" ht="26.25" customHeight="1" thickBot="1">
      <c r="A35" s="150"/>
      <c r="B35" s="96" t="s">
        <v>220</v>
      </c>
    </row>
    <row r="36" spans="1:13" ht="26.25" customHeight="1" thickBot="1">
      <c r="A36" s="150"/>
      <c r="B36" s="96" t="s">
        <v>337</v>
      </c>
      <c r="I36" s="94" t="s">
        <v>338</v>
      </c>
      <c r="K36" s="151" t="s">
        <v>339</v>
      </c>
    </row>
    <row r="37" spans="1:13" ht="21.95" customHeight="1" thickBot="1">
      <c r="A37" s="149"/>
      <c r="B37" s="96"/>
      <c r="I37" s="94" t="s">
        <v>221</v>
      </c>
    </row>
    <row r="38" spans="1:13" ht="26.25" customHeight="1" thickBot="1">
      <c r="A38" s="149"/>
      <c r="B38" s="415" t="s">
        <v>222</v>
      </c>
      <c r="C38" s="412"/>
      <c r="D38" s="412"/>
      <c r="E38" s="412"/>
      <c r="F38" s="412"/>
      <c r="G38" s="412"/>
      <c r="H38" s="412"/>
      <c r="I38" s="412"/>
      <c r="J38" s="412"/>
      <c r="K38" s="412"/>
      <c r="L38" s="412"/>
      <c r="M38" s="413"/>
    </row>
    <row r="39" spans="1:13" s="151" customFormat="1" ht="26.25" customHeight="1" thickBot="1">
      <c r="A39" s="175"/>
      <c r="B39" s="151" t="s">
        <v>223</v>
      </c>
      <c r="H39" s="95" t="s">
        <v>78</v>
      </c>
    </row>
    <row r="40" spans="1:13" ht="26.25" customHeight="1" thickBot="1">
      <c r="A40" s="150"/>
      <c r="B40" s="96" t="s">
        <v>224</v>
      </c>
      <c r="H40" s="95" t="s">
        <v>79</v>
      </c>
    </row>
    <row r="41" spans="1:13" ht="35.1" customHeight="1" thickBot="1">
      <c r="A41" s="150"/>
      <c r="B41" s="376" t="s">
        <v>225</v>
      </c>
      <c r="C41" s="406"/>
      <c r="D41" s="406"/>
      <c r="E41" s="406"/>
      <c r="F41" s="406"/>
      <c r="G41" s="96" t="s">
        <v>226</v>
      </c>
      <c r="J41" s="176" t="s">
        <v>72</v>
      </c>
      <c r="K41" s="176" t="str">
        <f>CONCATENATE(" Volume for ",$E$11," samples")</f>
        <v xml:space="preserve"> Volume for  samples</v>
      </c>
    </row>
    <row r="42" spans="1:13" s="142" customFormat="1" ht="23.1" customHeight="1">
      <c r="A42" s="99"/>
      <c r="B42" s="99"/>
      <c r="C42" s="177"/>
      <c r="D42" s="177"/>
      <c r="E42" s="177"/>
      <c r="F42" s="177"/>
      <c r="G42" s="385" t="s">
        <v>227</v>
      </c>
      <c r="H42" s="402"/>
      <c r="I42" s="403"/>
      <c r="J42" s="155">
        <v>182</v>
      </c>
      <c r="K42" s="156">
        <f>J42*$E$11*1.1</f>
        <v>0</v>
      </c>
      <c r="L42" s="156" t="s">
        <v>74</v>
      </c>
    </row>
    <row r="43" spans="1:13" s="142" customFormat="1" ht="23.1" customHeight="1">
      <c r="B43" s="99"/>
      <c r="C43" s="386" t="s">
        <v>228</v>
      </c>
      <c r="D43" s="337"/>
      <c r="E43" s="337"/>
      <c r="F43" s="99"/>
      <c r="G43" s="385" t="s">
        <v>229</v>
      </c>
      <c r="H43" s="402"/>
      <c r="I43" s="403"/>
      <c r="J43" s="155">
        <v>8</v>
      </c>
      <c r="K43" s="156">
        <f>J43*$E$11*1.1</f>
        <v>0</v>
      </c>
      <c r="L43" s="156" t="s">
        <v>74</v>
      </c>
    </row>
    <row r="44" spans="1:13" s="142" customFormat="1" ht="23.1" customHeight="1">
      <c r="B44" s="99"/>
      <c r="C44" s="337"/>
      <c r="D44" s="337"/>
      <c r="E44" s="337"/>
      <c r="F44" s="99"/>
      <c r="G44" s="381" t="s">
        <v>230</v>
      </c>
      <c r="H44" s="402"/>
      <c r="I44" s="403"/>
      <c r="J44" s="155">
        <v>5</v>
      </c>
      <c r="K44" s="156">
        <f>J44*$E$11*1.1</f>
        <v>0</v>
      </c>
      <c r="L44" s="156" t="s">
        <v>74</v>
      </c>
    </row>
    <row r="45" spans="1:13" s="142" customFormat="1" ht="23.1" customHeight="1" thickBot="1">
      <c r="B45" s="99"/>
      <c r="C45" s="99"/>
      <c r="D45" s="99"/>
      <c r="E45" s="99"/>
      <c r="F45" s="99"/>
      <c r="G45" s="382" t="s">
        <v>80</v>
      </c>
      <c r="H45" s="408"/>
      <c r="I45" s="356"/>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385" t="s">
        <v>82</v>
      </c>
      <c r="D48" s="403"/>
      <c r="E48" s="180">
        <v>98</v>
      </c>
      <c r="F48" s="173">
        <f>IF($E$11&lt;2, E48,E48*0.5*$E$11)</f>
        <v>98</v>
      </c>
      <c r="G48" s="143" t="s">
        <v>74</v>
      </c>
      <c r="L48" s="146"/>
      <c r="M48" s="179"/>
    </row>
    <row r="49" spans="1:13" ht="26.25" customHeight="1">
      <c r="A49" s="149"/>
      <c r="B49" s="96"/>
      <c r="C49" s="385" t="s">
        <v>83</v>
      </c>
      <c r="D49" s="403"/>
      <c r="E49" s="180">
        <v>1</v>
      </c>
      <c r="F49" s="173">
        <f>IF($E$11&lt;2, E49,E49*0.5*$E$11)</f>
        <v>1</v>
      </c>
      <c r="G49" s="143" t="s">
        <v>74</v>
      </c>
      <c r="L49" s="146"/>
      <c r="M49" s="179"/>
    </row>
    <row r="50" spans="1:13" ht="26.25" customHeight="1" thickBot="1">
      <c r="A50" s="149"/>
      <c r="B50" s="96"/>
      <c r="C50" s="382" t="s">
        <v>75</v>
      </c>
      <c r="D50" s="356"/>
      <c r="E50" s="182">
        <v>1</v>
      </c>
      <c r="F50" s="183">
        <f>IF($E$11&lt;2, E50,E50*0.5*$E$11)</f>
        <v>1</v>
      </c>
      <c r="G50" s="164" t="s">
        <v>74</v>
      </c>
      <c r="L50" s="146"/>
      <c r="M50" s="179"/>
    </row>
    <row r="51" spans="1:13" ht="26.25" customHeight="1" thickBot="1">
      <c r="A51" s="149"/>
      <c r="E51" s="171">
        <f>SUM(E48:E50)</f>
        <v>100</v>
      </c>
      <c r="F51" s="171">
        <f>SUM(F48:F50)</f>
        <v>100</v>
      </c>
      <c r="G51" s="167" t="s">
        <v>74</v>
      </c>
      <c r="H51" s="179" t="s">
        <v>76</v>
      </c>
    </row>
    <row r="52" spans="1:13" ht="23.1" customHeight="1" thickBot="1">
      <c r="A52" s="150"/>
      <c r="B52" s="96" t="s">
        <v>231</v>
      </c>
      <c r="L52" s="146"/>
      <c r="M52" s="179"/>
    </row>
    <row r="53" spans="1:13" ht="30.95" customHeight="1" thickBot="1">
      <c r="A53" s="150"/>
      <c r="B53" s="96" t="s">
        <v>232</v>
      </c>
      <c r="H53" s="184" t="s">
        <v>233</v>
      </c>
      <c r="J53" s="176" t="s">
        <v>72</v>
      </c>
      <c r="K53" s="176" t="str">
        <f>CONCATENATE(" Volume for ",$E$11," samples")</f>
        <v xml:space="preserve"> Volume for  samples</v>
      </c>
    </row>
    <row r="54" spans="1:13" ht="21.6" customHeight="1">
      <c r="A54" s="149"/>
      <c r="B54" s="96"/>
      <c r="G54" s="381" t="s">
        <v>234</v>
      </c>
      <c r="H54" s="402"/>
      <c r="I54" s="403"/>
      <c r="J54" s="155">
        <v>50</v>
      </c>
      <c r="K54" s="156">
        <f>J54*$E$11*1.1</f>
        <v>0</v>
      </c>
      <c r="L54" s="143" t="s">
        <v>74</v>
      </c>
    </row>
    <row r="55" spans="1:13" ht="21.95" customHeight="1" thickBot="1">
      <c r="G55" s="382" t="s">
        <v>235</v>
      </c>
      <c r="H55" s="408"/>
      <c r="I55" s="356"/>
      <c r="J55" s="178">
        <v>15</v>
      </c>
      <c r="K55" s="163">
        <f>J55*$E$11*1.1</f>
        <v>0</v>
      </c>
      <c r="L55" s="164" t="s">
        <v>74</v>
      </c>
    </row>
    <row r="56" spans="1:13" ht="21.6" customHeight="1" thickBot="1">
      <c r="J56" s="172">
        <f>SUM(J54:J55)</f>
        <v>65</v>
      </c>
      <c r="K56" s="172">
        <f>SUM(K54:K55)</f>
        <v>0</v>
      </c>
      <c r="L56" s="167" t="s">
        <v>74</v>
      </c>
      <c r="M56" s="179" t="s">
        <v>76</v>
      </c>
    </row>
    <row r="57" spans="1:13" ht="20.100000000000001" customHeight="1" thickBot="1">
      <c r="A57" s="150"/>
      <c r="B57" s="96" t="s">
        <v>84</v>
      </c>
      <c r="D57" s="100" t="s">
        <v>100</v>
      </c>
      <c r="L57" s="146"/>
      <c r="M57" s="179"/>
    </row>
    <row r="58" spans="1:13" ht="20.100000000000001" customHeight="1">
      <c r="D58" s="101" t="s">
        <v>101</v>
      </c>
      <c r="E58" s="294" t="s">
        <v>236</v>
      </c>
      <c r="L58" s="146"/>
      <c r="M58" s="179"/>
    </row>
    <row r="59" spans="1:13" ht="20.100000000000001" customHeight="1">
      <c r="D59" s="101" t="s">
        <v>340</v>
      </c>
      <c r="E59" s="409"/>
      <c r="L59" s="146"/>
      <c r="M59" s="179"/>
    </row>
    <row r="60" spans="1:13" ht="20.100000000000001" customHeight="1">
      <c r="D60" s="101" t="s">
        <v>88</v>
      </c>
      <c r="E60" s="410"/>
      <c r="G60" s="142" t="s">
        <v>89</v>
      </c>
      <c r="H60" s="185"/>
      <c r="L60" s="146"/>
      <c r="M60" s="179"/>
    </row>
    <row r="61" spans="1:13" ht="20.100000000000001" customHeight="1" thickBot="1">
      <c r="D61" s="100" t="s">
        <v>88</v>
      </c>
    </row>
    <row r="62" spans="1:13" ht="24.95" customHeight="1" thickBot="1">
      <c r="A62" s="150"/>
      <c r="B62" s="96" t="s">
        <v>237</v>
      </c>
    </row>
    <row r="63" spans="1:13" ht="26.25" customHeight="1" thickBot="1">
      <c r="B63" s="411" t="s">
        <v>238</v>
      </c>
      <c r="C63" s="412"/>
      <c r="D63" s="412"/>
      <c r="E63" s="412"/>
      <c r="F63" s="412"/>
      <c r="G63" s="412"/>
      <c r="H63" s="412"/>
      <c r="I63" s="412"/>
      <c r="J63" s="412"/>
      <c r="K63" s="412"/>
      <c r="L63" s="412"/>
      <c r="M63" s="413"/>
    </row>
    <row r="64" spans="1:13" ht="24.95" customHeight="1" thickBot="1">
      <c r="A64" s="150"/>
      <c r="B64" s="96" t="s">
        <v>341</v>
      </c>
    </row>
    <row r="65" spans="1:11" ht="24.95" customHeight="1" thickBot="1">
      <c r="A65" s="150"/>
      <c r="B65" s="96" t="s">
        <v>342</v>
      </c>
    </row>
    <row r="66" spans="1:11" ht="36" customHeight="1" thickBot="1">
      <c r="E66" s="176" t="s">
        <v>72</v>
      </c>
      <c r="F66" s="176" t="str">
        <f>CONCATENATE(" Volume for ",$E$11," samples")</f>
        <v xml:space="preserve"> Volume for  samples</v>
      </c>
    </row>
    <row r="67" spans="1:11" ht="26.1" customHeight="1" thickBot="1">
      <c r="A67" s="150"/>
      <c r="B67" s="151" t="s">
        <v>73</v>
      </c>
      <c r="C67" s="186"/>
      <c r="D67" s="133" t="s">
        <v>241</v>
      </c>
      <c r="E67" s="155">
        <v>5</v>
      </c>
      <c r="F67" s="156">
        <f>E67*$E$11*1.1</f>
        <v>0</v>
      </c>
      <c r="G67" s="143" t="s">
        <v>74</v>
      </c>
    </row>
    <row r="68" spans="1:11" ht="26.1" customHeight="1" thickBot="1">
      <c r="C68" s="187"/>
      <c r="D68" s="181" t="s">
        <v>242</v>
      </c>
      <c r="E68" s="178">
        <v>10</v>
      </c>
      <c r="F68" s="163">
        <f>E68*$E$11*1.1</f>
        <v>0</v>
      </c>
      <c r="G68" s="164" t="s">
        <v>74</v>
      </c>
    </row>
    <row r="69" spans="1:11" ht="21.6" customHeight="1" thickBot="1">
      <c r="E69" s="172">
        <f>SUM(E67:E68)</f>
        <v>15</v>
      </c>
      <c r="F69" s="172">
        <f>SUM(F67:F68)</f>
        <v>0</v>
      </c>
      <c r="G69" s="167" t="s">
        <v>74</v>
      </c>
      <c r="H69" s="179" t="s">
        <v>76</v>
      </c>
      <c r="I69" s="179"/>
    </row>
    <row r="70" spans="1:11" ht="21.6" customHeight="1" thickBot="1">
      <c r="A70" s="150"/>
      <c r="B70" s="96" t="s">
        <v>84</v>
      </c>
      <c r="D70" s="94" t="s">
        <v>243</v>
      </c>
    </row>
    <row r="71" spans="1:11" ht="21.6" customHeight="1">
      <c r="D71" s="94" t="s">
        <v>244</v>
      </c>
    </row>
    <row r="72" spans="1:11" ht="21.6" customHeight="1">
      <c r="D72" s="94" t="s">
        <v>245</v>
      </c>
    </row>
    <row r="73" spans="1:11" ht="21.6" customHeight="1" thickBot="1">
      <c r="D73" s="94" t="s">
        <v>246</v>
      </c>
    </row>
    <row r="74" spans="1:11" ht="24.95" customHeight="1" thickBot="1">
      <c r="A74" s="150"/>
      <c r="B74" s="375" t="s">
        <v>343</v>
      </c>
      <c r="C74" s="406"/>
      <c r="D74" s="406"/>
      <c r="E74" s="406"/>
      <c r="F74" s="406"/>
      <c r="G74" s="406"/>
      <c r="H74" s="406"/>
      <c r="I74" s="406"/>
      <c r="K74" s="103" t="s">
        <v>248</v>
      </c>
    </row>
    <row r="75" spans="1:11" ht="17.45" customHeight="1" thickBot="1">
      <c r="B75" s="406"/>
      <c r="C75" s="406"/>
      <c r="D75" s="406"/>
      <c r="E75" s="406"/>
      <c r="F75" s="406"/>
      <c r="G75" s="406"/>
      <c r="H75" s="406"/>
      <c r="I75" s="406"/>
    </row>
    <row r="76" spans="1:11" ht="24.95" customHeight="1" thickBot="1">
      <c r="A76" s="150"/>
      <c r="B76" s="96" t="s">
        <v>344</v>
      </c>
    </row>
    <row r="77" spans="1:11" ht="33" customHeight="1" thickBot="1">
      <c r="E77" s="176" t="s">
        <v>72</v>
      </c>
      <c r="F77" s="176" t="str">
        <f>CONCATENATE(" Volume for ",$E$11," samples")</f>
        <v xml:space="preserve"> Volume for  samples</v>
      </c>
    </row>
    <row r="78" spans="1:11" ht="26.1" customHeight="1" thickBot="1">
      <c r="A78" s="150"/>
      <c r="B78" s="151" t="s">
        <v>250</v>
      </c>
      <c r="C78" s="186"/>
      <c r="D78" s="133" t="s">
        <v>345</v>
      </c>
      <c r="E78" s="155">
        <v>40</v>
      </c>
      <c r="F78" s="156">
        <f>E78*$E$11*1.1</f>
        <v>0</v>
      </c>
      <c r="G78" s="143" t="s">
        <v>74</v>
      </c>
    </row>
    <row r="79" spans="1:11" ht="26.1" customHeight="1" thickBot="1">
      <c r="A79" s="149"/>
      <c r="B79" s="151"/>
      <c r="C79" s="186"/>
      <c r="D79" s="133" t="s">
        <v>251</v>
      </c>
      <c r="E79" s="163">
        <v>10</v>
      </c>
      <c r="F79" s="163">
        <f>E79*$E$11*1.1</f>
        <v>0</v>
      </c>
      <c r="G79" s="143" t="s">
        <v>74</v>
      </c>
    </row>
    <row r="80" spans="1:11" ht="26.25" customHeight="1" thickBot="1">
      <c r="E80" s="172">
        <f>SUM(E78:E79)</f>
        <v>50</v>
      </c>
      <c r="F80" s="172">
        <f>SUM(F78:F79)</f>
        <v>0</v>
      </c>
      <c r="G80" s="167" t="s">
        <v>74</v>
      </c>
      <c r="H80" s="179" t="s">
        <v>76</v>
      </c>
    </row>
    <row r="81" spans="1:14" ht="20.45" customHeight="1" thickBot="1">
      <c r="A81" s="150"/>
      <c r="B81" s="96" t="s">
        <v>84</v>
      </c>
      <c r="D81" s="94" t="s">
        <v>252</v>
      </c>
      <c r="G81" s="146"/>
      <c r="H81" s="179"/>
    </row>
    <row r="82" spans="1:14" ht="20.45" customHeight="1" thickBot="1">
      <c r="D82" s="94" t="s">
        <v>243</v>
      </c>
      <c r="G82" s="146"/>
      <c r="H82" s="179"/>
    </row>
    <row r="83" spans="1:14" ht="24.95" customHeight="1" thickBot="1">
      <c r="A83" s="150"/>
      <c r="B83" s="96" t="s">
        <v>346</v>
      </c>
    </row>
    <row r="84" spans="1:14" ht="24.95" customHeight="1" thickBot="1">
      <c r="A84" s="150"/>
      <c r="B84" s="96" t="s">
        <v>347</v>
      </c>
    </row>
    <row r="85" spans="1:14" ht="24.95" customHeight="1" thickBot="1">
      <c r="A85" s="150"/>
      <c r="B85" s="96" t="str">
        <f>CONCATENATE("Add 20 µL of indexes of the plate ", L3)</f>
        <v>Add 20 µL of indexes of the plate TT Set A</v>
      </c>
    </row>
    <row r="86" spans="1:14" ht="24.95" customHeight="1" thickBot="1">
      <c r="A86" s="188"/>
      <c r="B86" s="179" t="s">
        <v>90</v>
      </c>
      <c r="G86" s="141" t="s">
        <v>91</v>
      </c>
      <c r="H86" s="185"/>
    </row>
    <row r="87" spans="1:14" ht="24.95" customHeight="1">
      <c r="A87" s="149"/>
      <c r="B87" s="189"/>
      <c r="C87" s="104">
        <v>1</v>
      </c>
      <c r="D87" s="104">
        <v>2</v>
      </c>
      <c r="E87" s="104">
        <v>3</v>
      </c>
      <c r="F87" s="104">
        <v>4</v>
      </c>
      <c r="G87" s="104">
        <v>5</v>
      </c>
      <c r="H87" s="104">
        <v>6</v>
      </c>
      <c r="I87" s="104">
        <v>7</v>
      </c>
      <c r="J87" s="104">
        <v>8</v>
      </c>
      <c r="K87" s="104">
        <v>9</v>
      </c>
      <c r="L87" s="104">
        <v>10</v>
      </c>
      <c r="M87" s="104">
        <v>11</v>
      </c>
      <c r="N87" s="104">
        <v>12</v>
      </c>
    </row>
    <row r="88" spans="1:14" ht="24.95" customHeight="1">
      <c r="A88" s="149"/>
      <c r="B88" s="105" t="s">
        <v>92</v>
      </c>
      <c r="C88" s="106" t="str">
        <f>IF(ISNUMBER(#REF!),#REF!, " ")</f>
        <v xml:space="preserve"> </v>
      </c>
      <c r="D88" s="106" t="str">
        <f>IF(ISNUMBER(#REF!),#REF!, " ")</f>
        <v xml:space="preserve"> </v>
      </c>
      <c r="E88" s="106" t="str">
        <f>IF(ISNUMBER(#REF!),#REF!, " ")</f>
        <v xml:space="preserve"> </v>
      </c>
      <c r="F88" s="106" t="str">
        <f>IF(ISNUMBER(#REF!),#REF!, " ")</f>
        <v xml:space="preserve"> </v>
      </c>
      <c r="G88" s="106" t="str">
        <f>IF(ISNUMBER(#REF!),#REF!, " ")</f>
        <v xml:space="preserve"> </v>
      </c>
      <c r="H88" s="106" t="str">
        <f>IF(ISNUMBER(#REF!),#REF!, " ")</f>
        <v xml:space="preserve"> </v>
      </c>
      <c r="I88" s="106" t="str">
        <f>IF(ISNUMBER(#REF!),#REF!, " ")</f>
        <v xml:space="preserve"> </v>
      </c>
      <c r="J88" s="106" t="str">
        <f>IF(ISNUMBER(#REF!),#REF!, " ")</f>
        <v xml:space="preserve"> </v>
      </c>
      <c r="K88" s="106" t="str">
        <f>IF(ISNUMBER(#REF!),#REF!, " ")</f>
        <v xml:space="preserve"> </v>
      </c>
      <c r="L88" s="106" t="str">
        <f>IF(ISNUMBER(#REF!),#REF!, " ")</f>
        <v xml:space="preserve"> </v>
      </c>
      <c r="M88" s="106" t="str">
        <f>IF(ISNUMBER(#REF!),#REF!, " ")</f>
        <v xml:space="preserve"> </v>
      </c>
      <c r="N88" s="106" t="str">
        <f>IF(ISNUMBER(#REF!),#REF!, " ")</f>
        <v xml:space="preserve"> </v>
      </c>
    </row>
    <row r="89" spans="1:14" ht="24.95" customHeight="1">
      <c r="B89" s="105" t="s">
        <v>93</v>
      </c>
      <c r="C89" s="106" t="str">
        <f>IF(ISNUMBER(#REF!),#REF!, " ")</f>
        <v xml:space="preserve"> </v>
      </c>
      <c r="D89" s="106" t="str">
        <f>IF(ISNUMBER(#REF!),#REF!, " ")</f>
        <v xml:space="preserve"> </v>
      </c>
      <c r="E89" s="106" t="str">
        <f>IF(ISNUMBER(#REF!),#REF!, " ")</f>
        <v xml:space="preserve"> </v>
      </c>
      <c r="F89" s="106" t="str">
        <f>IF(ISNUMBER(#REF!),#REF!, " ")</f>
        <v xml:space="preserve"> </v>
      </c>
      <c r="G89" s="106" t="str">
        <f>IF(ISNUMBER(#REF!),#REF!, " ")</f>
        <v xml:space="preserve"> </v>
      </c>
      <c r="H89" s="106" t="str">
        <f>IF(ISNUMBER(#REF!),#REF!, " ")</f>
        <v xml:space="preserve"> </v>
      </c>
      <c r="I89" s="106" t="str">
        <f>IF(ISNUMBER(#REF!),#REF!, " ")</f>
        <v xml:space="preserve"> </v>
      </c>
      <c r="J89" s="106" t="str">
        <f>IF(ISNUMBER(#REF!),#REF!, " ")</f>
        <v xml:space="preserve"> </v>
      </c>
      <c r="K89" s="106" t="str">
        <f>IF(ISNUMBER(#REF!),#REF!, " ")</f>
        <v xml:space="preserve"> </v>
      </c>
      <c r="L89" s="106" t="str">
        <f>IF(ISNUMBER(#REF!),#REF!, " ")</f>
        <v xml:space="preserve"> </v>
      </c>
      <c r="M89" s="106" t="str">
        <f>IF(ISNUMBER(#REF!),#REF!, " ")</f>
        <v xml:space="preserve"> </v>
      </c>
      <c r="N89" s="106" t="str">
        <f>IF(ISNUMBER(#REF!),#REF!, " ")</f>
        <v xml:space="preserve"> </v>
      </c>
    </row>
    <row r="90" spans="1:14" ht="24.95" customHeight="1">
      <c r="B90" s="105" t="s">
        <v>94</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4" ht="24.95" customHeight="1">
      <c r="B91" s="105" t="s">
        <v>95</v>
      </c>
      <c r="C91" s="106" t="str">
        <f>IF(ISNUMBER(#REF!),#REF!, " ")</f>
        <v xml:space="preserve"> </v>
      </c>
      <c r="D91" s="106" t="str">
        <f>IF(ISNUMBER(#REF!),#REF!, " ")</f>
        <v xml:space="preserve"> </v>
      </c>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4" ht="24.95" customHeight="1">
      <c r="B92" s="105" t="s">
        <v>96</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4" ht="24.95" customHeight="1">
      <c r="B93" s="105" t="s">
        <v>97</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4" ht="24.95" customHeight="1">
      <c r="B94" s="105" t="s">
        <v>98</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4" ht="24.95" customHeight="1" thickBot="1">
      <c r="B95" s="105" t="s">
        <v>99</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4" ht="24.95" customHeight="1" thickBot="1">
      <c r="A96" s="150"/>
      <c r="B96" s="96" t="s">
        <v>84</v>
      </c>
      <c r="D96" s="190" t="s">
        <v>100</v>
      </c>
      <c r="G96" s="142" t="s">
        <v>89</v>
      </c>
      <c r="H96" s="185"/>
    </row>
    <row r="97" spans="1:13" ht="24.95" customHeight="1">
      <c r="D97" s="191" t="s">
        <v>101</v>
      </c>
      <c r="E97" s="294" t="str">
        <f>IF($H$96&gt;0,CONCATENATE($H$96," cycles"),"___cycles")</f>
        <v>___cycles</v>
      </c>
    </row>
    <row r="98" spans="1:13" ht="24.95" customHeight="1">
      <c r="D98" s="191" t="s">
        <v>102</v>
      </c>
      <c r="E98" s="409"/>
    </row>
    <row r="99" spans="1:13" ht="24.95" customHeight="1">
      <c r="D99" s="191" t="s">
        <v>103</v>
      </c>
      <c r="E99" s="410"/>
    </row>
    <row r="100" spans="1:13" ht="24.95" customHeight="1">
      <c r="D100" s="190" t="s">
        <v>88</v>
      </c>
    </row>
    <row r="101" spans="1:13" ht="24.95" customHeight="1" thickBot="1">
      <c r="D101" s="190" t="s">
        <v>243</v>
      </c>
    </row>
    <row r="102" spans="1:13" ht="24.95" customHeight="1" thickBot="1">
      <c r="A102" s="150"/>
      <c r="B102" s="376" t="s">
        <v>348</v>
      </c>
      <c r="C102" s="406"/>
      <c r="D102" s="406"/>
      <c r="E102" s="406"/>
      <c r="F102" s="406"/>
      <c r="G102" s="406"/>
      <c r="H102" s="406"/>
      <c r="I102" s="406"/>
      <c r="K102" s="103" t="s">
        <v>248</v>
      </c>
    </row>
    <row r="103" spans="1:13" ht="12" customHeight="1" thickBot="1">
      <c r="B103" s="407"/>
      <c r="C103" s="406"/>
      <c r="D103" s="406"/>
      <c r="E103" s="406"/>
      <c r="F103" s="406"/>
      <c r="G103" s="406"/>
      <c r="H103" s="406"/>
      <c r="I103" s="406"/>
      <c r="K103" s="103"/>
    </row>
    <row r="104" spans="1:13" ht="24.95" customHeight="1" thickBot="1">
      <c r="A104" s="150"/>
      <c r="B104" s="96" t="s">
        <v>349</v>
      </c>
    </row>
    <row r="105" spans="1:13" ht="26.25" customHeight="1" thickBot="1">
      <c r="A105" s="188"/>
      <c r="B105" s="414" t="s">
        <v>257</v>
      </c>
      <c r="C105" s="412"/>
      <c r="D105" s="412"/>
      <c r="E105" s="412"/>
      <c r="F105" s="412"/>
      <c r="G105" s="412"/>
      <c r="H105" s="412"/>
      <c r="I105" s="412"/>
      <c r="J105" s="412"/>
      <c r="K105" s="412"/>
      <c r="L105" s="412"/>
      <c r="M105" s="413"/>
    </row>
    <row r="106" spans="1:13" ht="26.25" customHeight="1" thickBot="1">
      <c r="A106" s="175"/>
      <c r="B106" s="96" t="s">
        <v>258</v>
      </c>
      <c r="C106" s="151"/>
      <c r="E106" s="192"/>
    </row>
    <row r="107" spans="1:13" ht="26.25" customHeight="1" thickBot="1">
      <c r="A107" s="175"/>
      <c r="B107" s="151" t="s">
        <v>259</v>
      </c>
    </row>
    <row r="108" spans="1:13" ht="26.25" customHeight="1">
      <c r="A108" s="179"/>
      <c r="C108" s="96" t="s">
        <v>111</v>
      </c>
      <c r="D108" s="96"/>
      <c r="E108" s="96"/>
      <c r="F108" s="96" t="s">
        <v>425</v>
      </c>
      <c r="G108" s="151"/>
    </row>
    <row r="109" spans="1:13" ht="26.25" customHeight="1">
      <c r="A109" s="179"/>
      <c r="C109" s="242" t="s">
        <v>429</v>
      </c>
      <c r="D109" s="96"/>
      <c r="E109" s="96"/>
      <c r="G109" s="242" t="s">
        <v>428</v>
      </c>
    </row>
    <row r="110" spans="1:13" ht="26.25" customHeight="1">
      <c r="A110" s="179"/>
      <c r="C110" s="242" t="s">
        <v>430</v>
      </c>
      <c r="E110" s="96"/>
      <c r="G110" s="242" t="s">
        <v>426</v>
      </c>
    </row>
    <row r="111" spans="1:13" ht="26.25" customHeight="1">
      <c r="A111" s="179"/>
      <c r="C111" s="242" t="s">
        <v>431</v>
      </c>
      <c r="E111" s="96"/>
      <c r="G111" s="242" t="s">
        <v>427</v>
      </c>
    </row>
    <row r="114" spans="3:9" ht="26.25" customHeight="1">
      <c r="C114" s="373" t="s">
        <v>114</v>
      </c>
      <c r="D114" s="402"/>
      <c r="E114" s="403"/>
      <c r="F114" s="374" t="s">
        <v>523</v>
      </c>
      <c r="G114" s="402"/>
      <c r="H114" s="402"/>
      <c r="I114" s="403"/>
    </row>
    <row r="115" spans="3:9" ht="26.25" customHeight="1">
      <c r="C115" s="374" t="s">
        <v>115</v>
      </c>
      <c r="D115" s="402"/>
      <c r="E115" s="403"/>
      <c r="F115" s="374" t="s">
        <v>116</v>
      </c>
      <c r="G115" s="402"/>
      <c r="H115" s="402"/>
      <c r="I115" s="403"/>
    </row>
    <row r="116" spans="3:9" ht="26.25" customHeight="1">
      <c r="C116" s="374" t="s">
        <v>117</v>
      </c>
      <c r="D116" s="402"/>
      <c r="E116" s="403"/>
      <c r="F116" s="374" t="s">
        <v>118</v>
      </c>
      <c r="G116" s="402"/>
      <c r="H116" s="402"/>
      <c r="I116" s="403"/>
    </row>
    <row r="117" spans="3:9" ht="30.6" customHeight="1">
      <c r="C117" s="374" t="s">
        <v>119</v>
      </c>
      <c r="D117" s="402"/>
      <c r="E117" s="403"/>
      <c r="F117" s="374" t="s">
        <v>350</v>
      </c>
      <c r="G117" s="402"/>
      <c r="H117" s="402"/>
      <c r="I117" s="403"/>
    </row>
    <row r="118" spans="3:9" ht="26.25" customHeight="1">
      <c r="C118" s="374" t="s">
        <v>120</v>
      </c>
      <c r="D118" s="402"/>
      <c r="E118" s="403"/>
      <c r="F118" s="374" t="s">
        <v>282</v>
      </c>
      <c r="G118" s="402"/>
      <c r="H118" s="402"/>
      <c r="I118" s="403"/>
    </row>
    <row r="119" spans="3:9" ht="26.25" customHeight="1">
      <c r="C119" s="374" t="s">
        <v>122</v>
      </c>
      <c r="D119" s="402"/>
      <c r="E119" s="403"/>
      <c r="F119" s="374" t="s">
        <v>121</v>
      </c>
      <c r="G119" s="402"/>
      <c r="H119" s="402"/>
      <c r="I119" s="403"/>
    </row>
    <row r="120" spans="3:9" ht="26.25" customHeight="1">
      <c r="C120" s="374" t="s">
        <v>123</v>
      </c>
      <c r="D120" s="402"/>
      <c r="E120" s="403"/>
      <c r="F120" s="404" t="s">
        <v>432</v>
      </c>
      <c r="G120" s="402"/>
      <c r="H120" s="402"/>
      <c r="I120" s="403"/>
    </row>
    <row r="121" spans="3:9" ht="26.25" customHeight="1">
      <c r="C121" s="374" t="s">
        <v>124</v>
      </c>
      <c r="D121" s="402"/>
      <c r="E121" s="403"/>
      <c r="F121" s="405">
        <v>20250801</v>
      </c>
      <c r="G121" s="402"/>
      <c r="H121" s="402"/>
      <c r="I121" s="403"/>
    </row>
  </sheetData>
  <mergeCells count="66">
    <mergeCell ref="A4:D4"/>
    <mergeCell ref="E4:G4"/>
    <mergeCell ref="J4:K4"/>
    <mergeCell ref="C1:J1"/>
    <mergeCell ref="A2:D2"/>
    <mergeCell ref="E2:G2"/>
    <mergeCell ref="A3:D3"/>
    <mergeCell ref="E3:G3"/>
    <mergeCell ref="A5:D5"/>
    <mergeCell ref="E5:G5"/>
    <mergeCell ref="A6:D6"/>
    <mergeCell ref="E6:G6"/>
    <mergeCell ref="A7:D7"/>
    <mergeCell ref="E7:G7"/>
    <mergeCell ref="A11:D11"/>
    <mergeCell ref="B12:M12"/>
    <mergeCell ref="G23:H23"/>
    <mergeCell ref="J23:L23"/>
    <mergeCell ref="G24:H24"/>
    <mergeCell ref="A8:D8"/>
    <mergeCell ref="E8:G8"/>
    <mergeCell ref="A9:D9"/>
    <mergeCell ref="E9:G9"/>
    <mergeCell ref="A10:D10"/>
    <mergeCell ref="E10:G10"/>
    <mergeCell ref="C48:D48"/>
    <mergeCell ref="C49:D49"/>
    <mergeCell ref="C50:D50"/>
    <mergeCell ref="G31:H31"/>
    <mergeCell ref="B38:M38"/>
    <mergeCell ref="B41:F41"/>
    <mergeCell ref="G42:I42"/>
    <mergeCell ref="C43:E44"/>
    <mergeCell ref="G43:I43"/>
    <mergeCell ref="G44:I44"/>
    <mergeCell ref="G30:H30"/>
    <mergeCell ref="G25:H25"/>
    <mergeCell ref="G26:H26"/>
    <mergeCell ref="G27:H27"/>
    <mergeCell ref="G54:I54"/>
    <mergeCell ref="G45:I45"/>
    <mergeCell ref="G28:H28"/>
    <mergeCell ref="G29:H29"/>
    <mergeCell ref="C114:E114"/>
    <mergeCell ref="F114:I114"/>
    <mergeCell ref="C115:E115"/>
    <mergeCell ref="F115:I115"/>
    <mergeCell ref="B105:M105"/>
    <mergeCell ref="B102:I103"/>
    <mergeCell ref="G55:I55"/>
    <mergeCell ref="E58:E60"/>
    <mergeCell ref="B63:M63"/>
    <mergeCell ref="B74:I75"/>
    <mergeCell ref="E97:E99"/>
    <mergeCell ref="C116:E116"/>
    <mergeCell ref="F116:I116"/>
    <mergeCell ref="C117:E117"/>
    <mergeCell ref="F117:I117"/>
    <mergeCell ref="C118:E118"/>
    <mergeCell ref="F118:I118"/>
    <mergeCell ref="C119:E119"/>
    <mergeCell ref="F119:I119"/>
    <mergeCell ref="C120:E120"/>
    <mergeCell ref="F120:I120"/>
    <mergeCell ref="C121:E121"/>
    <mergeCell ref="F121:I121"/>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130F1-8FDD-4CE5-AC72-A8DF5AC58633}">
  <dimension ref="A1:AK206"/>
  <sheetViews>
    <sheetView tabSelected="1" topLeftCell="A109" zoomScaleNormal="100" workbookViewId="0">
      <selection activeCell="S123" sqref="S123"/>
    </sheetView>
  </sheetViews>
  <sheetFormatPr defaultColWidth="8.85546875" defaultRowHeight="26.25" customHeight="1"/>
  <cols>
    <col min="1" max="1" width="4.42578125" style="141" customWidth="1"/>
    <col min="2" max="2" width="5.85546875" style="141" customWidth="1"/>
    <col min="3" max="3" width="5.42578125" style="141" customWidth="1"/>
    <col min="4" max="4" width="12.42578125" style="141" customWidth="1"/>
    <col min="5" max="5" width="12.85546875" style="141" customWidth="1"/>
    <col min="6" max="6" width="16.28515625" style="141" customWidth="1"/>
    <col min="7" max="7" width="13.85546875" style="141" customWidth="1"/>
    <col min="8" max="8" width="11.5703125" style="141" customWidth="1"/>
    <col min="9" max="9" width="12.42578125" style="141" customWidth="1"/>
    <col min="10" max="10" width="6.85546875" style="141" customWidth="1"/>
    <col min="11" max="11" width="9" style="141" customWidth="1"/>
    <col min="12" max="12" width="7.42578125" style="141" customWidth="1"/>
    <col min="13" max="13" width="11" style="141" customWidth="1"/>
    <col min="14" max="14" width="14.28515625" style="141" customWidth="1"/>
    <col min="15" max="15" width="7.140625" style="141" customWidth="1"/>
    <col min="16" max="16" width="8.140625" style="141" customWidth="1"/>
    <col min="17" max="17" width="5.5703125" style="141" customWidth="1"/>
    <col min="18" max="18" width="5.85546875" style="141" customWidth="1"/>
    <col min="19" max="19" width="11.28515625" style="141" customWidth="1"/>
    <col min="20" max="20" width="12.85546875" style="141" customWidth="1"/>
    <col min="21" max="21" width="19"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37" t="s">
        <v>507</v>
      </c>
      <c r="D1" s="337"/>
      <c r="E1" s="337"/>
      <c r="F1" s="337"/>
      <c r="G1" s="337"/>
      <c r="H1" s="337"/>
      <c r="I1" s="337"/>
      <c r="J1" s="337"/>
      <c r="Q1" s="90"/>
    </row>
    <row r="2" spans="1:37" ht="26.25" customHeight="1">
      <c r="A2" s="338" t="s">
        <v>61</v>
      </c>
      <c r="B2" s="338"/>
      <c r="C2" s="338"/>
      <c r="D2" s="338"/>
      <c r="E2" s="339"/>
      <c r="F2" s="339"/>
      <c r="G2" s="339"/>
    </row>
    <row r="3" spans="1:37" ht="26.25" customHeight="1">
      <c r="A3" s="340" t="s">
        <v>63</v>
      </c>
      <c r="B3" s="341"/>
      <c r="C3" s="341"/>
      <c r="D3" s="342"/>
      <c r="E3" s="343"/>
      <c r="F3" s="344"/>
      <c r="G3" s="345"/>
      <c r="P3" s="110"/>
    </row>
    <row r="4" spans="1:37" ht="26.25" customHeight="1">
      <c r="A4" s="346" t="s">
        <v>126</v>
      </c>
      <c r="B4" s="346"/>
      <c r="C4" s="346"/>
      <c r="D4" s="346"/>
      <c r="E4" s="343"/>
      <c r="F4" s="344"/>
      <c r="G4" s="345"/>
      <c r="J4" s="146" t="s">
        <v>62</v>
      </c>
      <c r="K4" s="91" t="s">
        <v>164</v>
      </c>
      <c r="N4"/>
      <c r="O4"/>
      <c r="P4" s="110"/>
    </row>
    <row r="5" spans="1:37" ht="24.75" customHeight="1">
      <c r="A5" s="346" t="s">
        <v>127</v>
      </c>
      <c r="B5" s="346"/>
      <c r="C5" s="346"/>
      <c r="D5" s="346"/>
      <c r="E5" s="339"/>
      <c r="F5" s="339"/>
      <c r="G5" s="339"/>
      <c r="I5" s="287" t="s">
        <v>64</v>
      </c>
      <c r="J5" s="288"/>
      <c r="K5" s="144"/>
      <c r="L5" s="308" t="s">
        <v>65</v>
      </c>
      <c r="M5" s="308"/>
      <c r="N5"/>
      <c r="O5"/>
    </row>
    <row r="6" spans="1:37" ht="27" customHeight="1">
      <c r="A6" s="346" t="s">
        <v>128</v>
      </c>
      <c r="B6" s="346"/>
      <c r="C6" s="346"/>
      <c r="D6" s="346"/>
      <c r="E6" s="339"/>
      <c r="F6" s="339"/>
      <c r="G6" s="339"/>
      <c r="I6" s="287" t="s">
        <v>447</v>
      </c>
      <c r="J6" s="288"/>
      <c r="K6" s="144"/>
      <c r="L6"/>
      <c r="M6"/>
      <c r="N6"/>
      <c r="O6"/>
    </row>
    <row r="7" spans="1:37" ht="24.75" customHeight="1">
      <c r="A7" s="347" t="s">
        <v>129</v>
      </c>
      <c r="B7" s="347"/>
      <c r="C7" s="347"/>
      <c r="D7" s="347"/>
      <c r="E7" s="339"/>
      <c r="F7" s="339"/>
      <c r="G7" s="339"/>
      <c r="I7"/>
      <c r="J7"/>
      <c r="K7"/>
      <c r="L7"/>
      <c r="M7"/>
      <c r="N7"/>
      <c r="O7"/>
    </row>
    <row r="8" spans="1:37" ht="23.45" customHeight="1">
      <c r="A8" s="338" t="s">
        <v>448</v>
      </c>
      <c r="B8" s="338"/>
      <c r="C8" s="338"/>
      <c r="D8" s="338"/>
      <c r="E8" s="339"/>
      <c r="F8" s="339"/>
      <c r="G8" s="339"/>
      <c r="L8"/>
      <c r="M8"/>
      <c r="N8"/>
      <c r="AK8" s="147"/>
    </row>
    <row r="9" spans="1:37" ht="28.5" customHeight="1">
      <c r="A9" s="338" t="s">
        <v>125</v>
      </c>
      <c r="B9" s="338"/>
      <c r="C9" s="338"/>
      <c r="D9" s="338"/>
      <c r="E9" s="339"/>
      <c r="F9" s="339"/>
      <c r="G9" s="339"/>
      <c r="L9"/>
      <c r="M9"/>
      <c r="N9"/>
      <c r="O9"/>
      <c r="AK9" s="147"/>
    </row>
    <row r="10" spans="1:37" ht="23.25" customHeight="1">
      <c r="A10" s="338" t="s">
        <v>66</v>
      </c>
      <c r="B10" s="338"/>
      <c r="C10" s="338"/>
      <c r="D10" s="338"/>
      <c r="E10" s="359"/>
      <c r="F10" s="359"/>
      <c r="G10" s="359"/>
      <c r="I10" s="348" t="s">
        <v>292</v>
      </c>
      <c r="J10" s="348"/>
      <c r="K10" s="348"/>
      <c r="O10"/>
    </row>
    <row r="11" spans="1:37" ht="26.25" customHeight="1">
      <c r="A11" s="338" t="s">
        <v>67</v>
      </c>
      <c r="B11" s="338"/>
      <c r="C11" s="338"/>
      <c r="D11" s="338"/>
      <c r="E11" s="339"/>
      <c r="F11" s="339"/>
      <c r="G11" s="339"/>
      <c r="I11" s="348"/>
      <c r="J11" s="348"/>
      <c r="K11" s="348"/>
      <c r="O11"/>
      <c r="P11"/>
      <c r="Q11"/>
      <c r="R11"/>
    </row>
    <row r="12" spans="1:37" ht="28.5" customHeight="1">
      <c r="A12" s="338" t="s">
        <v>68</v>
      </c>
      <c r="B12" s="338"/>
      <c r="C12" s="338"/>
      <c r="D12" s="338"/>
      <c r="E12" s="349"/>
      <c r="F12" s="350"/>
      <c r="G12" s="351"/>
      <c r="I12" s="348"/>
      <c r="J12" s="348"/>
      <c r="K12" s="348"/>
    </row>
    <row r="13" spans="1:37" ht="21.6" customHeight="1" thickBot="1">
      <c r="A13" s="352" t="s">
        <v>172</v>
      </c>
      <c r="B13" s="352"/>
      <c r="C13" s="352"/>
      <c r="D13" s="352"/>
      <c r="E13" s="148">
        <v>4</v>
      </c>
      <c r="F13" s="128">
        <v>1</v>
      </c>
      <c r="G13" s="353" t="s">
        <v>171</v>
      </c>
      <c r="H13" s="353"/>
      <c r="I13" s="353"/>
      <c r="J13" s="267">
        <v>1</v>
      </c>
      <c r="K13" s="151"/>
    </row>
    <row r="14" spans="1:37" ht="26.25" customHeight="1" thickBot="1">
      <c r="A14" s="149"/>
      <c r="B14" s="289" t="s">
        <v>130</v>
      </c>
      <c r="C14" s="290"/>
      <c r="D14" s="290"/>
      <c r="E14" s="290"/>
      <c r="F14" s="290"/>
      <c r="G14" s="354"/>
      <c r="H14" s="354"/>
      <c r="I14" s="354"/>
      <c r="J14" s="354"/>
      <c r="K14" s="290"/>
      <c r="L14" s="290"/>
      <c r="M14" s="291"/>
      <c r="O14" s="92"/>
    </row>
    <row r="15" spans="1:37" ht="23.45" customHeight="1" thickBot="1">
      <c r="A15" s="124"/>
      <c r="B15" s="151" t="s">
        <v>133</v>
      </c>
      <c r="C15"/>
      <c r="D15"/>
      <c r="E15"/>
      <c r="F15"/>
      <c r="G15"/>
      <c r="H15"/>
      <c r="I15"/>
      <c r="J15"/>
      <c r="K15"/>
      <c r="L15"/>
      <c r="M15"/>
      <c r="N15"/>
      <c r="O15"/>
      <c r="P15"/>
    </row>
    <row r="16" spans="1:37" ht="21.75" customHeight="1" thickBot="1">
      <c r="A16" s="124"/>
      <c r="B16" s="151" t="s">
        <v>287</v>
      </c>
      <c r="C16"/>
      <c r="D16"/>
      <c r="E16"/>
      <c r="F16"/>
      <c r="G16"/>
      <c r="H16"/>
      <c r="I16"/>
      <c r="J16"/>
      <c r="K16"/>
      <c r="L16"/>
      <c r="M16"/>
      <c r="N16"/>
      <c r="O16"/>
      <c r="P16"/>
    </row>
    <row r="17" spans="1:16" ht="27.75" customHeight="1" thickBot="1">
      <c r="A17"/>
      <c r="D17" s="114" t="s">
        <v>131</v>
      </c>
      <c r="E17" s="131" t="s">
        <v>132</v>
      </c>
      <c r="F17" s="355" t="str">
        <f>CONCATENATE(" Volume for ",$E$13," samples +20%")</f>
        <v xml:space="preserve"> Volume for 4 samples +20%</v>
      </c>
      <c r="G17" s="356"/>
      <c r="H17"/>
      <c r="I17"/>
      <c r="J17"/>
      <c r="K17"/>
      <c r="L17"/>
      <c r="M17"/>
      <c r="N17"/>
      <c r="O17"/>
    </row>
    <row r="18" spans="1:16" ht="27.75" customHeight="1">
      <c r="A18"/>
      <c r="D18" s="119" t="s">
        <v>80</v>
      </c>
      <c r="E18" s="172">
        <f>500-62.5</f>
        <v>437.5</v>
      </c>
      <c r="F18" s="357">
        <f>E18*E13*1.2</f>
        <v>2100</v>
      </c>
      <c r="G18" s="358"/>
      <c r="H18"/>
      <c r="I18"/>
      <c r="J18"/>
      <c r="K18"/>
      <c r="L18"/>
      <c r="M18" s="213"/>
      <c r="N18"/>
      <c r="O18"/>
    </row>
    <row r="19" spans="1:16" ht="27.75" customHeight="1" thickBot="1">
      <c r="A19"/>
      <c r="D19" s="116" t="s">
        <v>286</v>
      </c>
      <c r="E19" s="156">
        <f>62.5</f>
        <v>62.5</v>
      </c>
      <c r="F19" s="360">
        <f>E19*E13*1.2</f>
        <v>300</v>
      </c>
      <c r="G19" s="361"/>
      <c r="H19"/>
      <c r="I19"/>
      <c r="J19"/>
      <c r="K19"/>
      <c r="L19"/>
      <c r="M19"/>
      <c r="N19"/>
      <c r="O19"/>
    </row>
    <row r="20" spans="1:16" ht="21.95" customHeight="1" thickBot="1">
      <c r="A20" s="124"/>
      <c r="B20" s="151" t="s">
        <v>288</v>
      </c>
      <c r="C20"/>
      <c r="D20"/>
      <c r="E20"/>
      <c r="F20"/>
      <c r="G20"/>
      <c r="H20"/>
      <c r="I20"/>
      <c r="J20"/>
      <c r="K20"/>
      <c r="L20"/>
      <c r="M20"/>
      <c r="N20"/>
      <c r="O20"/>
      <c r="P20"/>
    </row>
    <row r="21" spans="1:16" ht="21.75" customHeight="1" thickBot="1">
      <c r="A21" s="124"/>
      <c r="B21" s="151" t="s">
        <v>300</v>
      </c>
      <c r="C21"/>
      <c r="D21"/>
      <c r="E21"/>
      <c r="F21"/>
      <c r="G21"/>
      <c r="H21"/>
      <c r="I21"/>
      <c r="J21"/>
      <c r="K21" s="103" t="s">
        <v>134</v>
      </c>
      <c r="L21"/>
      <c r="M21"/>
      <c r="N21"/>
      <c r="O21"/>
      <c r="P21"/>
    </row>
    <row r="22" spans="1:16" ht="23.25" customHeight="1" thickBot="1">
      <c r="A22" s="124"/>
      <c r="B22" s="151" t="s">
        <v>173</v>
      </c>
      <c r="C22"/>
      <c r="D22"/>
      <c r="E22"/>
      <c r="F22"/>
      <c r="G22"/>
      <c r="H22"/>
      <c r="I22"/>
      <c r="J22"/>
      <c r="K22"/>
      <c r="L22"/>
      <c r="M22"/>
      <c r="N22"/>
      <c r="O22"/>
      <c r="P22"/>
    </row>
    <row r="23" spans="1:16" s="111" customFormat="1" ht="45.75" customHeight="1" thickBot="1">
      <c r="D23" s="136" t="s">
        <v>135</v>
      </c>
      <c r="E23" s="252" t="s">
        <v>482</v>
      </c>
      <c r="H23" s="136" t="s">
        <v>135</v>
      </c>
      <c r="I23" s="252" t="s">
        <v>482</v>
      </c>
    </row>
    <row r="24" spans="1:16" ht="27.75" customHeight="1">
      <c r="A24"/>
      <c r="B24"/>
      <c r="C24"/>
      <c r="D24" s="113" cm="1">
        <f t="array" ref="D24:D31">[1]FLEX_table!B2:B9</f>
        <v>0</v>
      </c>
      <c r="E24" s="113"/>
      <c r="F24"/>
      <c r="G24"/>
      <c r="H24" s="113" cm="1">
        <f t="array" ref="H24:H31">[1]FLEX_table!B10:B17</f>
        <v>0</v>
      </c>
      <c r="I24" s="113"/>
      <c r="J24"/>
      <c r="K24"/>
      <c r="L24"/>
      <c r="M24"/>
      <c r="N24"/>
      <c r="O24"/>
      <c r="P24"/>
    </row>
    <row r="25" spans="1:16" ht="27.75" customHeight="1">
      <c r="A25"/>
      <c r="B25"/>
      <c r="C25"/>
      <c r="D25" s="113">
        <v>0</v>
      </c>
      <c r="E25" s="1"/>
      <c r="F25"/>
      <c r="G25"/>
      <c r="H25" s="113">
        <v>0</v>
      </c>
      <c r="I25" s="1"/>
      <c r="J25"/>
      <c r="K25"/>
      <c r="L25"/>
      <c r="M25"/>
      <c r="N25"/>
      <c r="O25"/>
      <c r="P25"/>
    </row>
    <row r="26" spans="1:16" ht="27.75" customHeight="1">
      <c r="A26"/>
      <c r="B26"/>
      <c r="C26"/>
      <c r="D26" s="113">
        <v>0</v>
      </c>
      <c r="E26" s="1"/>
      <c r="F26"/>
      <c r="G26"/>
      <c r="H26" s="113">
        <v>0</v>
      </c>
      <c r="I26" s="1"/>
      <c r="J26"/>
      <c r="K26"/>
      <c r="L26"/>
      <c r="M26"/>
      <c r="N26"/>
      <c r="O26"/>
      <c r="P26"/>
    </row>
    <row r="27" spans="1:16" ht="27.75" customHeight="1">
      <c r="A27"/>
      <c r="B27"/>
      <c r="C27"/>
      <c r="D27" s="113">
        <v>0</v>
      </c>
      <c r="E27" s="1"/>
      <c r="F27"/>
      <c r="G27"/>
      <c r="H27" s="113">
        <v>0</v>
      </c>
      <c r="I27" s="1"/>
      <c r="J27"/>
      <c r="K27"/>
      <c r="L27"/>
      <c r="M27"/>
      <c r="N27"/>
      <c r="O27"/>
      <c r="P27"/>
    </row>
    <row r="28" spans="1:16" ht="27.75" customHeight="1">
      <c r="A28"/>
      <c r="B28"/>
      <c r="C28"/>
      <c r="D28" s="113">
        <v>0</v>
      </c>
      <c r="E28" s="1"/>
      <c r="F28"/>
      <c r="G28"/>
      <c r="H28" s="113">
        <v>0</v>
      </c>
      <c r="I28" s="1"/>
      <c r="J28"/>
      <c r="K28"/>
      <c r="L28"/>
      <c r="M28"/>
      <c r="N28"/>
      <c r="O28"/>
      <c r="P28"/>
    </row>
    <row r="29" spans="1:16" ht="27.75" customHeight="1">
      <c r="A29"/>
      <c r="B29"/>
      <c r="C29"/>
      <c r="D29" s="113">
        <v>0</v>
      </c>
      <c r="E29" s="1"/>
      <c r="F29"/>
      <c r="G29"/>
      <c r="H29" s="113">
        <v>0</v>
      </c>
      <c r="I29" s="1"/>
      <c r="J29"/>
      <c r="K29"/>
      <c r="L29"/>
      <c r="M29"/>
      <c r="N29"/>
      <c r="O29"/>
      <c r="P29"/>
    </row>
    <row r="30" spans="1:16" ht="27.75" customHeight="1">
      <c r="A30"/>
      <c r="B30"/>
      <c r="C30"/>
      <c r="D30" s="113">
        <v>0</v>
      </c>
      <c r="E30" s="1"/>
      <c r="F30"/>
      <c r="G30"/>
      <c r="H30" s="113">
        <v>0</v>
      </c>
      <c r="I30" s="1"/>
      <c r="J30"/>
      <c r="K30"/>
      <c r="L30"/>
      <c r="M30"/>
      <c r="N30"/>
      <c r="O30"/>
      <c r="P30"/>
    </row>
    <row r="31" spans="1:16" ht="27.75" customHeight="1" thickBot="1">
      <c r="A31"/>
      <c r="B31"/>
      <c r="C31"/>
      <c r="D31" s="113">
        <v>0</v>
      </c>
      <c r="E31" s="1"/>
      <c r="F31"/>
      <c r="G31"/>
      <c r="H31" s="113">
        <v>0</v>
      </c>
      <c r="I31" s="1"/>
      <c r="J31"/>
      <c r="K31"/>
      <c r="L31"/>
      <c r="M31"/>
      <c r="N31"/>
      <c r="O31"/>
      <c r="P31"/>
    </row>
    <row r="32" spans="1:16" ht="27.75" customHeight="1" thickBot="1">
      <c r="A32"/>
      <c r="B32" s="362" t="s">
        <v>136</v>
      </c>
      <c r="C32" s="363"/>
      <c r="D32" s="363"/>
      <c r="E32" s="363"/>
      <c r="F32" s="363"/>
      <c r="G32" s="363"/>
      <c r="H32" s="363"/>
      <c r="I32" s="363"/>
      <c r="J32" s="363"/>
      <c r="K32" s="363"/>
      <c r="L32" s="363"/>
      <c r="M32" s="364"/>
      <c r="N32"/>
      <c r="O32"/>
      <c r="P32"/>
    </row>
    <row r="33" spans="1:25" ht="23.45" customHeight="1" thickBot="1">
      <c r="A33" s="150"/>
      <c r="B33" s="151" t="s">
        <v>174</v>
      </c>
      <c r="C33"/>
      <c r="D33"/>
      <c r="E33"/>
      <c r="F33"/>
      <c r="G33"/>
      <c r="H33"/>
      <c r="I33"/>
      <c r="J33"/>
      <c r="K33"/>
      <c r="L33"/>
      <c r="M33"/>
      <c r="N33"/>
      <c r="O33"/>
      <c r="P33"/>
    </row>
    <row r="34" spans="1:25" ht="23.25" customHeight="1" thickBot="1">
      <c r="A34" s="150"/>
      <c r="B34" s="151" t="s">
        <v>176</v>
      </c>
      <c r="C34"/>
      <c r="D34"/>
      <c r="E34"/>
      <c r="F34"/>
      <c r="G34"/>
      <c r="H34"/>
      <c r="I34"/>
      <c r="J34"/>
      <c r="K34"/>
      <c r="L34"/>
      <c r="M34"/>
      <c r="N34"/>
      <c r="O34"/>
      <c r="P34"/>
    </row>
    <row r="35" spans="1:25" ht="23.25" customHeight="1" thickBot="1">
      <c r="A35" s="150"/>
      <c r="B35" s="151" t="s">
        <v>449</v>
      </c>
      <c r="C35"/>
      <c r="D35"/>
      <c r="E35"/>
      <c r="F35"/>
      <c r="G35"/>
      <c r="H35"/>
      <c r="I35"/>
      <c r="J35"/>
      <c r="K35"/>
      <c r="L35"/>
      <c r="M35"/>
      <c r="N35"/>
      <c r="O35"/>
      <c r="P35"/>
    </row>
    <row r="36" spans="1:25" ht="23.25" customHeight="1" thickBot="1">
      <c r="A36" s="150"/>
      <c r="B36" s="151" t="s">
        <v>452</v>
      </c>
      <c r="C36"/>
      <c r="D36"/>
      <c r="E36"/>
      <c r="F36"/>
      <c r="G36"/>
      <c r="H36"/>
      <c r="I36"/>
      <c r="J36"/>
      <c r="K36"/>
      <c r="L36"/>
      <c r="M36"/>
      <c r="N36"/>
      <c r="O36"/>
      <c r="P36"/>
    </row>
    <row r="37" spans="1:25" ht="27.75" customHeight="1" thickBot="1">
      <c r="A37" s="150"/>
      <c r="B37" s="151" t="s">
        <v>175</v>
      </c>
      <c r="C37"/>
      <c r="D37"/>
      <c r="E37"/>
      <c r="F37"/>
      <c r="G37"/>
      <c r="H37"/>
      <c r="I37"/>
      <c r="J37"/>
      <c r="K37"/>
      <c r="L37"/>
      <c r="M37"/>
      <c r="N37"/>
      <c r="O37"/>
      <c r="P37"/>
    </row>
    <row r="38" spans="1:25" ht="33.75" customHeight="1">
      <c r="A38"/>
      <c r="B38" s="151"/>
      <c r="C38" s="151"/>
      <c r="E38" s="98" t="s">
        <v>72</v>
      </c>
      <c r="F38" s="98" t="str">
        <f>CONCATENATE(" Volume for ",$E$13," samples +10%")</f>
        <v xml:space="preserve"> Volume for 4 samples +10%</v>
      </c>
      <c r="J38" s="333" t="s">
        <v>139</v>
      </c>
      <c r="K38" s="334"/>
      <c r="L38" s="320" t="s">
        <v>168</v>
      </c>
      <c r="M38" s="321"/>
      <c r="N38" s="331" t="s">
        <v>169</v>
      </c>
      <c r="O38" s="332"/>
    </row>
    <row r="39" spans="1:25" ht="26.25" customHeight="1">
      <c r="A39"/>
      <c r="B39"/>
      <c r="C39"/>
      <c r="D39" s="137" t="s">
        <v>137</v>
      </c>
      <c r="E39" s="257">
        <v>35</v>
      </c>
      <c r="F39" s="266">
        <f>E39*$E$13*1.1</f>
        <v>154</v>
      </c>
      <c r="G39" s="143" t="s">
        <v>74</v>
      </c>
      <c r="J39" s="333" t="s">
        <v>140</v>
      </c>
      <c r="K39" s="334"/>
      <c r="L39" s="296" t="s">
        <v>290</v>
      </c>
      <c r="M39" s="297"/>
      <c r="N39" s="296" t="s">
        <v>291</v>
      </c>
      <c r="O39" s="297"/>
      <c r="Q39" s="151"/>
    </row>
    <row r="40" spans="1:25" ht="26.25" customHeight="1">
      <c r="A40"/>
      <c r="B40"/>
      <c r="C40"/>
      <c r="D40" s="137" t="s">
        <v>138</v>
      </c>
      <c r="E40" s="257">
        <v>5</v>
      </c>
      <c r="F40" s="266">
        <f>E40*$E$13*1.1</f>
        <v>22</v>
      </c>
      <c r="G40" s="143" t="s">
        <v>74</v>
      </c>
      <c r="J40" s="249"/>
      <c r="K40" s="249"/>
      <c r="L40" s="3"/>
      <c r="M40" s="3"/>
      <c r="N40" s="3"/>
      <c r="O40" s="3"/>
      <c r="Q40" s="151"/>
      <c r="S40" s="276" t="s">
        <v>526</v>
      </c>
      <c r="T40" s="277" t="s">
        <v>527</v>
      </c>
    </row>
    <row r="41" spans="1:25" ht="26.25" customHeight="1">
      <c r="A41"/>
      <c r="B41"/>
      <c r="C41"/>
      <c r="D41" s="137" t="s">
        <v>450</v>
      </c>
      <c r="E41" s="257">
        <v>2.5</v>
      </c>
      <c r="F41" s="266">
        <f>E41*$E$13*1.1</f>
        <v>11</v>
      </c>
      <c r="G41" s="143" t="s">
        <v>74</v>
      </c>
      <c r="J41" s="249"/>
      <c r="K41" s="249"/>
      <c r="L41" s="3"/>
      <c r="M41" s="3"/>
      <c r="N41" s="3"/>
      <c r="O41" s="3"/>
      <c r="Q41" s="151"/>
      <c r="S41" s="275" cm="1">
        <f t="array" ref="S41:T56">_xlfn._xlws.FILTER(_xlfn.CHOOSECOLS(FLEX_table[],1,6), FLEX_table[sample_num] &lt;&gt; "")</f>
        <v>1</v>
      </c>
      <c r="T41" s="268" t="e">
        <v>#DIV/0!</v>
      </c>
      <c r="U41" s="268"/>
      <c r="V41" s="268"/>
      <c r="W41" s="268"/>
      <c r="X41" s="268"/>
      <c r="Y41" s="268"/>
    </row>
    <row r="42" spans="1:25" ht="26.25" customHeight="1" thickBot="1">
      <c r="A42" s="149"/>
      <c r="B42" s="151"/>
      <c r="C42" s="151"/>
      <c r="D42" s="138" t="s">
        <v>451</v>
      </c>
      <c r="E42" s="265">
        <v>7.5</v>
      </c>
      <c r="F42" s="255">
        <f>E42*$E$13*1.1</f>
        <v>33</v>
      </c>
      <c r="G42" s="164" t="s">
        <v>74</v>
      </c>
      <c r="J42"/>
      <c r="K42"/>
      <c r="L42"/>
      <c r="M42"/>
      <c r="N42"/>
      <c r="O42"/>
      <c r="Q42" s="151"/>
      <c r="S42" s="268">
        <v>2</v>
      </c>
      <c r="T42" s="268" t="e">
        <v>#DIV/0!</v>
      </c>
      <c r="U42" s="268"/>
      <c r="V42" s="268"/>
      <c r="W42" s="268"/>
      <c r="X42" s="268"/>
      <c r="Y42" s="268"/>
    </row>
    <row r="43" spans="1:25" ht="27.95" customHeight="1" thickBot="1">
      <c r="A43" s="149"/>
      <c r="B43" s="151"/>
      <c r="D43" s="165"/>
      <c r="E43" s="166">
        <f>SUM(E39:E42)</f>
        <v>50</v>
      </c>
      <c r="F43" s="172">
        <f>E43*$E$13*1.1</f>
        <v>220.00000000000003</v>
      </c>
      <c r="G43" s="167" t="s">
        <v>74</v>
      </c>
      <c r="H43" s="141" t="s">
        <v>76</v>
      </c>
      <c r="J43"/>
      <c r="K43"/>
      <c r="L43"/>
      <c r="M43"/>
      <c r="N43"/>
      <c r="O43"/>
      <c r="S43" s="141">
        <v>3</v>
      </c>
      <c r="T43" s="141" t="e">
        <v>#DIV/0!</v>
      </c>
    </row>
    <row r="44" spans="1:25" ht="24.95" customHeight="1" thickBot="1">
      <c r="A44" s="150"/>
      <c r="B44" s="151" t="s">
        <v>177</v>
      </c>
      <c r="D44" s="151"/>
      <c r="E44" s="142"/>
      <c r="F44" s="142"/>
      <c r="G44" s="179"/>
      <c r="J44" s="95" t="s">
        <v>289</v>
      </c>
      <c r="S44" s="141">
        <v>4</v>
      </c>
      <c r="T44" s="141" t="e">
        <v>#DIV/0!</v>
      </c>
    </row>
    <row r="45" spans="1:25" ht="21.95" customHeight="1" thickBot="1">
      <c r="A45" s="149"/>
      <c r="B45" s="151"/>
      <c r="D45" s="114" t="s">
        <v>135</v>
      </c>
      <c r="E45" s="114" t="s">
        <v>141</v>
      </c>
      <c r="F45" s="114" t="s">
        <v>483</v>
      </c>
      <c r="G45"/>
      <c r="I45" s="114" t="s">
        <v>135</v>
      </c>
      <c r="J45" s="335" t="s">
        <v>141</v>
      </c>
      <c r="K45" s="336"/>
      <c r="L45" s="335" t="s">
        <v>483</v>
      </c>
      <c r="M45" s="336"/>
      <c r="N45"/>
      <c r="O45" s="92"/>
      <c r="S45" s="141">
        <v>5</v>
      </c>
      <c r="T45" s="141" t="e">
        <v>#DIV/0!</v>
      </c>
    </row>
    <row r="46" spans="1:25" ht="21.95" customHeight="1">
      <c r="A46" s="149"/>
      <c r="B46" s="151"/>
      <c r="D46" s="113" cm="1">
        <f t="array" ref="D46:D53">[1]FLEX_table!B2:B9</f>
        <v>0</v>
      </c>
      <c r="E46" s="113" cm="1">
        <f t="array" ref="E46:E53">[1]FLEX_table!E2:E9</f>
        <v>0</v>
      </c>
      <c r="F46" s="113" t="e" cm="1">
        <f t="array" ref="F46:F53">[1]FLEX_table!F2:F9</f>
        <v>#DIV/0!</v>
      </c>
      <c r="G46"/>
      <c r="I46" s="113" cm="1">
        <f t="array" ref="I46:I53">[1]FLEX_table!B10:B17</f>
        <v>0</v>
      </c>
      <c r="J46" s="216" cm="1">
        <f t="array" ref="J46:J53">[1]FLEX_table!E10:E17</f>
        <v>0</v>
      </c>
      <c r="K46" s="145"/>
      <c r="L46" s="216" t="e" cm="1">
        <f t="array" ref="L46:L53">[1]FLEX_table!F10:F17</f>
        <v>#DIV/0!</v>
      </c>
      <c r="M46" s="214"/>
      <c r="N46"/>
      <c r="O46" s="92"/>
      <c r="S46" s="141">
        <v>6</v>
      </c>
      <c r="T46" s="141" t="e">
        <v>#DIV/0!</v>
      </c>
    </row>
    <row r="47" spans="1:25" ht="21.95" customHeight="1">
      <c r="A47" s="149"/>
      <c r="B47" s="151"/>
      <c r="D47" s="1">
        <v>0</v>
      </c>
      <c r="E47" s="1">
        <v>0</v>
      </c>
      <c r="F47" s="1" t="e">
        <v>#DIV/0!</v>
      </c>
      <c r="G47"/>
      <c r="I47" s="1">
        <v>0</v>
      </c>
      <c r="J47" s="217">
        <v>0</v>
      </c>
      <c r="K47" s="218"/>
      <c r="L47" s="217" t="e">
        <v>#DIV/0!</v>
      </c>
      <c r="M47" s="215"/>
      <c r="N47"/>
      <c r="O47" s="92"/>
      <c r="S47" s="141">
        <v>7</v>
      </c>
      <c r="T47" s="141" t="e">
        <v>#DIV/0!</v>
      </c>
    </row>
    <row r="48" spans="1:25" ht="21.95" customHeight="1">
      <c r="A48" s="149"/>
      <c r="B48" s="151"/>
      <c r="D48" s="1">
        <v>0</v>
      </c>
      <c r="E48" s="1">
        <v>0</v>
      </c>
      <c r="F48" s="1" t="e">
        <v>#DIV/0!</v>
      </c>
      <c r="G48"/>
      <c r="I48" s="1">
        <v>0</v>
      </c>
      <c r="J48" s="217">
        <v>0</v>
      </c>
      <c r="K48" s="218"/>
      <c r="L48" s="217" t="e">
        <v>#DIV/0!</v>
      </c>
      <c r="M48" s="215"/>
      <c r="N48"/>
      <c r="O48" s="92"/>
      <c r="S48" s="141">
        <v>8</v>
      </c>
      <c r="T48" s="141" t="e">
        <v>#DIV/0!</v>
      </c>
    </row>
    <row r="49" spans="1:20" ht="21.95" customHeight="1">
      <c r="A49" s="149"/>
      <c r="B49" s="151"/>
      <c r="D49" s="1">
        <v>0</v>
      </c>
      <c r="E49" s="1">
        <v>0</v>
      </c>
      <c r="F49" s="1" t="e">
        <v>#DIV/0!</v>
      </c>
      <c r="G49"/>
      <c r="I49" s="1">
        <v>0</v>
      </c>
      <c r="J49" s="217">
        <v>0</v>
      </c>
      <c r="K49" s="218"/>
      <c r="L49" s="217" t="e">
        <v>#DIV/0!</v>
      </c>
      <c r="M49" s="215"/>
      <c r="N49"/>
      <c r="O49" s="92"/>
      <c r="S49" s="141">
        <v>9</v>
      </c>
      <c r="T49" s="141" t="e">
        <v>#DIV/0!</v>
      </c>
    </row>
    <row r="50" spans="1:20" ht="21.95" customHeight="1">
      <c r="A50" s="149"/>
      <c r="B50" s="151"/>
      <c r="D50" s="1">
        <v>0</v>
      </c>
      <c r="E50" s="1">
        <v>0</v>
      </c>
      <c r="F50" s="1" t="e">
        <v>#DIV/0!</v>
      </c>
      <c r="G50"/>
      <c r="I50" s="1">
        <v>0</v>
      </c>
      <c r="J50" s="217">
        <v>0</v>
      </c>
      <c r="K50" s="218"/>
      <c r="L50" s="217" t="e">
        <v>#DIV/0!</v>
      </c>
      <c r="M50" s="215"/>
      <c r="N50"/>
      <c r="O50" s="92"/>
      <c r="S50" s="141">
        <v>10</v>
      </c>
      <c r="T50" s="141" t="e">
        <v>#DIV/0!</v>
      </c>
    </row>
    <row r="51" spans="1:20" ht="21.95" customHeight="1">
      <c r="A51" s="149"/>
      <c r="B51" s="151"/>
      <c r="D51" s="1">
        <v>0</v>
      </c>
      <c r="E51" s="1">
        <v>0</v>
      </c>
      <c r="F51" s="1" t="e">
        <v>#DIV/0!</v>
      </c>
      <c r="G51"/>
      <c r="I51" s="1">
        <v>0</v>
      </c>
      <c r="J51" s="217">
        <v>0</v>
      </c>
      <c r="K51" s="218"/>
      <c r="L51" s="217" t="e">
        <v>#DIV/0!</v>
      </c>
      <c r="M51" s="215"/>
      <c r="N51"/>
      <c r="O51" s="92"/>
      <c r="S51" s="141">
        <v>11</v>
      </c>
      <c r="T51" s="141" t="e">
        <v>#DIV/0!</v>
      </c>
    </row>
    <row r="52" spans="1:20" ht="21.95" customHeight="1">
      <c r="A52" s="149"/>
      <c r="B52" s="151"/>
      <c r="D52" s="1">
        <v>0</v>
      </c>
      <c r="E52" s="1">
        <v>0</v>
      </c>
      <c r="F52" s="1" t="e">
        <v>#DIV/0!</v>
      </c>
      <c r="G52"/>
      <c r="I52" s="1">
        <v>0</v>
      </c>
      <c r="J52" s="217">
        <v>0</v>
      </c>
      <c r="K52" s="218"/>
      <c r="L52" s="217" t="e">
        <v>#DIV/0!</v>
      </c>
      <c r="M52" s="215"/>
      <c r="N52"/>
      <c r="O52" s="92"/>
      <c r="S52" s="141">
        <v>12</v>
      </c>
      <c r="T52" s="141" t="e">
        <v>#DIV/0!</v>
      </c>
    </row>
    <row r="53" spans="1:20" ht="21.95" customHeight="1" thickBot="1">
      <c r="A53" s="149"/>
      <c r="B53" s="151"/>
      <c r="D53" s="1">
        <v>0</v>
      </c>
      <c r="E53" s="1">
        <v>0</v>
      </c>
      <c r="F53" s="1" t="e">
        <v>#DIV/0!</v>
      </c>
      <c r="G53"/>
      <c r="I53" s="1">
        <v>0</v>
      </c>
      <c r="J53" s="217">
        <v>0</v>
      </c>
      <c r="K53" s="218"/>
      <c r="L53" s="217" t="e">
        <v>#DIV/0!</v>
      </c>
      <c r="M53" s="215"/>
      <c r="N53"/>
      <c r="O53" s="92"/>
      <c r="S53" s="141">
        <v>13</v>
      </c>
      <c r="T53" s="141" t="e">
        <v>#DIV/0!</v>
      </c>
    </row>
    <row r="54" spans="1:20" ht="26.25" customHeight="1" thickBot="1">
      <c r="A54" s="150"/>
      <c r="B54" s="151" t="s">
        <v>453</v>
      </c>
      <c r="D54" s="151"/>
      <c r="E54" s="142"/>
      <c r="F54" s="142"/>
      <c r="G54" s="179"/>
      <c r="J54" s="212" t="s">
        <v>285</v>
      </c>
      <c r="L54"/>
      <c r="M54"/>
      <c r="N54"/>
      <c r="O54"/>
      <c r="P54"/>
      <c r="S54" s="141">
        <v>14</v>
      </c>
      <c r="T54" s="141" t="e">
        <v>#DIV/0!</v>
      </c>
    </row>
    <row r="55" spans="1:20" ht="29.25" customHeight="1" thickBot="1">
      <c r="A55" s="150"/>
      <c r="B55" s="151" t="s">
        <v>142</v>
      </c>
      <c r="C55"/>
      <c r="D55"/>
      <c r="E55"/>
      <c r="F55"/>
      <c r="G55"/>
      <c r="H55"/>
      <c r="I55"/>
      <c r="J55"/>
      <c r="K55" s="322" t="s">
        <v>167</v>
      </c>
      <c r="L55" s="322"/>
      <c r="M55" s="322"/>
      <c r="N55" s="322"/>
      <c r="O55"/>
      <c r="P55"/>
      <c r="S55" s="141">
        <v>15</v>
      </c>
      <c r="T55" s="141" t="e">
        <v>#DIV/0!</v>
      </c>
    </row>
    <row r="56" spans="1:20" ht="26.25" customHeight="1" thickBot="1">
      <c r="A56" s="149"/>
      <c r="B56" s="323" t="s">
        <v>454</v>
      </c>
      <c r="C56" s="324"/>
      <c r="D56" s="324"/>
      <c r="E56" s="324"/>
      <c r="F56" s="324"/>
      <c r="G56" s="324"/>
      <c r="H56" s="324"/>
      <c r="I56" s="324"/>
      <c r="J56" s="324"/>
      <c r="K56" s="324"/>
      <c r="L56" s="324"/>
      <c r="M56" s="325"/>
      <c r="O56" s="92"/>
      <c r="S56" s="141">
        <v>16</v>
      </c>
      <c r="T56" s="141" t="e">
        <v>#DIV/0!</v>
      </c>
    </row>
    <row r="57" spans="1:20" ht="26.25" customHeight="1" thickBot="1">
      <c r="A57" s="124"/>
      <c r="B57" s="151" t="s">
        <v>484</v>
      </c>
      <c r="C57"/>
      <c r="D57"/>
      <c r="E57"/>
      <c r="F57"/>
      <c r="G57"/>
      <c r="H57"/>
      <c r="I57"/>
      <c r="J57"/>
      <c r="K57"/>
      <c r="L57"/>
      <c r="M57"/>
      <c r="N57"/>
      <c r="O57"/>
    </row>
    <row r="58" spans="1:20" ht="26.25" customHeight="1" thickBot="1">
      <c r="A58" s="124"/>
      <c r="B58" s="151" t="s">
        <v>456</v>
      </c>
      <c r="C58"/>
      <c r="D58"/>
      <c r="E58"/>
      <c r="F58"/>
      <c r="G58"/>
      <c r="H58"/>
      <c r="I58"/>
      <c r="J58"/>
      <c r="K58"/>
      <c r="L58"/>
      <c r="M58"/>
      <c r="N58"/>
      <c r="O58"/>
    </row>
    <row r="59" spans="1:20" ht="28.5" customHeight="1">
      <c r="A59"/>
      <c r="B59" s="151"/>
      <c r="C59"/>
      <c r="D59" s="261" t="s">
        <v>131</v>
      </c>
      <c r="E59" s="98" t="s">
        <v>455</v>
      </c>
      <c r="F59" s="98" t="str">
        <f>CONCATENATE(" Volume for ",$E$13," samples [µL] +10%")</f>
        <v xml:space="preserve"> Volume for 4 samples [µL] +10%</v>
      </c>
      <c r="G59"/>
      <c r="H59"/>
      <c r="I59"/>
      <c r="J59"/>
      <c r="K59"/>
      <c r="L59"/>
      <c r="M59"/>
      <c r="N59"/>
      <c r="O59"/>
    </row>
    <row r="60" spans="1:20" ht="26.25" customHeight="1">
      <c r="A60"/>
      <c r="B60" s="151"/>
      <c r="C60"/>
      <c r="D60" s="115" t="s">
        <v>80</v>
      </c>
      <c r="E60" s="176">
        <v>180</v>
      </c>
      <c r="F60" s="176">
        <f>E60*$E$13*1.1</f>
        <v>792.00000000000011</v>
      </c>
      <c r="G60"/>
      <c r="H60"/>
      <c r="I60"/>
      <c r="J60"/>
      <c r="K60"/>
      <c r="L60"/>
      <c r="M60"/>
      <c r="N60"/>
      <c r="O60"/>
    </row>
    <row r="61" spans="1:20" ht="26.25" customHeight="1">
      <c r="A61"/>
      <c r="B61" s="151"/>
      <c r="C61"/>
      <c r="D61" s="115" t="s">
        <v>144</v>
      </c>
      <c r="E61" s="176">
        <v>10</v>
      </c>
      <c r="F61" s="176">
        <f>E61*$E$13*1.1</f>
        <v>44</v>
      </c>
      <c r="G61"/>
      <c r="H61"/>
      <c r="I61"/>
      <c r="J61"/>
      <c r="K61"/>
      <c r="L61"/>
      <c r="M61"/>
      <c r="N61"/>
      <c r="O61"/>
    </row>
    <row r="62" spans="1:20" ht="26.25" customHeight="1" thickBot="1">
      <c r="A62"/>
      <c r="B62" s="151"/>
      <c r="C62"/>
      <c r="D62" s="263" t="s">
        <v>138</v>
      </c>
      <c r="E62" s="260">
        <v>10</v>
      </c>
      <c r="F62" s="176">
        <f>E62*$E$13*1.1</f>
        <v>44</v>
      </c>
      <c r="G62"/>
      <c r="H62"/>
      <c r="I62"/>
      <c r="J62"/>
      <c r="K62"/>
      <c r="L62"/>
      <c r="M62"/>
      <c r="N62"/>
      <c r="O62"/>
    </row>
    <row r="63" spans="1:20" ht="26.25" customHeight="1" thickBot="1">
      <c r="A63"/>
      <c r="B63" s="151"/>
      <c r="C63"/>
      <c r="D63" s="259" t="s">
        <v>105</v>
      </c>
      <c r="E63" s="258">
        <f>+SUM(E60:E62)</f>
        <v>200</v>
      </c>
      <c r="F63" s="258">
        <f>SUM(F60:F62)</f>
        <v>880.00000000000011</v>
      </c>
      <c r="G63"/>
      <c r="H63"/>
      <c r="I63"/>
      <c r="J63"/>
      <c r="K63"/>
      <c r="L63"/>
      <c r="M63" s="125"/>
      <c r="N63"/>
      <c r="O63" s="125"/>
    </row>
    <row r="64" spans="1:20" ht="26.25" customHeight="1" thickBot="1">
      <c r="A64" s="124"/>
      <c r="B64" s="151" t="s">
        <v>457</v>
      </c>
      <c r="C64"/>
      <c r="D64"/>
      <c r="E64"/>
      <c r="F64"/>
      <c r="G64"/>
      <c r="H64"/>
      <c r="I64"/>
      <c r="J64"/>
      <c r="K64"/>
      <c r="L64"/>
      <c r="M64"/>
      <c r="N64"/>
      <c r="O64"/>
    </row>
    <row r="65" spans="1:15" ht="28.5" customHeight="1">
      <c r="A65"/>
      <c r="B65" s="151"/>
      <c r="C65"/>
      <c r="D65" s="261" t="s">
        <v>131</v>
      </c>
      <c r="E65" s="98" t="s">
        <v>455</v>
      </c>
      <c r="F65" s="98" t="str">
        <f>CONCATENATE(" Volume for ",$E$13," samples [µL] +10%")</f>
        <v xml:space="preserve"> Volume for 4 samples [µL] +10%</v>
      </c>
      <c r="G65"/>
      <c r="H65"/>
      <c r="I65"/>
      <c r="J65"/>
      <c r="K65"/>
      <c r="L65"/>
      <c r="M65"/>
      <c r="N65"/>
      <c r="O65"/>
    </row>
    <row r="66" spans="1:15" ht="26.25" customHeight="1">
      <c r="A66"/>
      <c r="B66" s="151"/>
      <c r="C66"/>
      <c r="D66" s="115" t="s">
        <v>458</v>
      </c>
      <c r="E66" s="264">
        <v>35</v>
      </c>
      <c r="F66" s="176">
        <f>E66*$E$13*1.1</f>
        <v>154</v>
      </c>
      <c r="G66"/>
      <c r="H66"/>
      <c r="I66"/>
      <c r="J66"/>
      <c r="K66"/>
      <c r="L66"/>
      <c r="M66"/>
      <c r="N66"/>
      <c r="O66"/>
    </row>
    <row r="67" spans="1:15" ht="26.25" customHeight="1" thickBot="1">
      <c r="A67"/>
      <c r="B67" s="151"/>
      <c r="C67"/>
      <c r="D67" s="263" t="s">
        <v>138</v>
      </c>
      <c r="E67" s="262">
        <v>5</v>
      </c>
      <c r="F67" s="260">
        <f>E67*$E$13*1.1</f>
        <v>22</v>
      </c>
      <c r="G67"/>
      <c r="H67"/>
      <c r="I67"/>
      <c r="J67"/>
      <c r="K67"/>
      <c r="L67"/>
      <c r="M67"/>
      <c r="N67"/>
      <c r="O67"/>
    </row>
    <row r="68" spans="1:15" ht="26.25" customHeight="1" thickBot="1">
      <c r="A68"/>
      <c r="B68" s="151"/>
      <c r="C68"/>
      <c r="D68" s="259" t="s">
        <v>105</v>
      </c>
      <c r="E68" s="258">
        <f>+SUM(E66:E67)</f>
        <v>40</v>
      </c>
      <c r="F68" s="258">
        <f>SUM(F66:F67)</f>
        <v>176</v>
      </c>
      <c r="G68"/>
      <c r="H68"/>
      <c r="I68"/>
      <c r="J68"/>
      <c r="K68"/>
      <c r="L68"/>
      <c r="M68" s="125"/>
      <c r="N68"/>
      <c r="O68" s="125"/>
    </row>
    <row r="69" spans="1:15" ht="26.25" customHeight="1" thickBot="1">
      <c r="A69" s="124"/>
      <c r="B69" s="151" t="s">
        <v>460</v>
      </c>
      <c r="C69"/>
      <c r="D69"/>
      <c r="E69"/>
      <c r="F69"/>
      <c r="G69"/>
      <c r="H69"/>
      <c r="I69"/>
      <c r="J69"/>
      <c r="K69"/>
      <c r="L69"/>
      <c r="M69"/>
      <c r="N69"/>
      <c r="O69"/>
    </row>
    <row r="70" spans="1:15" ht="26.25" customHeight="1" thickBot="1">
      <c r="A70" s="124"/>
      <c r="B70" s="151" t="s">
        <v>461</v>
      </c>
      <c r="C70"/>
      <c r="D70"/>
      <c r="E70"/>
      <c r="F70"/>
      <c r="G70"/>
      <c r="H70"/>
      <c r="I70"/>
      <c r="J70"/>
      <c r="K70"/>
      <c r="L70"/>
      <c r="M70"/>
      <c r="N70"/>
      <c r="O70"/>
    </row>
    <row r="71" spans="1:15" ht="26.25" customHeight="1" thickBot="1">
      <c r="A71" s="124"/>
      <c r="B71" s="151" t="s">
        <v>528</v>
      </c>
      <c r="C71"/>
      <c r="D71"/>
      <c r="E71"/>
      <c r="F71"/>
      <c r="G71"/>
      <c r="H71"/>
      <c r="I71"/>
      <c r="J71"/>
      <c r="K71"/>
      <c r="L71"/>
      <c r="M71"/>
      <c r="N71"/>
      <c r="O71"/>
    </row>
    <row r="72" spans="1:15" ht="26.25" customHeight="1" thickBot="1">
      <c r="A72" s="124"/>
      <c r="B72" s="151" t="s">
        <v>459</v>
      </c>
      <c r="C72"/>
      <c r="D72"/>
      <c r="E72"/>
      <c r="F72"/>
      <c r="G72"/>
      <c r="H72"/>
      <c r="I72"/>
      <c r="J72"/>
      <c r="K72"/>
      <c r="L72"/>
      <c r="M72"/>
      <c r="N72"/>
      <c r="O72"/>
    </row>
    <row r="73" spans="1:15" ht="26.25" customHeight="1" thickBot="1">
      <c r="A73" s="124"/>
      <c r="B73" s="151" t="s">
        <v>462</v>
      </c>
      <c r="C73"/>
      <c r="D73"/>
      <c r="E73"/>
      <c r="F73"/>
      <c r="G73"/>
      <c r="H73"/>
      <c r="I73"/>
      <c r="J73"/>
      <c r="K73"/>
      <c r="L73"/>
      <c r="M73"/>
      <c r="N73"/>
      <c r="O73"/>
    </row>
    <row r="74" spans="1:15" ht="26.25" customHeight="1" thickBot="1">
      <c r="A74" s="124"/>
      <c r="B74" s="151" t="s">
        <v>463</v>
      </c>
      <c r="C74"/>
      <c r="D74"/>
      <c r="E74"/>
      <c r="F74"/>
      <c r="G74"/>
      <c r="H74"/>
      <c r="I74"/>
      <c r="J74"/>
      <c r="K74"/>
      <c r="L74"/>
      <c r="M74"/>
      <c r="N74"/>
      <c r="O74"/>
    </row>
    <row r="75" spans="1:15" ht="53.45" customHeight="1" thickBot="1">
      <c r="A75" s="124"/>
      <c r="B75" s="292" t="s">
        <v>464</v>
      </c>
      <c r="C75" s="293"/>
      <c r="D75" s="293"/>
      <c r="E75" s="293"/>
      <c r="F75" s="293"/>
      <c r="G75" s="293"/>
      <c r="H75" s="293"/>
      <c r="I75" s="293"/>
      <c r="J75" s="293"/>
      <c r="K75" s="293"/>
      <c r="L75" s="293"/>
      <c r="M75" s="293"/>
      <c r="N75"/>
      <c r="O75"/>
    </row>
    <row r="76" spans="1:15" ht="26.25" customHeight="1" thickBot="1">
      <c r="A76"/>
      <c r="B76" s="151"/>
      <c r="C76"/>
      <c r="D76"/>
      <c r="E76"/>
      <c r="F76"/>
      <c r="G76"/>
      <c r="H76"/>
      <c r="I76"/>
      <c r="J76"/>
      <c r="K76"/>
      <c r="L76"/>
      <c r="M76"/>
      <c r="N76"/>
      <c r="O76"/>
    </row>
    <row r="77" spans="1:15" ht="26.25" customHeight="1" thickBot="1">
      <c r="A77" s="124"/>
      <c r="B77" s="151" t="s">
        <v>465</v>
      </c>
      <c r="C77"/>
      <c r="D77"/>
      <c r="E77"/>
      <c r="F77"/>
      <c r="G77"/>
      <c r="H77"/>
      <c r="I77"/>
      <c r="J77"/>
      <c r="K77"/>
      <c r="L77"/>
      <c r="M77"/>
      <c r="N77"/>
      <c r="O77"/>
    </row>
    <row r="78" spans="1:15" ht="26.25" customHeight="1" thickBot="1">
      <c r="A78" s="149"/>
      <c r="B78" s="289" t="s">
        <v>466</v>
      </c>
      <c r="C78" s="290"/>
      <c r="D78" s="290"/>
      <c r="E78" s="290"/>
      <c r="F78" s="290"/>
      <c r="G78" s="290"/>
      <c r="H78" s="290"/>
      <c r="I78" s="290"/>
      <c r="J78" s="290"/>
      <c r="K78" s="290"/>
      <c r="L78" s="290"/>
      <c r="M78" s="291"/>
      <c r="O78" s="92"/>
    </row>
    <row r="79" spans="1:15" ht="26.25" customHeight="1" thickBot="1">
      <c r="A79" s="124"/>
      <c r="B79" s="151" t="s">
        <v>143</v>
      </c>
      <c r="C79"/>
      <c r="D79"/>
      <c r="E79"/>
      <c r="F79"/>
      <c r="G79"/>
      <c r="H79"/>
      <c r="I79"/>
      <c r="J79"/>
      <c r="K79"/>
      <c r="L79"/>
      <c r="M79"/>
      <c r="N79"/>
      <c r="O79"/>
    </row>
    <row r="80" spans="1:15" ht="28.5" customHeight="1">
      <c r="A80"/>
      <c r="B80" s="151"/>
      <c r="C80"/>
      <c r="D80" s="261" t="s">
        <v>131</v>
      </c>
      <c r="E80" s="98" t="s">
        <v>467</v>
      </c>
      <c r="F80" s="98" t="str">
        <f>CONCATENATE(" Volume for ",$E$13," samples [mL]")</f>
        <v xml:space="preserve"> Volume for 4 samples [mL]</v>
      </c>
      <c r="G80"/>
      <c r="H80"/>
      <c r="I80"/>
      <c r="J80"/>
      <c r="K80"/>
      <c r="L80"/>
      <c r="M80"/>
      <c r="N80"/>
      <c r="O80"/>
    </row>
    <row r="81" spans="1:15" ht="26.25" customHeight="1">
      <c r="A81"/>
      <c r="B81" s="151"/>
      <c r="C81"/>
      <c r="D81" s="115" t="s">
        <v>80</v>
      </c>
      <c r="E81" s="176">
        <v>0.44500000000000001</v>
      </c>
      <c r="F81" s="176">
        <f>$E$13*E81*1.1</f>
        <v>1.9580000000000002</v>
      </c>
      <c r="G81"/>
      <c r="H81"/>
      <c r="I81"/>
      <c r="J81"/>
      <c r="K81"/>
      <c r="L81"/>
      <c r="M81"/>
      <c r="N81"/>
      <c r="O81"/>
    </row>
    <row r="82" spans="1:15" ht="26.25" customHeight="1">
      <c r="A82"/>
      <c r="B82" s="151"/>
      <c r="C82"/>
      <c r="D82" s="115" t="s">
        <v>138</v>
      </c>
      <c r="E82" s="176">
        <v>2.5000000000000001E-2</v>
      </c>
      <c r="F82" s="176">
        <f t="shared" ref="F82:F83" si="0">$E$13*E82*1.1</f>
        <v>0.11000000000000001</v>
      </c>
      <c r="H82"/>
      <c r="I82"/>
      <c r="J82"/>
      <c r="K82"/>
      <c r="L82"/>
      <c r="M82"/>
      <c r="N82"/>
      <c r="O82"/>
    </row>
    <row r="83" spans="1:15" ht="26.25" customHeight="1" thickBot="1">
      <c r="A83"/>
      <c r="B83" s="151"/>
      <c r="C83"/>
      <c r="D83" s="250" t="s">
        <v>144</v>
      </c>
      <c r="E83" s="260">
        <v>2.5000000000000001E-2</v>
      </c>
      <c r="F83" s="260">
        <f t="shared" si="0"/>
        <v>0.11000000000000001</v>
      </c>
      <c r="G83"/>
      <c r="H83"/>
      <c r="I83"/>
      <c r="J83"/>
      <c r="K83"/>
      <c r="L83"/>
      <c r="M83"/>
      <c r="N83"/>
      <c r="O83"/>
    </row>
    <row r="84" spans="1:15" ht="26.25" customHeight="1" thickBot="1">
      <c r="A84"/>
      <c r="B84" s="151"/>
      <c r="C84"/>
      <c r="D84" s="259" t="s">
        <v>105</v>
      </c>
      <c r="E84" s="258">
        <f>+SUM(E81:E83)</f>
        <v>0.49500000000000005</v>
      </c>
      <c r="F84" s="258">
        <f>SUM(F81:F83)</f>
        <v>2.1779999999999999</v>
      </c>
      <c r="G84"/>
      <c r="H84"/>
      <c r="I84"/>
      <c r="J84"/>
      <c r="K84"/>
      <c r="L84"/>
      <c r="M84" s="125"/>
      <c r="N84"/>
      <c r="O84" s="125"/>
    </row>
    <row r="85" spans="1:15" ht="26.25" customHeight="1" thickBot="1">
      <c r="A85" s="124"/>
      <c r="B85" s="151" t="s">
        <v>1338</v>
      </c>
      <c r="C85"/>
      <c r="D85"/>
      <c r="E85"/>
      <c r="F85"/>
      <c r="G85"/>
      <c r="H85"/>
      <c r="I85"/>
      <c r="J85"/>
      <c r="L85" s="103"/>
      <c r="M85"/>
      <c r="N85"/>
      <c r="O85"/>
    </row>
    <row r="86" spans="1:15" ht="26.25" customHeight="1" thickBot="1">
      <c r="A86" s="124"/>
      <c r="B86" s="96" t="s">
        <v>469</v>
      </c>
      <c r="C86"/>
      <c r="D86"/>
      <c r="E86"/>
      <c r="F86"/>
      <c r="G86"/>
      <c r="H86"/>
      <c r="I86"/>
      <c r="J86"/>
      <c r="L86" s="103" t="s">
        <v>1339</v>
      </c>
      <c r="M86"/>
      <c r="N86"/>
      <c r="O86"/>
    </row>
    <row r="87" spans="1:15" ht="26.25" customHeight="1" thickBot="1">
      <c r="A87" s="124"/>
      <c r="B87" s="129" t="s">
        <v>468</v>
      </c>
      <c r="C87"/>
      <c r="D87"/>
      <c r="E87"/>
      <c r="F87"/>
      <c r="G87"/>
      <c r="H87"/>
      <c r="I87"/>
      <c r="K87"/>
      <c r="L87"/>
      <c r="O87" s="151"/>
    </row>
    <row r="88" spans="1:15" ht="26.25" customHeight="1" thickBot="1">
      <c r="A88" s="124"/>
      <c r="B88" s="129" t="s">
        <v>470</v>
      </c>
      <c r="C88"/>
      <c r="D88"/>
      <c r="E88"/>
      <c r="F88"/>
      <c r="G88"/>
      <c r="H88"/>
      <c r="I88"/>
      <c r="K88"/>
      <c r="L88"/>
      <c r="O88" s="151"/>
    </row>
    <row r="89" spans="1:15" ht="26.25" customHeight="1" thickBot="1">
      <c r="A89" s="124"/>
      <c r="B89" s="96" t="s">
        <v>471</v>
      </c>
      <c r="C89"/>
      <c r="D89"/>
      <c r="E89"/>
      <c r="F89"/>
      <c r="G89"/>
      <c r="H89"/>
      <c r="I89"/>
      <c r="J89"/>
      <c r="K89" s="95" t="s">
        <v>70</v>
      </c>
      <c r="L89"/>
      <c r="M89"/>
      <c r="N89"/>
      <c r="O89"/>
    </row>
    <row r="90" spans="1:15" ht="26.25" customHeight="1" thickBot="1">
      <c r="A90" s="124"/>
      <c r="B90" s="151" t="s">
        <v>472</v>
      </c>
      <c r="C90"/>
      <c r="D90"/>
      <c r="E90"/>
      <c r="F90"/>
      <c r="G90"/>
      <c r="H90"/>
      <c r="I90"/>
      <c r="J90"/>
      <c r="K90"/>
      <c r="L90"/>
      <c r="M90"/>
      <c r="N90"/>
      <c r="O90"/>
    </row>
    <row r="91" spans="1:15" ht="28.5" customHeight="1">
      <c r="A91"/>
      <c r="B91" s="151"/>
      <c r="C91"/>
      <c r="D91" s="261" t="s">
        <v>131</v>
      </c>
      <c r="E91" s="98" t="s">
        <v>529</v>
      </c>
      <c r="F91"/>
      <c r="G91"/>
      <c r="H91"/>
      <c r="I91"/>
      <c r="J91"/>
      <c r="K91"/>
      <c r="L91"/>
      <c r="M91"/>
      <c r="N91"/>
      <c r="O91"/>
    </row>
    <row r="92" spans="1:15" ht="26.25" customHeight="1">
      <c r="A92"/>
      <c r="B92" s="151"/>
      <c r="C92"/>
      <c r="D92" s="115" t="s">
        <v>80</v>
      </c>
      <c r="E92" s="176">
        <v>2.97</v>
      </c>
      <c r="F92"/>
      <c r="G92"/>
      <c r="H92"/>
      <c r="I92"/>
      <c r="J92"/>
      <c r="K92"/>
      <c r="L92"/>
      <c r="M92"/>
      <c r="N92"/>
      <c r="O92"/>
    </row>
    <row r="93" spans="1:15" ht="26.25" customHeight="1">
      <c r="A93"/>
      <c r="B93" s="151"/>
      <c r="C93"/>
      <c r="D93" s="115" t="s">
        <v>138</v>
      </c>
      <c r="E93" s="176">
        <v>0.16500000000000001</v>
      </c>
      <c r="F93"/>
      <c r="H93"/>
      <c r="I93"/>
      <c r="J93"/>
      <c r="K93"/>
      <c r="L93"/>
      <c r="M93"/>
      <c r="N93"/>
      <c r="O93"/>
    </row>
    <row r="94" spans="1:15" ht="26.25" customHeight="1" thickBot="1">
      <c r="A94"/>
      <c r="B94" s="151"/>
      <c r="C94"/>
      <c r="D94" s="250" t="s">
        <v>144</v>
      </c>
      <c r="E94" s="260">
        <v>0.16500000000000001</v>
      </c>
      <c r="F94"/>
      <c r="G94"/>
      <c r="H94"/>
      <c r="I94"/>
      <c r="J94"/>
      <c r="K94"/>
      <c r="L94"/>
      <c r="M94"/>
      <c r="N94"/>
      <c r="O94"/>
    </row>
    <row r="95" spans="1:15" ht="26.25" customHeight="1" thickBot="1">
      <c r="A95"/>
      <c r="B95" s="151"/>
      <c r="C95"/>
      <c r="D95" s="259" t="s">
        <v>105</v>
      </c>
      <c r="E95" s="258">
        <f>+SUM(E92:E94)</f>
        <v>3.3000000000000003</v>
      </c>
      <c r="F95"/>
      <c r="G95"/>
      <c r="H95"/>
      <c r="I95"/>
      <c r="J95"/>
      <c r="K95"/>
      <c r="L95"/>
      <c r="M95" s="125"/>
      <c r="N95"/>
      <c r="O95" s="125"/>
    </row>
    <row r="96" spans="1:15" ht="26.25" customHeight="1" thickBot="1">
      <c r="A96" s="124"/>
      <c r="B96" s="151" t="s">
        <v>1340</v>
      </c>
      <c r="C96"/>
      <c r="D96"/>
      <c r="E96"/>
      <c r="F96"/>
      <c r="G96"/>
      <c r="H96"/>
      <c r="I96"/>
      <c r="J96"/>
      <c r="K96"/>
      <c r="L96"/>
      <c r="M96"/>
      <c r="N96"/>
      <c r="O96"/>
    </row>
    <row r="97" spans="1:18" ht="26.25" customHeight="1" thickBot="1">
      <c r="A97" s="124"/>
      <c r="B97" s="151" t="s">
        <v>473</v>
      </c>
      <c r="C97"/>
      <c r="D97"/>
      <c r="E97"/>
      <c r="F97"/>
      <c r="G97"/>
      <c r="H97"/>
      <c r="I97"/>
      <c r="J97"/>
      <c r="K97"/>
      <c r="L97"/>
      <c r="M97"/>
      <c r="N97"/>
      <c r="O97"/>
    </row>
    <row r="98" spans="1:18" ht="26.25" customHeight="1" thickBot="1">
      <c r="A98" s="124"/>
      <c r="B98" s="151" t="s">
        <v>145</v>
      </c>
      <c r="C98"/>
      <c r="D98"/>
      <c r="E98"/>
      <c r="F98"/>
      <c r="G98"/>
      <c r="H98"/>
      <c r="I98"/>
      <c r="J98"/>
      <c r="K98"/>
      <c r="L98"/>
      <c r="M98"/>
      <c r="N98"/>
      <c r="O98"/>
    </row>
    <row r="99" spans="1:18" ht="26.25" customHeight="1" thickBot="1">
      <c r="A99" s="124"/>
      <c r="B99" s="151" t="s">
        <v>474</v>
      </c>
      <c r="C99"/>
      <c r="D99"/>
      <c r="E99"/>
      <c r="F99"/>
      <c r="G99"/>
      <c r="H99"/>
      <c r="I99"/>
      <c r="J99"/>
      <c r="K99"/>
      <c r="L99"/>
      <c r="M99"/>
      <c r="N99"/>
      <c r="O99"/>
    </row>
    <row r="100" spans="1:18" ht="26.25" customHeight="1" thickBot="1">
      <c r="A100" s="124"/>
      <c r="B100" s="151" t="s">
        <v>473</v>
      </c>
      <c r="C100"/>
      <c r="D100"/>
      <c r="E100"/>
      <c r="F100"/>
      <c r="G100"/>
      <c r="H100"/>
      <c r="I100"/>
      <c r="J100"/>
      <c r="K100"/>
      <c r="L100"/>
      <c r="M100"/>
      <c r="N100"/>
      <c r="O100"/>
    </row>
    <row r="101" spans="1:18" ht="26.25" customHeight="1" thickBot="1">
      <c r="A101" s="124"/>
      <c r="B101" s="151" t="s">
        <v>145</v>
      </c>
      <c r="C101"/>
      <c r="D101"/>
      <c r="E101"/>
      <c r="F101"/>
      <c r="G101"/>
      <c r="H101"/>
      <c r="I101"/>
      <c r="J101"/>
      <c r="K101"/>
      <c r="L101"/>
      <c r="M101"/>
      <c r="N101"/>
      <c r="O101"/>
    </row>
    <row r="102" spans="1:18" ht="26.25" customHeight="1" thickBot="1">
      <c r="A102" s="124"/>
      <c r="B102" s="151" t="s">
        <v>475</v>
      </c>
      <c r="C102"/>
      <c r="D102"/>
      <c r="E102"/>
      <c r="F102"/>
      <c r="G102"/>
      <c r="H102"/>
      <c r="I102"/>
      <c r="J102"/>
      <c r="K102"/>
      <c r="L102"/>
      <c r="M102"/>
      <c r="N102"/>
      <c r="O102"/>
    </row>
    <row r="103" spans="1:18" ht="26.25" customHeight="1" thickBot="1">
      <c r="A103" s="124"/>
      <c r="B103" s="151" t="s">
        <v>473</v>
      </c>
      <c r="C103"/>
      <c r="D103"/>
      <c r="E103"/>
      <c r="F103"/>
      <c r="G103"/>
      <c r="H103"/>
      <c r="I103"/>
      <c r="J103"/>
      <c r="K103"/>
      <c r="L103"/>
      <c r="M103"/>
      <c r="N103"/>
      <c r="O103"/>
    </row>
    <row r="104" spans="1:18" ht="26.25" customHeight="1" thickBot="1">
      <c r="A104" s="124"/>
      <c r="B104" s="151" t="s">
        <v>146</v>
      </c>
      <c r="C104"/>
      <c r="D104"/>
      <c r="E104"/>
      <c r="F104"/>
      <c r="G104"/>
      <c r="H104"/>
      <c r="I104"/>
      <c r="J104"/>
      <c r="K104"/>
      <c r="L104"/>
      <c r="M104"/>
      <c r="N104"/>
      <c r="O104"/>
    </row>
    <row r="105" spans="1:18" ht="26.25" customHeight="1" thickBot="1">
      <c r="A105"/>
      <c r="B105" s="117"/>
      <c r="C105"/>
      <c r="D105" s="114" t="s">
        <v>147</v>
      </c>
      <c r="E105" s="130" t="s">
        <v>476</v>
      </c>
      <c r="F105" s="118" t="s">
        <v>477</v>
      </c>
      <c r="G105"/>
      <c r="H105"/>
      <c r="I105"/>
      <c r="J105"/>
      <c r="K105"/>
      <c r="L105"/>
      <c r="M105"/>
    </row>
    <row r="106" spans="1:18" ht="26.25" customHeight="1">
      <c r="A106"/>
      <c r="B106" s="117"/>
      <c r="C106"/>
      <c r="D106" s="132" t="s">
        <v>80</v>
      </c>
      <c r="E106" s="102">
        <v>1045</v>
      </c>
      <c r="F106" s="102">
        <v>4.18</v>
      </c>
      <c r="G106"/>
      <c r="H106"/>
      <c r="I106"/>
      <c r="J106"/>
      <c r="K106"/>
      <c r="L106"/>
      <c r="M106"/>
    </row>
    <row r="107" spans="1:18" ht="26.25" customHeight="1">
      <c r="A107"/>
      <c r="B107" s="117"/>
      <c r="C107"/>
      <c r="D107" s="132" t="s">
        <v>148</v>
      </c>
      <c r="E107" s="108">
        <v>5.5E-2</v>
      </c>
      <c r="F107" s="102">
        <v>0.22</v>
      </c>
      <c r="G107"/>
      <c r="H107"/>
      <c r="I107"/>
      <c r="J107"/>
      <c r="K107"/>
      <c r="L107"/>
      <c r="M107"/>
    </row>
    <row r="108" spans="1:18" ht="26.25" customHeight="1" thickBot="1">
      <c r="A108"/>
      <c r="B108" s="117"/>
      <c r="C108"/>
      <c r="D108" s="120" t="s">
        <v>105</v>
      </c>
      <c r="E108" s="108">
        <v>1100</v>
      </c>
      <c r="F108" s="102">
        <v>4400</v>
      </c>
      <c r="G108"/>
      <c r="H108"/>
      <c r="I108"/>
      <c r="J108"/>
      <c r="K108"/>
      <c r="L108"/>
      <c r="M108"/>
    </row>
    <row r="109" spans="1:18" ht="26.25" customHeight="1" thickBot="1">
      <c r="A109" s="124"/>
      <c r="B109" s="151" t="s">
        <v>149</v>
      </c>
      <c r="C109"/>
      <c r="D109"/>
      <c r="E109"/>
      <c r="F109"/>
      <c r="G109"/>
      <c r="H109"/>
      <c r="I109"/>
      <c r="J109"/>
      <c r="K109"/>
      <c r="M109" s="103"/>
      <c r="N109"/>
      <c r="O109"/>
    </row>
    <row r="110" spans="1:18" ht="32.1" customHeight="1" thickBot="1">
      <c r="A110" s="124"/>
      <c r="B110" s="292" t="s">
        <v>478</v>
      </c>
      <c r="C110" s="293"/>
      <c r="D110" s="293"/>
      <c r="E110" s="293"/>
      <c r="F110" s="293"/>
      <c r="G110" s="293"/>
      <c r="H110" s="293"/>
      <c r="I110" s="293"/>
      <c r="J110" s="293"/>
      <c r="K110" s="293"/>
      <c r="L110" s="293"/>
      <c r="M110" s="151" t="s">
        <v>298</v>
      </c>
      <c r="N110"/>
      <c r="O110"/>
    </row>
    <row r="111" spans="1:18" ht="34.5" customHeight="1" thickBot="1">
      <c r="A111" s="124"/>
      <c r="B111" s="292" t="s">
        <v>479</v>
      </c>
      <c r="C111" s="293"/>
      <c r="D111" s="293"/>
      <c r="E111" s="293"/>
      <c r="F111" s="293"/>
      <c r="G111" s="293"/>
      <c r="H111" s="293"/>
      <c r="I111" s="293"/>
      <c r="J111" s="293"/>
      <c r="K111" s="293"/>
      <c r="L111" s="293"/>
      <c r="M111" s="365" t="s">
        <v>530</v>
      </c>
      <c r="N111" s="365"/>
      <c r="O111" s="365"/>
      <c r="P111" s="365"/>
      <c r="Q111" s="365"/>
      <c r="R111" s="365"/>
    </row>
    <row r="112" spans="1:18" ht="26.25" customHeight="1" thickBot="1">
      <c r="A112" s="124"/>
      <c r="B112" s="151" t="s">
        <v>154</v>
      </c>
      <c r="C112"/>
      <c r="I112"/>
      <c r="J112"/>
      <c r="K112"/>
      <c r="L112"/>
      <c r="M112"/>
      <c r="N112"/>
      <c r="O112"/>
    </row>
    <row r="113" spans="1:21" ht="30.95" customHeight="1" thickBot="1">
      <c r="A113"/>
      <c r="B113" s="117"/>
      <c r="C113"/>
      <c r="D113" s="136" t="s">
        <v>135</v>
      </c>
      <c r="E113" s="118" t="s">
        <v>150</v>
      </c>
      <c r="F113" s="118" t="s">
        <v>151</v>
      </c>
      <c r="G113" s="326" t="s">
        <v>152</v>
      </c>
      <c r="H113" s="327"/>
      <c r="I113" s="118" t="s">
        <v>153</v>
      </c>
      <c r="J113"/>
      <c r="K113"/>
      <c r="L113" s="103" t="s">
        <v>481</v>
      </c>
      <c r="M113"/>
      <c r="N113"/>
      <c r="O113"/>
    </row>
    <row r="114" spans="1:21" ht="26.25" customHeight="1">
      <c r="A114"/>
      <c r="B114" s="117"/>
      <c r="C114"/>
      <c r="D114" s="113"/>
      <c r="E114" s="113"/>
      <c r="F114" s="113"/>
      <c r="G114" s="328"/>
      <c r="H114" s="329"/>
      <c r="I114" s="113"/>
      <c r="J114"/>
      <c r="M114" s="475"/>
      <c r="N114"/>
      <c r="O114"/>
    </row>
    <row r="115" spans="1:21" ht="26.25" customHeight="1">
      <c r="A115"/>
      <c r="B115" s="117"/>
      <c r="C115"/>
      <c r="D115" s="113"/>
      <c r="E115" s="1"/>
      <c r="F115" s="113"/>
      <c r="G115" s="296"/>
      <c r="H115" s="297"/>
      <c r="I115" s="1"/>
      <c r="K115"/>
      <c r="M115" s="474" t="s">
        <v>1336</v>
      </c>
      <c r="N115"/>
      <c r="O115"/>
    </row>
    <row r="116" spans="1:21" ht="26.25" customHeight="1">
      <c r="A116"/>
      <c r="B116" s="117"/>
      <c r="C116"/>
      <c r="D116" s="113"/>
      <c r="E116" s="1"/>
      <c r="F116" s="113"/>
      <c r="G116" s="296"/>
      <c r="H116" s="297"/>
      <c r="I116" s="1"/>
      <c r="M116" t="s">
        <v>1337</v>
      </c>
      <c r="N116"/>
      <c r="O116"/>
    </row>
    <row r="117" spans="1:21" ht="26.25" customHeight="1" thickBot="1">
      <c r="A117"/>
      <c r="B117" s="117"/>
      <c r="C117"/>
      <c r="D117" s="113"/>
      <c r="E117" s="1"/>
      <c r="F117" s="113"/>
      <c r="G117" s="296"/>
      <c r="H117" s="297"/>
      <c r="I117" s="1"/>
      <c r="J117"/>
      <c r="K117"/>
      <c r="L117"/>
      <c r="M117"/>
      <c r="N117"/>
      <c r="O117"/>
    </row>
    <row r="118" spans="1:21" ht="26.25" customHeight="1" thickBot="1">
      <c r="A118" s="149"/>
      <c r="B118" s="289" t="s">
        <v>480</v>
      </c>
      <c r="C118" s="290"/>
      <c r="D118" s="290"/>
      <c r="E118" s="290"/>
      <c r="F118" s="290"/>
      <c r="G118" s="290"/>
      <c r="H118" s="290"/>
      <c r="I118" s="290"/>
      <c r="J118" s="290"/>
      <c r="K118" s="290"/>
      <c r="L118" s="290"/>
      <c r="M118" s="291"/>
      <c r="O118" s="92"/>
    </row>
    <row r="119" spans="1:21" ht="26.25" customHeight="1" thickBot="1">
      <c r="A119" s="150"/>
      <c r="B119" s="151" t="s">
        <v>299</v>
      </c>
      <c r="C119" s="151"/>
      <c r="D119" s="151"/>
      <c r="E119" s="151"/>
      <c r="O119" s="92"/>
    </row>
    <row r="120" spans="1:21" ht="33.75" customHeight="1" thickBot="1">
      <c r="A120"/>
      <c r="B120" s="151"/>
      <c r="C120" s="151"/>
      <c r="E120" s="98" t="s">
        <v>72</v>
      </c>
      <c r="F120" s="98" t="str">
        <f>CONCATENATE(" Volume for ",$J$13," reactions")</f>
        <v xml:space="preserve"> Volume for 1 reactions</v>
      </c>
      <c r="O120" s="92"/>
    </row>
    <row r="121" spans="1:21" ht="26.25" customHeight="1" thickBot="1">
      <c r="A121" s="150"/>
      <c r="B121" s="151" t="s">
        <v>73</v>
      </c>
      <c r="C121" s="197"/>
      <c r="D121" s="133" t="s">
        <v>155</v>
      </c>
      <c r="E121" s="257">
        <v>18.090909090909086</v>
      </c>
      <c r="F121" s="156">
        <f>E121*$J$13*1.1</f>
        <v>19.899999999999995</v>
      </c>
      <c r="G121" s="143" t="s">
        <v>74</v>
      </c>
      <c r="O121" s="92"/>
      <c r="Q121" s="151"/>
    </row>
    <row r="122" spans="1:21" ht="28.5" customHeight="1">
      <c r="A122" s="149"/>
      <c r="B122" s="151"/>
      <c r="C122" s="197"/>
      <c r="D122" s="133" t="s">
        <v>75</v>
      </c>
      <c r="E122" s="256">
        <v>1.4545454545454546</v>
      </c>
      <c r="F122" s="156">
        <f>E122*$J$13*1.1</f>
        <v>1.6</v>
      </c>
      <c r="G122" s="143" t="s">
        <v>74</v>
      </c>
      <c r="O122" s="92"/>
      <c r="Q122" s="151"/>
      <c r="S122" s="141" t="s">
        <v>1348</v>
      </c>
    </row>
    <row r="123" spans="1:21" ht="27.95" customHeight="1" thickBot="1">
      <c r="A123" s="149"/>
      <c r="B123" s="151"/>
      <c r="C123" s="161"/>
      <c r="D123" s="121" t="s">
        <v>156</v>
      </c>
      <c r="E123" s="255">
        <v>10.727272727272727</v>
      </c>
      <c r="F123" s="163">
        <f>E123*$J$13*1.1</f>
        <v>11.8</v>
      </c>
      <c r="G123" s="164" t="s">
        <v>74</v>
      </c>
      <c r="O123" s="92"/>
      <c r="S123" s="141">
        <v>184800</v>
      </c>
      <c r="T123" s="141" t="s">
        <v>1345</v>
      </c>
    </row>
    <row r="124" spans="1:21" ht="18.95" customHeight="1" thickBot="1">
      <c r="A124" s="149"/>
      <c r="B124" s="151"/>
      <c r="D124" s="165"/>
      <c r="E124" s="245">
        <f>SUM(E121:E123)</f>
        <v>30.272727272727266</v>
      </c>
      <c r="F124" s="166">
        <f>SUM(F121:F123)</f>
        <v>33.299999999999997</v>
      </c>
      <c r="G124" s="167" t="s">
        <v>74</v>
      </c>
      <c r="H124" s="141" t="s">
        <v>76</v>
      </c>
      <c r="O124" s="92"/>
      <c r="S124" s="141">
        <f>0.1072*10^(-12)*6.02214076*10^23</f>
        <v>64557348947.199997</v>
      </c>
      <c r="T124" s="141" t="s">
        <v>1341</v>
      </c>
    </row>
    <row r="125" spans="1:21" ht="26.25" customHeight="1" thickBot="1">
      <c r="A125" s="150"/>
      <c r="B125" s="151" t="s">
        <v>488</v>
      </c>
      <c r="D125" s="94"/>
      <c r="E125" s="151"/>
      <c r="F125" s="95"/>
      <c r="O125" s="92"/>
      <c r="S125" s="141">
        <v>6450000000</v>
      </c>
      <c r="T125" s="141" t="s">
        <v>1342</v>
      </c>
      <c r="U125" s="219"/>
    </row>
    <row r="126" spans="1:21" ht="26.25" customHeight="1" thickBot="1">
      <c r="A126" s="150"/>
      <c r="B126" s="96" t="s">
        <v>293</v>
      </c>
      <c r="C126"/>
      <c r="D126"/>
      <c r="E126"/>
      <c r="F126"/>
      <c r="H126"/>
      <c r="I126"/>
      <c r="J126"/>
      <c r="K126"/>
      <c r="S126" s="476">
        <v>13210000000000</v>
      </c>
      <c r="T126" s="141" t="s">
        <v>1343</v>
      </c>
    </row>
    <row r="127" spans="1:21" ht="26.25" customHeight="1" thickBot="1">
      <c r="A127" s="174"/>
      <c r="B127" s="96" t="s">
        <v>294</v>
      </c>
      <c r="C127"/>
      <c r="D127"/>
      <c r="E127"/>
      <c r="F127"/>
      <c r="S127" s="476">
        <f>13210000000000/(6.02214076*10^23)</f>
        <v>2.1935721077366515E-11</v>
      </c>
      <c r="T127" s="141" t="s">
        <v>1344</v>
      </c>
    </row>
    <row r="128" spans="1:21" ht="26.25" customHeight="1" thickBot="1">
      <c r="A128" s="174"/>
      <c r="B128" s="96" t="s">
        <v>295</v>
      </c>
      <c r="C128"/>
      <c r="D128"/>
      <c r="E128"/>
      <c r="F128"/>
      <c r="S128" s="141">
        <v>4.0471399999999997</v>
      </c>
      <c r="T128" s="141" t="s">
        <v>1346</v>
      </c>
    </row>
    <row r="129" spans="1:20" ht="26.25" customHeight="1" thickBot="1">
      <c r="A129" s="150"/>
      <c r="B129" s="96" t="s">
        <v>178</v>
      </c>
      <c r="C129"/>
      <c r="D129"/>
      <c r="E129"/>
      <c r="F129"/>
      <c r="S129" s="141">
        <v>100</v>
      </c>
      <c r="T129" s="141" t="s">
        <v>1347</v>
      </c>
    </row>
    <row r="130" spans="1:20" ht="26.25" customHeight="1" thickBot="1">
      <c r="A130" s="150"/>
      <c r="B130" s="96" t="s">
        <v>77</v>
      </c>
      <c r="C130"/>
      <c r="D130"/>
      <c r="E130"/>
      <c r="F130"/>
      <c r="I130" s="94"/>
      <c r="J130" s="141" t="s">
        <v>157</v>
      </c>
    </row>
    <row r="131" spans="1:20" ht="26.25" customHeight="1">
      <c r="A131" s="149"/>
      <c r="B131" s="96"/>
      <c r="C131"/>
      <c r="D131"/>
      <c r="E131"/>
      <c r="F131"/>
      <c r="I131" s="94"/>
      <c r="J131" s="151" t="s">
        <v>158</v>
      </c>
      <c r="L131" s="151" t="s">
        <v>489</v>
      </c>
    </row>
    <row r="132" spans="1:20" ht="21.95" customHeight="1" thickBot="1">
      <c r="A132" s="149"/>
      <c r="B132" s="96"/>
      <c r="C132"/>
      <c r="D132"/>
      <c r="E132"/>
      <c r="F132"/>
      <c r="I132" s="94"/>
      <c r="J132" s="151" t="s">
        <v>159</v>
      </c>
    </row>
    <row r="133" spans="1:20" ht="26.25" customHeight="1" thickBot="1">
      <c r="A133" s="150"/>
      <c r="B133" s="96" t="s">
        <v>179</v>
      </c>
      <c r="C133"/>
      <c r="D133"/>
      <c r="E133"/>
      <c r="F133"/>
      <c r="I133" s="94"/>
    </row>
    <row r="134" spans="1:20" ht="26.25" customHeight="1" thickBot="1">
      <c r="A134" s="149"/>
      <c r="B134" s="298" t="s">
        <v>182</v>
      </c>
      <c r="C134" s="299"/>
      <c r="D134" s="299"/>
      <c r="E134" s="299"/>
      <c r="F134" s="299"/>
      <c r="G134" s="299"/>
      <c r="H134" s="299"/>
      <c r="I134" s="299"/>
      <c r="J134" s="299"/>
      <c r="K134" s="299"/>
      <c r="L134" s="299"/>
      <c r="M134" s="300"/>
    </row>
    <row r="135" spans="1:20" s="151" customFormat="1" ht="26.25" customHeight="1" thickBot="1">
      <c r="A135" s="175"/>
      <c r="B135" s="151" t="s">
        <v>180</v>
      </c>
      <c r="J135" s="95" t="s">
        <v>78</v>
      </c>
    </row>
    <row r="136" spans="1:20" ht="26.25" customHeight="1" thickBot="1">
      <c r="A136" s="150"/>
      <c r="B136" s="151" t="s">
        <v>181</v>
      </c>
      <c r="C136"/>
      <c r="D136"/>
      <c r="E136"/>
      <c r="F136"/>
      <c r="G136"/>
      <c r="H136" s="95" t="s">
        <v>79</v>
      </c>
      <c r="I136"/>
      <c r="M136" s="97"/>
    </row>
    <row r="137" spans="1:20" ht="26.25" customHeight="1" thickBot="1">
      <c r="A137" s="150"/>
      <c r="B137" s="151" t="s">
        <v>183</v>
      </c>
      <c r="C137" s="151"/>
      <c r="D137" s="151"/>
      <c r="E137" s="151"/>
      <c r="O137" s="92"/>
    </row>
    <row r="138" spans="1:20" ht="33.75" customHeight="1" thickBot="1">
      <c r="A138"/>
      <c r="B138" s="151"/>
      <c r="C138" s="151"/>
      <c r="E138" s="98" t="s">
        <v>72</v>
      </c>
      <c r="F138" s="98" t="str">
        <f>CONCATENATE(" Volume for ",$J$13," samples")</f>
        <v xml:space="preserve"> Volume for 1 samples</v>
      </c>
      <c r="O138" s="92"/>
    </row>
    <row r="139" spans="1:20" ht="26.25" customHeight="1" thickBot="1">
      <c r="A139" s="150"/>
      <c r="B139" s="151" t="s">
        <v>73</v>
      </c>
      <c r="C139" s="197"/>
      <c r="D139" s="93" t="s">
        <v>321</v>
      </c>
      <c r="E139" s="155">
        <v>25</v>
      </c>
      <c r="F139" s="156">
        <f>E139*$J$13*1.1</f>
        <v>27.500000000000004</v>
      </c>
      <c r="G139" s="143" t="s">
        <v>74</v>
      </c>
      <c r="O139" s="92"/>
      <c r="Q139" s="151"/>
    </row>
    <row r="140" spans="1:20" ht="28.5" customHeight="1" thickBot="1">
      <c r="A140" s="149"/>
      <c r="B140" s="151"/>
      <c r="C140" s="254"/>
      <c r="D140" s="112" t="s">
        <v>160</v>
      </c>
      <c r="E140" s="178">
        <v>10</v>
      </c>
      <c r="F140" s="178">
        <f>E140*$J$13*1.1</f>
        <v>11</v>
      </c>
      <c r="G140" s="164" t="s">
        <v>74</v>
      </c>
      <c r="I140" s="141" t="s">
        <v>296</v>
      </c>
      <c r="O140" s="92"/>
      <c r="Q140" s="151"/>
    </row>
    <row r="141" spans="1:20" ht="20.25" customHeight="1" thickBot="1">
      <c r="A141" s="149"/>
      <c r="B141" s="151"/>
      <c r="D141" s="165"/>
      <c r="E141" s="166">
        <f>SUM(E139:E140)</f>
        <v>35</v>
      </c>
      <c r="F141" s="166">
        <f>SUM(F139:F140)</f>
        <v>38.5</v>
      </c>
      <c r="G141" s="167" t="s">
        <v>74</v>
      </c>
      <c r="H141" s="141" t="s">
        <v>76</v>
      </c>
      <c r="O141" s="92"/>
    </row>
    <row r="142" spans="1:20" ht="26.25" customHeight="1" thickBot="1">
      <c r="A142" s="150"/>
      <c r="B142" s="96" t="s">
        <v>161</v>
      </c>
      <c r="C142"/>
      <c r="D142" s="100" t="s">
        <v>85</v>
      </c>
      <c r="E142"/>
      <c r="I142" s="94"/>
    </row>
    <row r="143" spans="1:20" ht="26.25" customHeight="1">
      <c r="A143" s="149"/>
      <c r="B143" s="96"/>
      <c r="C143"/>
      <c r="D143" s="101" t="s">
        <v>86</v>
      </c>
      <c r="E143" s="301" t="s">
        <v>162</v>
      </c>
      <c r="F143" s="151"/>
      <c r="I143" s="94"/>
    </row>
    <row r="144" spans="1:20" ht="21.95" customHeight="1">
      <c r="A144" s="149"/>
      <c r="B144" s="96"/>
      <c r="C144"/>
      <c r="D144" s="101" t="s">
        <v>87</v>
      </c>
      <c r="E144" s="302"/>
      <c r="I144" s="94"/>
    </row>
    <row r="145" spans="1:19" s="142" customFormat="1" ht="23.25" customHeight="1">
      <c r="B145" s="99"/>
      <c r="C145" s="99"/>
      <c r="D145" s="101" t="s">
        <v>88</v>
      </c>
      <c r="E145" s="303"/>
      <c r="F145" s="99"/>
      <c r="G145"/>
      <c r="H145"/>
      <c r="I145"/>
      <c r="J145"/>
      <c r="K145"/>
      <c r="L145"/>
      <c r="M145"/>
    </row>
    <row r="146" spans="1:19" s="142" customFormat="1" ht="23.25" customHeight="1" thickBot="1">
      <c r="B146" s="99"/>
      <c r="C146" s="99"/>
      <c r="D146" s="100" t="s">
        <v>88</v>
      </c>
      <c r="E146"/>
      <c r="F146" s="99"/>
      <c r="G146"/>
      <c r="H146"/>
      <c r="I146"/>
      <c r="J146"/>
      <c r="K146"/>
      <c r="L146"/>
      <c r="M146"/>
    </row>
    <row r="147" spans="1:19" ht="33" customHeight="1" thickBot="1">
      <c r="A147" s="150"/>
      <c r="B147" s="96" t="s">
        <v>81</v>
      </c>
      <c r="C147"/>
      <c r="D147"/>
      <c r="E147" s="98" t="s">
        <v>72</v>
      </c>
      <c r="F147" s="98" t="str">
        <f>CONCATENATE(" Volume for ",$J$13," samples")</f>
        <v xml:space="preserve"> Volume for 1 samples</v>
      </c>
      <c r="G147"/>
      <c r="H147"/>
      <c r="I147"/>
      <c r="L147" s="146"/>
      <c r="M147" s="179"/>
    </row>
    <row r="148" spans="1:19" ht="26.25" customHeight="1">
      <c r="A148" s="149"/>
      <c r="B148" s="96"/>
      <c r="C148" s="304" t="s">
        <v>82</v>
      </c>
      <c r="D148" s="305"/>
      <c r="E148" s="155">
        <v>980</v>
      </c>
      <c r="F148" s="156">
        <f>IF($J$13&lt;2, E148,E148*0.5*$J$13)</f>
        <v>980</v>
      </c>
      <c r="G148" s="143" t="s">
        <v>74</v>
      </c>
      <c r="I148"/>
      <c r="L148" s="146"/>
      <c r="M148" s="179"/>
    </row>
    <row r="149" spans="1:19" ht="26.25" customHeight="1">
      <c r="A149" s="149"/>
      <c r="B149" s="96"/>
      <c r="C149" s="304" t="s">
        <v>83</v>
      </c>
      <c r="D149" s="305"/>
      <c r="E149" s="155">
        <v>10</v>
      </c>
      <c r="F149" s="156">
        <f>IF($J$13&lt;2, E149,E149*0.5*$J$13)</f>
        <v>10</v>
      </c>
      <c r="G149" s="143" t="s">
        <v>74</v>
      </c>
      <c r="I149"/>
      <c r="L149" s="146"/>
      <c r="M149" s="179"/>
    </row>
    <row r="150" spans="1:19" ht="26.25" customHeight="1" thickBot="1">
      <c r="A150" s="149"/>
      <c r="B150" s="96"/>
      <c r="C150" s="315" t="s">
        <v>75</v>
      </c>
      <c r="D150" s="316"/>
      <c r="E150" s="178">
        <v>10</v>
      </c>
      <c r="F150" s="178">
        <f>IF($J$13&lt;2, E150,E150*0.5*$J$13)</f>
        <v>10</v>
      </c>
      <c r="G150" s="164" t="s">
        <v>74</v>
      </c>
      <c r="I150"/>
      <c r="L150" s="146"/>
      <c r="M150" s="179"/>
    </row>
    <row r="151" spans="1:19" ht="26.25" customHeight="1" thickBot="1">
      <c r="A151" s="149"/>
      <c r="B151"/>
      <c r="C151"/>
      <c r="D151"/>
      <c r="E151" s="172">
        <f>SUM(E148:E150)</f>
        <v>1000</v>
      </c>
      <c r="F151" s="172">
        <f>SUM(F148:F150)</f>
        <v>1000</v>
      </c>
      <c r="G151" s="167" t="s">
        <v>74</v>
      </c>
      <c r="H151" s="179" t="s">
        <v>76</v>
      </c>
      <c r="I151"/>
    </row>
    <row r="152" spans="1:19" ht="23.25" customHeight="1" thickBot="1">
      <c r="A152" s="150"/>
      <c r="B152" s="151" t="s">
        <v>184</v>
      </c>
      <c r="C152"/>
      <c r="D152"/>
      <c r="E152"/>
      <c r="F152"/>
      <c r="G152"/>
      <c r="H152"/>
      <c r="I152"/>
      <c r="L152" s="146"/>
      <c r="M152" s="179"/>
    </row>
    <row r="153" spans="1:19" ht="23.25" customHeight="1" thickBot="1">
      <c r="A153" s="150"/>
      <c r="B153" s="134" t="s">
        <v>185</v>
      </c>
      <c r="C153"/>
      <c r="D153"/>
      <c r="E153"/>
      <c r="F153"/>
      <c r="G153"/>
      <c r="H153"/>
      <c r="I153"/>
      <c r="L153" s="146"/>
      <c r="M153" s="179"/>
    </row>
    <row r="154" spans="1:19" ht="26.25" customHeight="1" thickBot="1">
      <c r="A154"/>
      <c r="B154" s="317" t="s">
        <v>163</v>
      </c>
      <c r="C154" s="318"/>
      <c r="D154" s="318"/>
      <c r="E154" s="318"/>
      <c r="F154" s="318"/>
      <c r="G154" s="318"/>
      <c r="H154" s="318"/>
      <c r="I154" s="318"/>
      <c r="J154" s="318"/>
      <c r="K154" s="318"/>
      <c r="L154" s="318"/>
      <c r="M154" s="319"/>
      <c r="N154" s="330" t="s">
        <v>322</v>
      </c>
      <c r="O154" s="330"/>
      <c r="P154" s="330"/>
      <c r="Q154" s="330"/>
    </row>
    <row r="155" spans="1:19" ht="26.25" customHeight="1" thickBot="1">
      <c r="A155" s="150"/>
      <c r="B155" s="96" t="s">
        <v>170</v>
      </c>
      <c r="C155"/>
      <c r="D155"/>
      <c r="E155" s="98" t="s">
        <v>72</v>
      </c>
      <c r="F155" s="98" t="str">
        <f>CONCATENATE(" Volume for ",$J$13," samples")</f>
        <v xml:space="preserve"> Volume for 1 samples</v>
      </c>
      <c r="G155"/>
      <c r="H155" s="126"/>
      <c r="I155" s="126"/>
      <c r="J155" s="126"/>
      <c r="K155" s="126"/>
      <c r="L155" s="126"/>
      <c r="M155" s="126"/>
      <c r="N155" s="330"/>
      <c r="O155" s="330"/>
      <c r="P155" s="330"/>
      <c r="Q155" s="330"/>
    </row>
    <row r="156" spans="1:19" ht="26.25" customHeight="1">
      <c r="A156" s="149"/>
      <c r="B156" s="96"/>
      <c r="C156" s="304" t="s">
        <v>321</v>
      </c>
      <c r="D156" s="305"/>
      <c r="E156" s="155">
        <v>50</v>
      </c>
      <c r="F156" s="156">
        <f>E156*$J$13*4*1.1</f>
        <v>220.00000000000003</v>
      </c>
      <c r="G156" s="143" t="s">
        <v>74</v>
      </c>
      <c r="H156" s="126"/>
      <c r="I156" s="97"/>
      <c r="J156" s="126"/>
      <c r="K156" s="126"/>
      <c r="L156" s="126"/>
      <c r="M156" s="126"/>
      <c r="N156"/>
      <c r="O156"/>
      <c r="P156"/>
    </row>
    <row r="157" spans="1:19" ht="26.25" customHeight="1" thickBot="1">
      <c r="A157" s="149"/>
      <c r="B157" s="96"/>
      <c r="C157" s="306" t="s">
        <v>80</v>
      </c>
      <c r="D157" s="307"/>
      <c r="E157" s="178">
        <v>25</v>
      </c>
      <c r="F157" s="163">
        <f>E157*$J$13*4*1.1</f>
        <v>110.00000000000001</v>
      </c>
      <c r="G157" s="164" t="s">
        <v>74</v>
      </c>
      <c r="H157" s="126"/>
      <c r="I157" s="253" t="s">
        <v>487</v>
      </c>
      <c r="J157" s="126"/>
      <c r="K157" s="126"/>
      <c r="L157" s="126"/>
      <c r="M157" s="126"/>
      <c r="N157"/>
      <c r="O157"/>
      <c r="P157"/>
    </row>
    <row r="158" spans="1:19" ht="26.25" customHeight="1" thickBot="1">
      <c r="A158" s="149"/>
      <c r="B158" s="96"/>
      <c r="C158" s="127"/>
      <c r="D158" s="127"/>
      <c r="E158" s="172">
        <f>SUM(E156:E157)</f>
        <v>75</v>
      </c>
      <c r="F158" s="172">
        <f>SUM(F156:F157)</f>
        <v>330.00000000000006</v>
      </c>
      <c r="G158" s="167" t="s">
        <v>74</v>
      </c>
      <c r="H158" s="126"/>
      <c r="I158" s="126"/>
      <c r="J158" s="126"/>
      <c r="K158" s="126"/>
      <c r="L158" s="126"/>
      <c r="M158" s="126"/>
      <c r="N158"/>
      <c r="O158"/>
      <c r="P158"/>
    </row>
    <row r="159" spans="1:19" ht="24.95" customHeight="1" thickBot="1">
      <c r="A159" s="150"/>
      <c r="B159" s="96" t="s">
        <v>485</v>
      </c>
      <c r="C159"/>
      <c r="D159"/>
      <c r="E159"/>
      <c r="F159"/>
      <c r="G159"/>
      <c r="H159"/>
      <c r="I159"/>
      <c r="S159" s="125"/>
    </row>
    <row r="160" spans="1:19" ht="24.95" customHeight="1" thickBot="1">
      <c r="A160" s="150"/>
      <c r="B160" s="96" t="str">
        <f>CONCATENATE("Add 20 µL of indexes of the plate ", K4)</f>
        <v>Add 20 µL of indexes of the plate TS Set A</v>
      </c>
      <c r="C160"/>
      <c r="D160"/>
      <c r="E160"/>
      <c r="F160"/>
      <c r="G160"/>
      <c r="H160"/>
      <c r="I160"/>
      <c r="J160"/>
    </row>
    <row r="161" spans="1:14" ht="24.95" customHeight="1" thickBot="1">
      <c r="A161" s="188"/>
      <c r="B161" s="179" t="s">
        <v>90</v>
      </c>
      <c r="G161" s="141" t="s">
        <v>91</v>
      </c>
      <c r="H161" s="185"/>
    </row>
    <row r="162" spans="1:14" ht="24.95" customHeight="1">
      <c r="A162" s="149"/>
      <c r="B162" s="189"/>
      <c r="C162" s="104">
        <v>1</v>
      </c>
      <c r="D162" s="104">
        <v>2</v>
      </c>
      <c r="E162" s="104">
        <v>3</v>
      </c>
      <c r="F162" s="104">
        <v>4</v>
      </c>
      <c r="G162" s="104">
        <v>5</v>
      </c>
      <c r="H162" s="104">
        <v>6</v>
      </c>
      <c r="I162" s="104">
        <v>7</v>
      </c>
      <c r="J162" s="104">
        <v>8</v>
      </c>
      <c r="K162" s="104">
        <v>9</v>
      </c>
      <c r="L162" s="104">
        <v>10</v>
      </c>
      <c r="M162" s="104">
        <v>11</v>
      </c>
      <c r="N162" s="104">
        <v>12</v>
      </c>
    </row>
    <row r="163" spans="1:14" ht="17.45" customHeight="1">
      <c r="A163" s="149"/>
      <c r="B163" s="105" t="s">
        <v>92</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93</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94</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95</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c r="B167" s="105" t="s">
        <v>96</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17.45" customHeight="1">
      <c r="B168" s="105" t="s">
        <v>97</v>
      </c>
      <c r="C168" s="106" t="str">
        <f>IF(ISNUMBER(#REF!),#REF!, " ")</f>
        <v xml:space="preserve"> </v>
      </c>
      <c r="D168" s="106" t="str">
        <f>IF(ISNUMBER(#REF!),#REF!, " ")</f>
        <v xml:space="preserve"> </v>
      </c>
      <c r="E168" s="106" t="str">
        <f>IF(ISNUMBER(#REF!),#REF!, " ")</f>
        <v xml:space="preserve"> </v>
      </c>
      <c r="F168" s="106" t="str">
        <f>IF(ISNUMBER(#REF!),#REF!, " ")</f>
        <v xml:space="preserve"> </v>
      </c>
      <c r="G168" s="106" t="str">
        <f>IF(ISNUMBER(#REF!),#REF!, " ")</f>
        <v xml:space="preserve"> </v>
      </c>
      <c r="H168" s="106" t="str">
        <f>IF(ISNUMBER(#REF!),#REF!, " ")</f>
        <v xml:space="preserve"> </v>
      </c>
      <c r="I168" s="106" t="str">
        <f>IF(ISNUMBER(#REF!),#REF!, " ")</f>
        <v xml:space="preserve"> </v>
      </c>
      <c r="J168" s="106" t="str">
        <f>IF(ISNUMBER(#REF!),#REF!, " ")</f>
        <v xml:space="preserve"> </v>
      </c>
      <c r="K168" s="106" t="str">
        <f>IF(ISNUMBER(#REF!),#REF!, " ")</f>
        <v xml:space="preserve"> </v>
      </c>
      <c r="L168" s="106" t="str">
        <f>IF(ISNUMBER(#REF!),#REF!, " ")</f>
        <v xml:space="preserve"> </v>
      </c>
      <c r="M168" s="106" t="str">
        <f>IF(ISNUMBER(#REF!),#REF!, " ")</f>
        <v xml:space="preserve"> </v>
      </c>
      <c r="N168" s="106" t="str">
        <f>IF(ISNUMBER(#REF!),#REF!, " ")</f>
        <v xml:space="preserve"> </v>
      </c>
    </row>
    <row r="169" spans="1:14" ht="17.45" customHeight="1">
      <c r="B169" s="105" t="s">
        <v>98</v>
      </c>
      <c r="C169" s="106" t="str">
        <f>IF(ISNUMBER(#REF!),#REF!, " ")</f>
        <v xml:space="preserve"> </v>
      </c>
      <c r="D169" s="106" t="str">
        <f>IF(ISNUMBER(#REF!),#REF!, " ")</f>
        <v xml:space="preserve"> </v>
      </c>
      <c r="E169" s="106" t="str">
        <f>IF(ISNUMBER(#REF!),#REF!, " ")</f>
        <v xml:space="preserve"> </v>
      </c>
      <c r="F169" s="106" t="str">
        <f>IF(ISNUMBER(#REF!),#REF!, " ")</f>
        <v xml:space="preserve"> </v>
      </c>
      <c r="G169" s="106" t="str">
        <f>IF(ISNUMBER(#REF!),#REF!, " ")</f>
        <v xml:space="preserve"> </v>
      </c>
      <c r="H169" s="106" t="str">
        <f>IF(ISNUMBER(#REF!),#REF!, " ")</f>
        <v xml:space="preserve"> </v>
      </c>
      <c r="I169" s="106" t="str">
        <f>IF(ISNUMBER(#REF!),#REF!, " ")</f>
        <v xml:space="preserve"> </v>
      </c>
      <c r="J169" s="106" t="str">
        <f>IF(ISNUMBER(#REF!),#REF!, " ")</f>
        <v xml:space="preserve"> </v>
      </c>
      <c r="K169" s="106" t="str">
        <f>IF(ISNUMBER(#REF!),#REF!, " ")</f>
        <v xml:space="preserve"> </v>
      </c>
      <c r="L169" s="106" t="str">
        <f>IF(ISNUMBER(#REF!),#REF!, " ")</f>
        <v xml:space="preserve"> </v>
      </c>
      <c r="M169" s="106" t="str">
        <f>IF(ISNUMBER(#REF!),#REF!, " ")</f>
        <v xml:space="preserve"> </v>
      </c>
      <c r="N169" s="106" t="str">
        <f>IF(ISNUMBER(#REF!),#REF!, " ")</f>
        <v xml:space="preserve"> </v>
      </c>
    </row>
    <row r="170" spans="1:14" ht="17.45" customHeight="1" thickBot="1">
      <c r="B170" s="105" t="s">
        <v>99</v>
      </c>
      <c r="C170" s="106" t="str">
        <f>IF(ISNUMBER(#REF!),#REF!, " ")</f>
        <v xml:space="preserve"> </v>
      </c>
      <c r="D170" s="106" t="str">
        <f>IF(ISNUMBER(#REF!),#REF!, " ")</f>
        <v xml:space="preserve"> </v>
      </c>
      <c r="E170" s="106" t="str">
        <f>IF(ISNUMBER(#REF!),#REF!, " ")</f>
        <v xml:space="preserve"> </v>
      </c>
      <c r="F170" s="106" t="str">
        <f>IF(ISNUMBER(#REF!),#REF!, " ")</f>
        <v xml:space="preserve"> </v>
      </c>
      <c r="G170" s="106" t="str">
        <f>IF(ISNUMBER(#REF!),#REF!, " ")</f>
        <v xml:space="preserve"> </v>
      </c>
      <c r="H170" s="106" t="str">
        <f>IF(ISNUMBER(#REF!),#REF!, " ")</f>
        <v xml:space="preserve"> </v>
      </c>
      <c r="I170" s="106" t="str">
        <f>IF(ISNUMBER(#REF!),#REF!, " ")</f>
        <v xml:space="preserve"> </v>
      </c>
      <c r="J170" s="106" t="str">
        <f>IF(ISNUMBER(#REF!),#REF!, " ")</f>
        <v xml:space="preserve"> </v>
      </c>
      <c r="K170" s="106" t="str">
        <f>IF(ISNUMBER(#REF!),#REF!, " ")</f>
        <v xml:space="preserve"> </v>
      </c>
      <c r="L170" s="106" t="str">
        <f>IF(ISNUMBER(#REF!),#REF!, " ")</f>
        <v xml:space="preserve"> </v>
      </c>
      <c r="M170" s="106" t="str">
        <f>IF(ISNUMBER(#REF!),#REF!, " ")</f>
        <v xml:space="preserve"> </v>
      </c>
      <c r="N170" s="106" t="str">
        <f>IF(ISNUMBER(#REF!),#REF!, " ")</f>
        <v xml:space="preserve"> </v>
      </c>
    </row>
    <row r="171" spans="1:14" ht="24.95" customHeight="1" thickBot="1">
      <c r="A171" s="150"/>
      <c r="B171" s="96" t="s">
        <v>84</v>
      </c>
      <c r="C171"/>
      <c r="D171" s="94" t="s">
        <v>100</v>
      </c>
      <c r="E171"/>
      <c r="F171"/>
      <c r="G171" s="142" t="s">
        <v>89</v>
      </c>
      <c r="H171" s="185"/>
      <c r="I171"/>
      <c r="J171"/>
    </row>
    <row r="172" spans="1:14" ht="24.95" customHeight="1">
      <c r="A172"/>
      <c r="B172"/>
      <c r="C172"/>
      <c r="D172" s="107" t="s">
        <v>101</v>
      </c>
      <c r="E172" s="301" t="str">
        <f>IF($H$171&gt;0,CONCATENATE($H$171," cycles"),"___cycles")</f>
        <v>___cycles</v>
      </c>
      <c r="F172"/>
      <c r="G172"/>
      <c r="H172"/>
      <c r="I172"/>
      <c r="J172" s="125" t="s">
        <v>186</v>
      </c>
    </row>
    <row r="173" spans="1:14" ht="24.95" customHeight="1">
      <c r="A173"/>
      <c r="B173"/>
      <c r="C173"/>
      <c r="D173" s="107" t="s">
        <v>102</v>
      </c>
      <c r="E173" s="302"/>
      <c r="F173"/>
      <c r="G173"/>
      <c r="H173"/>
      <c r="I173"/>
      <c r="J173"/>
    </row>
    <row r="174" spans="1:14" ht="24.95" customHeight="1">
      <c r="A174"/>
      <c r="B174"/>
      <c r="C174"/>
      <c r="D174" s="107" t="s">
        <v>103</v>
      </c>
      <c r="E174" s="303"/>
      <c r="F174"/>
      <c r="G174"/>
      <c r="H174"/>
      <c r="I174"/>
      <c r="J174"/>
    </row>
    <row r="175" spans="1:14" ht="24.95" customHeight="1" thickBot="1">
      <c r="A175"/>
      <c r="B175"/>
      <c r="C175"/>
      <c r="D175" s="94" t="s">
        <v>104</v>
      </c>
      <c r="E175"/>
      <c r="F175"/>
      <c r="G175"/>
      <c r="H175"/>
      <c r="I175"/>
      <c r="J175"/>
    </row>
    <row r="176" spans="1:14" ht="24.95" customHeight="1" thickBot="1">
      <c r="A176" s="150"/>
      <c r="B176" s="123" t="s">
        <v>187</v>
      </c>
      <c r="C176" s="122"/>
      <c r="D176" s="122"/>
      <c r="E176" s="122"/>
      <c r="F176" s="122"/>
      <c r="G176" s="122"/>
      <c r="H176" s="122"/>
      <c r="I176" s="122"/>
      <c r="J176"/>
      <c r="K176" s="103"/>
    </row>
    <row r="177" spans="1:13" ht="26.25" customHeight="1" thickBot="1">
      <c r="A177" s="188"/>
      <c r="B177" s="310" t="s">
        <v>106</v>
      </c>
      <c r="C177" s="311"/>
      <c r="D177" s="311"/>
      <c r="E177" s="311"/>
      <c r="F177" s="311"/>
      <c r="G177" s="311"/>
      <c r="H177" s="311"/>
      <c r="I177" s="311"/>
      <c r="J177" s="311"/>
      <c r="K177" s="311"/>
      <c r="L177" s="311"/>
      <c r="M177" s="312"/>
    </row>
    <row r="178" spans="1:13" ht="26.25" customHeight="1" thickBot="1">
      <c r="A178" s="175"/>
      <c r="B178" s="96" t="s">
        <v>107</v>
      </c>
      <c r="C178" s="151"/>
      <c r="E178" s="135" t="s">
        <v>108</v>
      </c>
      <c r="F178" s="135" t="s">
        <v>109</v>
      </c>
      <c r="H178" s="135" t="s">
        <v>108</v>
      </c>
      <c r="I178" s="135" t="s">
        <v>109</v>
      </c>
    </row>
    <row r="179" spans="1:13" ht="26.25" customHeight="1">
      <c r="A179" s="179"/>
      <c r="B179" s="96"/>
      <c r="C179" s="151"/>
      <c r="E179" s="109"/>
      <c r="F179" s="98"/>
      <c r="H179" s="109"/>
      <c r="I179" s="98"/>
    </row>
    <row r="180" spans="1:13" ht="26.25" customHeight="1" thickBot="1">
      <c r="A180" s="179"/>
      <c r="B180" s="96"/>
      <c r="C180" s="151"/>
      <c r="E180" s="156"/>
      <c r="F180" s="156"/>
      <c r="H180" s="156"/>
      <c r="I180" s="156"/>
    </row>
    <row r="181" spans="1:13" ht="26.25" customHeight="1" thickBot="1">
      <c r="A181" s="175"/>
      <c r="B181" s="151" t="s">
        <v>110</v>
      </c>
      <c r="C181"/>
      <c r="D181"/>
      <c r="E181"/>
    </row>
    <row r="182" spans="1:13" ht="26.25" customHeight="1">
      <c r="A182" s="179"/>
      <c r="B182" s="151"/>
      <c r="C182" t="s">
        <v>1303</v>
      </c>
      <c r="D182"/>
      <c r="E182"/>
    </row>
    <row r="183" spans="1:13" s="179" customFormat="1" ht="52.5" customHeight="1">
      <c r="D183" s="279" t="s">
        <v>1304</v>
      </c>
      <c r="E183" s="280" t="s">
        <v>1328</v>
      </c>
      <c r="F183" s="279" t="s">
        <v>1308</v>
      </c>
      <c r="G183" s="280" t="s">
        <v>1332</v>
      </c>
      <c r="H183" s="279" t="s">
        <v>1312</v>
      </c>
      <c r="I183" s="280" t="s">
        <v>1320</v>
      </c>
      <c r="J183" s="313" t="s">
        <v>1313</v>
      </c>
      <c r="K183" s="313"/>
      <c r="L183" s="280" t="s">
        <v>1324</v>
      </c>
    </row>
    <row r="184" spans="1:13" s="179" customFormat="1" ht="52.5" customHeight="1">
      <c r="D184" s="279" t="s">
        <v>1305</v>
      </c>
      <c r="E184" s="280" t="s">
        <v>1329</v>
      </c>
      <c r="F184" s="279" t="s">
        <v>1309</v>
      </c>
      <c r="G184" s="280" t="s">
        <v>1333</v>
      </c>
      <c r="H184" s="279" t="s">
        <v>1314</v>
      </c>
      <c r="I184" s="280" t="s">
        <v>1321</v>
      </c>
      <c r="J184" s="313" t="s">
        <v>1315</v>
      </c>
      <c r="K184" s="313"/>
      <c r="L184" s="280" t="s">
        <v>1325</v>
      </c>
    </row>
    <row r="185" spans="1:13" s="179" customFormat="1" ht="52.5" customHeight="1">
      <c r="D185" s="279" t="s">
        <v>1306</v>
      </c>
      <c r="E185" s="280" t="s">
        <v>1330</v>
      </c>
      <c r="F185" s="279" t="s">
        <v>1310</v>
      </c>
      <c r="G185" s="280" t="s">
        <v>1334</v>
      </c>
      <c r="H185" s="279" t="s">
        <v>1316</v>
      </c>
      <c r="I185" s="280" t="s">
        <v>1322</v>
      </c>
      <c r="J185" s="313" t="s">
        <v>1317</v>
      </c>
      <c r="K185" s="313"/>
      <c r="L185" s="280" t="s">
        <v>1326</v>
      </c>
    </row>
    <row r="186" spans="1:13" s="179" customFormat="1" ht="52.5" customHeight="1">
      <c r="D186" s="279" t="s">
        <v>1307</v>
      </c>
      <c r="E186" s="280" t="s">
        <v>1331</v>
      </c>
      <c r="F186" s="279" t="s">
        <v>1311</v>
      </c>
      <c r="G186" s="280" t="s">
        <v>1335</v>
      </c>
      <c r="H186" s="279" t="s">
        <v>1318</v>
      </c>
      <c r="I186" s="280" t="s">
        <v>1323</v>
      </c>
      <c r="J186" s="314" t="s">
        <v>1319</v>
      </c>
      <c r="K186" s="314"/>
      <c r="L186" s="280" t="s">
        <v>1327</v>
      </c>
    </row>
    <row r="187" spans="1:13" ht="25.5" customHeight="1">
      <c r="A187" s="179"/>
      <c r="C187" s="294" t="s">
        <v>112</v>
      </c>
      <c r="D187" s="294"/>
      <c r="E187" s="294"/>
      <c r="F187" s="294"/>
      <c r="G187" s="294"/>
      <c r="H187" s="294"/>
      <c r="I187" s="294"/>
      <c r="J187" s="294"/>
      <c r="K187" s="308" t="s">
        <v>113</v>
      </c>
      <c r="L187" s="308"/>
    </row>
    <row r="188" spans="1:13" ht="26.25" customHeight="1">
      <c r="A188" s="179"/>
      <c r="C188" s="294" t="s">
        <v>166</v>
      </c>
      <c r="D188" s="294"/>
      <c r="E188" s="294"/>
      <c r="F188" s="294"/>
      <c r="G188" s="294"/>
      <c r="H188" s="294"/>
      <c r="I188" s="294"/>
      <c r="J188" s="294"/>
      <c r="K188" s="308" t="s">
        <v>165</v>
      </c>
      <c r="L188" s="308"/>
    </row>
    <row r="189" spans="1:13" ht="26.25" customHeight="1">
      <c r="A189" s="179"/>
      <c r="C189" s="294" t="s">
        <v>490</v>
      </c>
      <c r="D189" s="294"/>
      <c r="E189" s="294"/>
      <c r="F189" s="294"/>
      <c r="G189" s="294"/>
      <c r="H189" s="294"/>
      <c r="I189" s="294"/>
      <c r="J189" s="294"/>
      <c r="K189" s="308" t="s">
        <v>491</v>
      </c>
      <c r="L189" s="308"/>
    </row>
    <row r="190" spans="1:13" ht="26.25" customHeight="1">
      <c r="A190" s="179"/>
      <c r="C190" s="294" t="s">
        <v>492</v>
      </c>
      <c r="D190" s="294"/>
      <c r="E190" s="294"/>
      <c r="F190" s="294"/>
      <c r="G190" s="294"/>
      <c r="H190" s="294"/>
      <c r="I190" s="294"/>
      <c r="J190" s="294"/>
      <c r="K190" s="308" t="s">
        <v>493</v>
      </c>
      <c r="L190" s="308"/>
    </row>
    <row r="191" spans="1:13" ht="26.25" customHeight="1">
      <c r="A191" s="179"/>
      <c r="C191" s="294" t="s">
        <v>494</v>
      </c>
      <c r="D191" s="294"/>
      <c r="E191" s="294"/>
      <c r="F191" s="294"/>
      <c r="G191" s="294"/>
      <c r="H191" s="294"/>
      <c r="I191" s="294"/>
      <c r="J191" s="294"/>
      <c r="K191" s="308" t="s">
        <v>495</v>
      </c>
      <c r="L191" s="308"/>
    </row>
    <row r="192" spans="1:13" ht="31.5" customHeight="1">
      <c r="A192" s="179"/>
      <c r="C192" s="294" t="s">
        <v>496</v>
      </c>
      <c r="D192" s="294"/>
      <c r="E192" s="294"/>
      <c r="F192" s="294"/>
      <c r="G192" s="294"/>
      <c r="H192" s="294"/>
      <c r="I192" s="294"/>
      <c r="J192" s="294"/>
      <c r="K192" s="309" t="s">
        <v>497</v>
      </c>
      <c r="L192" s="309"/>
    </row>
    <row r="193" spans="1:12" ht="31.5" customHeight="1">
      <c r="A193" s="179"/>
      <c r="C193" s="294" t="s">
        <v>498</v>
      </c>
      <c r="D193" s="294"/>
      <c r="E193" s="294"/>
      <c r="F193" s="294"/>
      <c r="G193" s="294"/>
      <c r="H193" s="294"/>
      <c r="I193" s="294"/>
      <c r="J193" s="294"/>
      <c r="K193" s="309" t="s">
        <v>499</v>
      </c>
      <c r="L193" s="309"/>
    </row>
    <row r="194" spans="1:12" ht="31.5" customHeight="1">
      <c r="A194" s="179"/>
      <c r="C194" s="294" t="s">
        <v>500</v>
      </c>
      <c r="D194" s="294"/>
      <c r="E194" s="294"/>
      <c r="F194" s="294"/>
      <c r="G194" s="294"/>
      <c r="H194" s="294"/>
      <c r="I194" s="294"/>
      <c r="J194" s="294"/>
      <c r="K194" s="309" t="s">
        <v>501</v>
      </c>
      <c r="L194" s="309"/>
    </row>
    <row r="195" spans="1:12" ht="31.5" customHeight="1">
      <c r="A195" s="179"/>
      <c r="C195" s="294" t="s">
        <v>502</v>
      </c>
      <c r="D195" s="294"/>
      <c r="E195" s="294"/>
      <c r="F195" s="294"/>
      <c r="G195" s="294"/>
      <c r="H195" s="294"/>
      <c r="I195" s="294"/>
      <c r="J195" s="294"/>
      <c r="K195" s="308" t="s">
        <v>503</v>
      </c>
      <c r="L195" s="308"/>
    </row>
    <row r="196" spans="1:12" ht="31.5" customHeight="1">
      <c r="A196" s="179"/>
      <c r="C196" s="294" t="s">
        <v>504</v>
      </c>
      <c r="D196" s="294"/>
      <c r="E196" s="294"/>
      <c r="F196" s="294"/>
      <c r="G196" s="294"/>
      <c r="H196" s="294"/>
      <c r="I196" s="294"/>
      <c r="J196" s="294"/>
      <c r="K196" s="308" t="s">
        <v>503</v>
      </c>
      <c r="L196" s="308"/>
    </row>
    <row r="199" spans="1:12" ht="26.25" customHeight="1">
      <c r="C199" s="308" t="s">
        <v>114</v>
      </c>
      <c r="D199" s="308"/>
      <c r="E199" s="308"/>
      <c r="F199" s="281" t="s">
        <v>505</v>
      </c>
      <c r="G199" s="282"/>
      <c r="H199" s="282"/>
      <c r="I199" s="283"/>
    </row>
    <row r="200" spans="1:12" ht="26.25" customHeight="1">
      <c r="C200" s="295" t="s">
        <v>115</v>
      </c>
      <c r="D200" s="295"/>
      <c r="E200" s="295"/>
      <c r="F200" s="281" t="s">
        <v>116</v>
      </c>
      <c r="G200" s="282"/>
      <c r="H200" s="282"/>
      <c r="I200" s="283"/>
    </row>
    <row r="201" spans="1:12" ht="26.25" customHeight="1">
      <c r="C201" s="295" t="s">
        <v>117</v>
      </c>
      <c r="D201" s="295"/>
      <c r="E201" s="295"/>
      <c r="F201" s="281" t="s">
        <v>118</v>
      </c>
      <c r="G201" s="282"/>
      <c r="H201" s="282"/>
      <c r="I201" s="283"/>
    </row>
    <row r="202" spans="1:12" ht="30.75" customHeight="1">
      <c r="C202" s="281" t="s">
        <v>119</v>
      </c>
      <c r="D202" s="282"/>
      <c r="E202" s="283"/>
      <c r="F202" s="281" t="s">
        <v>506</v>
      </c>
      <c r="G202" s="282"/>
      <c r="H202" s="282"/>
      <c r="I202" s="283"/>
    </row>
    <row r="203" spans="1:12" ht="26.25" customHeight="1">
      <c r="C203" s="281" t="s">
        <v>120</v>
      </c>
      <c r="D203" s="282"/>
      <c r="E203" s="283"/>
      <c r="F203" s="281" t="s">
        <v>121</v>
      </c>
      <c r="G203" s="282"/>
      <c r="H203" s="282"/>
      <c r="I203" s="283"/>
    </row>
    <row r="204" spans="1:12" ht="26.25" customHeight="1">
      <c r="C204" s="281" t="s">
        <v>122</v>
      </c>
      <c r="D204" s="282"/>
      <c r="E204" s="283"/>
      <c r="F204" s="281" t="s">
        <v>486</v>
      </c>
      <c r="G204" s="282"/>
      <c r="H204" s="282"/>
      <c r="I204" s="283"/>
    </row>
    <row r="205" spans="1:12" ht="26.25" customHeight="1">
      <c r="C205" s="281" t="s">
        <v>123</v>
      </c>
      <c r="D205" s="282"/>
      <c r="E205" s="283"/>
      <c r="F205" s="284">
        <v>20260615</v>
      </c>
      <c r="G205" s="285"/>
      <c r="H205" s="285"/>
      <c r="I205" s="286"/>
    </row>
    <row r="206" spans="1:12" ht="26.25" customHeight="1">
      <c r="C206" s="281" t="s">
        <v>124</v>
      </c>
      <c r="D206" s="282"/>
      <c r="E206" s="283"/>
      <c r="F206" s="284">
        <v>20260515</v>
      </c>
      <c r="G206" s="285"/>
      <c r="H206" s="285"/>
      <c r="I206" s="286"/>
    </row>
  </sheetData>
  <mergeCells count="106">
    <mergeCell ref="L5:M5"/>
    <mergeCell ref="C193:J193"/>
    <mergeCell ref="K193:L193"/>
    <mergeCell ref="C194:J194"/>
    <mergeCell ref="K194:L194"/>
    <mergeCell ref="C195:J195"/>
    <mergeCell ref="K195:L195"/>
    <mergeCell ref="I10:K12"/>
    <mergeCell ref="A9:D9"/>
    <mergeCell ref="E9:G9"/>
    <mergeCell ref="E12:G12"/>
    <mergeCell ref="A13:D13"/>
    <mergeCell ref="G13:I13"/>
    <mergeCell ref="B14:M14"/>
    <mergeCell ref="F17:G17"/>
    <mergeCell ref="F18:G18"/>
    <mergeCell ref="E10:G10"/>
    <mergeCell ref="A11:D11"/>
    <mergeCell ref="E11:G11"/>
    <mergeCell ref="A12:D12"/>
    <mergeCell ref="F19:G19"/>
    <mergeCell ref="B32:M32"/>
    <mergeCell ref="G116:H116"/>
    <mergeCell ref="M111:R111"/>
    <mergeCell ref="C1:J1"/>
    <mergeCell ref="A2:D2"/>
    <mergeCell ref="E2:G2"/>
    <mergeCell ref="A3:D3"/>
    <mergeCell ref="E3:G3"/>
    <mergeCell ref="A5:D5"/>
    <mergeCell ref="E5:G5"/>
    <mergeCell ref="I5:J5"/>
    <mergeCell ref="A10:D10"/>
    <mergeCell ref="A4:D4"/>
    <mergeCell ref="E4:G4"/>
    <mergeCell ref="A6:D6"/>
    <mergeCell ref="E6:G6"/>
    <mergeCell ref="A7:D7"/>
    <mergeCell ref="E7:G7"/>
    <mergeCell ref="A8:D8"/>
    <mergeCell ref="E8:G8"/>
    <mergeCell ref="C150:D150"/>
    <mergeCell ref="B118:M118"/>
    <mergeCell ref="B154:M154"/>
    <mergeCell ref="L38:M38"/>
    <mergeCell ref="K55:N55"/>
    <mergeCell ref="B56:M56"/>
    <mergeCell ref="G113:H113"/>
    <mergeCell ref="G114:H114"/>
    <mergeCell ref="N154:Q155"/>
    <mergeCell ref="N38:O38"/>
    <mergeCell ref="J39:K39"/>
    <mergeCell ref="L39:M39"/>
    <mergeCell ref="N39:O39"/>
    <mergeCell ref="J45:K45"/>
    <mergeCell ref="L45:M45"/>
    <mergeCell ref="G115:H115"/>
    <mergeCell ref="J38:K38"/>
    <mergeCell ref="C149:D149"/>
    <mergeCell ref="C156:D156"/>
    <mergeCell ref="C157:D157"/>
    <mergeCell ref="E172:E174"/>
    <mergeCell ref="C187:J187"/>
    <mergeCell ref="K187:L187"/>
    <mergeCell ref="K191:L191"/>
    <mergeCell ref="C192:J192"/>
    <mergeCell ref="C199:E199"/>
    <mergeCell ref="F199:I199"/>
    <mergeCell ref="C188:J188"/>
    <mergeCell ref="K188:L188"/>
    <mergeCell ref="C189:J189"/>
    <mergeCell ref="K189:L189"/>
    <mergeCell ref="C190:J190"/>
    <mergeCell ref="K190:L190"/>
    <mergeCell ref="K192:L192"/>
    <mergeCell ref="B177:M177"/>
    <mergeCell ref="C196:J196"/>
    <mergeCell ref="K196:L196"/>
    <mergeCell ref="J183:K183"/>
    <mergeCell ref="J184:K184"/>
    <mergeCell ref="J185:K185"/>
    <mergeCell ref="J186:K186"/>
    <mergeCell ref="C206:E206"/>
    <mergeCell ref="F206:I206"/>
    <mergeCell ref="I6:J6"/>
    <mergeCell ref="B78:M78"/>
    <mergeCell ref="B75:M75"/>
    <mergeCell ref="B110:L110"/>
    <mergeCell ref="B111:L111"/>
    <mergeCell ref="C202:E202"/>
    <mergeCell ref="F202:I202"/>
    <mergeCell ref="C203:E203"/>
    <mergeCell ref="F203:I203"/>
    <mergeCell ref="C204:E204"/>
    <mergeCell ref="F204:I204"/>
    <mergeCell ref="C205:E205"/>
    <mergeCell ref="F205:I205"/>
    <mergeCell ref="C191:J191"/>
    <mergeCell ref="C201:E201"/>
    <mergeCell ref="F201:I201"/>
    <mergeCell ref="C200:E200"/>
    <mergeCell ref="F200:I200"/>
    <mergeCell ref="G117:H117"/>
    <mergeCell ref="B134:M134"/>
    <mergeCell ref="E143:E145"/>
    <mergeCell ref="C148:D148"/>
  </mergeCells>
  <conditionalFormatting sqref="D39:D42">
    <cfRule type="iconSet" priority="1">
      <iconSet>
        <cfvo type="percent" val="0"/>
        <cfvo type="percent" val="33"/>
        <cfvo type="percent" val="67"/>
      </iconSet>
    </cfRule>
  </conditionalFormatting>
  <conditionalFormatting sqref="D121:D123">
    <cfRule type="iconSet" priority="2">
      <iconSet>
        <cfvo type="percent" val="0"/>
        <cfvo type="percent" val="33"/>
        <cfvo type="percent" val="67"/>
      </iconSet>
    </cfRule>
  </conditionalFormatting>
  <conditionalFormatting sqref="D139:D140">
    <cfRule type="iconSet" priority="3">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61" r:id="rId4" name="Check Box 1">
              <controlPr defaultSize="0" autoFill="0" autoLine="0" autoPict="0">
                <anchor moveWithCells="1">
                  <from>
                    <xdr:col>0</xdr:col>
                    <xdr:colOff>38100</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40962" r:id="rId5" name="Check Box 2">
              <controlPr defaultSize="0" autoFill="0" autoLine="0" autoPict="0">
                <anchor moveWithCells="1">
                  <from>
                    <xdr:col>0</xdr:col>
                    <xdr:colOff>38100</xdr:colOff>
                    <xdr:row>134</xdr:row>
                    <xdr:rowOff>47625</xdr:rowOff>
                  </from>
                  <to>
                    <xdr:col>1</xdr:col>
                    <xdr:colOff>76200</xdr:colOff>
                    <xdr:row>134</xdr:row>
                    <xdr:rowOff>276225</xdr:rowOff>
                  </to>
                </anchor>
              </controlPr>
            </control>
          </mc:Choice>
        </mc:AlternateContent>
        <mc:AlternateContent xmlns:mc="http://schemas.openxmlformats.org/markup-compatibility/2006">
          <mc:Choice Requires="x14">
            <control shapeId="40963" r:id="rId6" name="Check Box 3">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40964" r:id="rId7" name="Check Box 4">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40965" r:id="rId8" name="Check Box 5">
              <controlPr defaultSize="0" autoFill="0" autoLine="0" autoPict="0">
                <anchor moveWithCells="1">
                  <from>
                    <xdr:col>0</xdr:col>
                    <xdr:colOff>38100</xdr:colOff>
                    <xdr:row>125</xdr:row>
                    <xdr:rowOff>47625</xdr:rowOff>
                  </from>
                  <to>
                    <xdr:col>1</xdr:col>
                    <xdr:colOff>76200</xdr:colOff>
                    <xdr:row>125</xdr:row>
                    <xdr:rowOff>276225</xdr:rowOff>
                  </to>
                </anchor>
              </controlPr>
            </control>
          </mc:Choice>
        </mc:AlternateContent>
        <mc:AlternateContent xmlns:mc="http://schemas.openxmlformats.org/markup-compatibility/2006">
          <mc:Choice Requires="x14">
            <control shapeId="40966" r:id="rId9" name="Check Box 6">
              <controlPr defaultSize="0" autoFill="0" autoLine="0" autoPict="0">
                <anchor moveWithCells="1">
                  <from>
                    <xdr:col>0</xdr:col>
                    <xdr:colOff>38100</xdr:colOff>
                    <xdr:row>124</xdr:row>
                    <xdr:rowOff>47625</xdr:rowOff>
                  </from>
                  <to>
                    <xdr:col>1</xdr:col>
                    <xdr:colOff>76200</xdr:colOff>
                    <xdr:row>124</xdr:row>
                    <xdr:rowOff>276225</xdr:rowOff>
                  </to>
                </anchor>
              </controlPr>
            </control>
          </mc:Choice>
        </mc:AlternateContent>
        <mc:AlternateContent xmlns:mc="http://schemas.openxmlformats.org/markup-compatibility/2006">
          <mc:Choice Requires="x14">
            <control shapeId="40967" r:id="rId10" name="Check Box 7">
              <controlPr defaultSize="0" autoFill="0" autoLine="0" autoPict="0">
                <anchor moveWithCells="1">
                  <from>
                    <xdr:col>0</xdr:col>
                    <xdr:colOff>38100</xdr:colOff>
                    <xdr:row>120</xdr:row>
                    <xdr:rowOff>47625</xdr:rowOff>
                  </from>
                  <to>
                    <xdr:col>1</xdr:col>
                    <xdr:colOff>76200</xdr:colOff>
                    <xdr:row>120</xdr:row>
                    <xdr:rowOff>276225</xdr:rowOff>
                  </to>
                </anchor>
              </controlPr>
            </control>
          </mc:Choice>
        </mc:AlternateContent>
        <mc:AlternateContent xmlns:mc="http://schemas.openxmlformats.org/markup-compatibility/2006">
          <mc:Choice Requires="x14">
            <control shapeId="40968" r:id="rId11" name="Check Box 8">
              <controlPr defaultSize="0" autoFill="0" autoLine="0" autoPict="0">
                <anchor moveWithCells="1">
                  <from>
                    <xdr:col>0</xdr:col>
                    <xdr:colOff>38100</xdr:colOff>
                    <xdr:row>118</xdr:row>
                    <xdr:rowOff>47625</xdr:rowOff>
                  </from>
                  <to>
                    <xdr:col>1</xdr:col>
                    <xdr:colOff>76200</xdr:colOff>
                    <xdr:row>118</xdr:row>
                    <xdr:rowOff>276225</xdr:rowOff>
                  </to>
                </anchor>
              </controlPr>
            </control>
          </mc:Choice>
        </mc:AlternateContent>
        <mc:AlternateContent xmlns:mc="http://schemas.openxmlformats.org/markup-compatibility/2006">
          <mc:Choice Requires="x14">
            <control shapeId="40969" r:id="rId12" name="Check Box 9">
              <controlPr defaultSize="0" autoFill="0" autoLine="0" autoPict="0">
                <anchor moveWithCells="1">
                  <from>
                    <xdr:col>0</xdr:col>
                    <xdr:colOff>38100</xdr:colOff>
                    <xdr:row>129</xdr:row>
                    <xdr:rowOff>47625</xdr:rowOff>
                  </from>
                  <to>
                    <xdr:col>1</xdr:col>
                    <xdr:colOff>76200</xdr:colOff>
                    <xdr:row>129</xdr:row>
                    <xdr:rowOff>276225</xdr:rowOff>
                  </to>
                </anchor>
              </controlPr>
            </control>
          </mc:Choice>
        </mc:AlternateContent>
        <mc:AlternateContent xmlns:mc="http://schemas.openxmlformats.org/markup-compatibility/2006">
          <mc:Choice Requires="x14">
            <control shapeId="40970" r:id="rId13" name="Check Box 10">
              <controlPr defaultSize="0" autoFill="0" autoLine="0" autoPict="0">
                <anchor moveWithCells="1">
                  <from>
                    <xdr:col>0</xdr:col>
                    <xdr:colOff>38100</xdr:colOff>
                    <xdr:row>136</xdr:row>
                    <xdr:rowOff>0</xdr:rowOff>
                  </from>
                  <to>
                    <xdr:col>1</xdr:col>
                    <xdr:colOff>76200</xdr:colOff>
                    <xdr:row>136</xdr:row>
                    <xdr:rowOff>228600</xdr:rowOff>
                  </to>
                </anchor>
              </controlPr>
            </control>
          </mc:Choice>
        </mc:AlternateContent>
        <mc:AlternateContent xmlns:mc="http://schemas.openxmlformats.org/markup-compatibility/2006">
          <mc:Choice Requires="x14">
            <control shapeId="40971" r:id="rId14" name="Check Box 11">
              <controlPr defaultSize="0" autoFill="0" autoLine="0" autoPict="0">
                <anchor moveWithCells="1">
                  <from>
                    <xdr:col>0</xdr:col>
                    <xdr:colOff>38100</xdr:colOff>
                    <xdr:row>146</xdr:row>
                    <xdr:rowOff>47625</xdr:rowOff>
                  </from>
                  <to>
                    <xdr:col>1</xdr:col>
                    <xdr:colOff>76200</xdr:colOff>
                    <xdr:row>146</xdr:row>
                    <xdr:rowOff>276225</xdr:rowOff>
                  </to>
                </anchor>
              </controlPr>
            </control>
          </mc:Choice>
        </mc:AlternateContent>
        <mc:AlternateContent xmlns:mc="http://schemas.openxmlformats.org/markup-compatibility/2006">
          <mc:Choice Requires="x14">
            <control shapeId="40972" r:id="rId15" name="Check Box 12">
              <controlPr defaultSize="0" autoFill="0" autoLine="0" autoPict="0">
                <anchor moveWithCells="1">
                  <from>
                    <xdr:col>0</xdr:col>
                    <xdr:colOff>38100</xdr:colOff>
                    <xdr:row>158</xdr:row>
                    <xdr:rowOff>38100</xdr:rowOff>
                  </from>
                  <to>
                    <xdr:col>1</xdr:col>
                    <xdr:colOff>85725</xdr:colOff>
                    <xdr:row>158</xdr:row>
                    <xdr:rowOff>266700</xdr:rowOff>
                  </to>
                </anchor>
              </controlPr>
            </control>
          </mc:Choice>
        </mc:AlternateContent>
        <mc:AlternateContent xmlns:mc="http://schemas.openxmlformats.org/markup-compatibility/2006">
          <mc:Choice Requires="x14">
            <control shapeId="40973" r:id="rId16" name="Check Box 13">
              <controlPr defaultSize="0" autoFill="0" autoLine="0" autoPict="0">
                <anchor moveWithCells="1">
                  <from>
                    <xdr:col>0</xdr:col>
                    <xdr:colOff>38100</xdr:colOff>
                    <xdr:row>159</xdr:row>
                    <xdr:rowOff>47625</xdr:rowOff>
                  </from>
                  <to>
                    <xdr:col>1</xdr:col>
                    <xdr:colOff>76200</xdr:colOff>
                    <xdr:row>159</xdr:row>
                    <xdr:rowOff>276225</xdr:rowOff>
                  </to>
                </anchor>
              </controlPr>
            </control>
          </mc:Choice>
        </mc:AlternateContent>
        <mc:AlternateContent xmlns:mc="http://schemas.openxmlformats.org/markup-compatibility/2006">
          <mc:Choice Requires="x14">
            <control shapeId="40974" r:id="rId17" name="Check Box 14">
              <controlPr defaultSize="0" autoFill="0" autoLine="0" autoPict="0">
                <anchor moveWithCells="1">
                  <from>
                    <xdr:col>0</xdr:col>
                    <xdr:colOff>38100</xdr:colOff>
                    <xdr:row>170</xdr:row>
                    <xdr:rowOff>47625</xdr:rowOff>
                  </from>
                  <to>
                    <xdr:col>1</xdr:col>
                    <xdr:colOff>76200</xdr:colOff>
                    <xdr:row>170</xdr:row>
                    <xdr:rowOff>276225</xdr:rowOff>
                  </to>
                </anchor>
              </controlPr>
            </control>
          </mc:Choice>
        </mc:AlternateContent>
        <mc:AlternateContent xmlns:mc="http://schemas.openxmlformats.org/markup-compatibility/2006">
          <mc:Choice Requires="x14">
            <control shapeId="40975" r:id="rId18" name="Check Box 15">
              <controlPr defaultSize="0" autoFill="0" autoLine="0" autoPict="0">
                <anchor moveWithCells="1">
                  <from>
                    <xdr:col>0</xdr:col>
                    <xdr:colOff>38100</xdr:colOff>
                    <xdr:row>175</xdr:row>
                    <xdr:rowOff>47625</xdr:rowOff>
                  </from>
                  <to>
                    <xdr:col>1</xdr:col>
                    <xdr:colOff>76200</xdr:colOff>
                    <xdr:row>175</xdr:row>
                    <xdr:rowOff>276225</xdr:rowOff>
                  </to>
                </anchor>
              </controlPr>
            </control>
          </mc:Choice>
        </mc:AlternateContent>
        <mc:AlternateContent xmlns:mc="http://schemas.openxmlformats.org/markup-compatibility/2006">
          <mc:Choice Requires="x14">
            <control shapeId="40976" r:id="rId19" name="Check Box 16">
              <controlPr defaultSize="0" autoFill="0" autoLine="0" autoPict="0">
                <anchor moveWithCells="1">
                  <from>
                    <xdr:col>0</xdr:col>
                    <xdr:colOff>38100</xdr:colOff>
                    <xdr:row>175</xdr:row>
                    <xdr:rowOff>47625</xdr:rowOff>
                  </from>
                  <to>
                    <xdr:col>1</xdr:col>
                    <xdr:colOff>76200</xdr:colOff>
                    <xdr:row>175</xdr:row>
                    <xdr:rowOff>276225</xdr:rowOff>
                  </to>
                </anchor>
              </controlPr>
            </control>
          </mc:Choice>
        </mc:AlternateContent>
        <mc:AlternateContent xmlns:mc="http://schemas.openxmlformats.org/markup-compatibility/2006">
          <mc:Choice Requires="x14">
            <control shapeId="40977" r:id="rId20" name="Check Box 17">
              <controlPr defaultSize="0" autoFill="0" autoLine="0" autoPict="0">
                <anchor moveWithCells="1">
                  <from>
                    <xdr:col>0</xdr:col>
                    <xdr:colOff>38100</xdr:colOff>
                    <xdr:row>160</xdr:row>
                    <xdr:rowOff>47625</xdr:rowOff>
                  </from>
                  <to>
                    <xdr:col>1</xdr:col>
                    <xdr:colOff>76200</xdr:colOff>
                    <xdr:row>160</xdr:row>
                    <xdr:rowOff>304800</xdr:rowOff>
                  </to>
                </anchor>
              </controlPr>
            </control>
          </mc:Choice>
        </mc:AlternateContent>
        <mc:AlternateContent xmlns:mc="http://schemas.openxmlformats.org/markup-compatibility/2006">
          <mc:Choice Requires="x14">
            <control shapeId="40978" r:id="rId21" name="Check Box 18">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40979" r:id="rId22" name="Check Box 19">
              <controlPr defaultSize="0" autoFill="0" autoLine="0" autoPict="0">
                <anchor moveWithCells="1">
                  <from>
                    <xdr:col>0</xdr:col>
                    <xdr:colOff>38100</xdr:colOff>
                    <xdr:row>177</xdr:row>
                    <xdr:rowOff>0</xdr:rowOff>
                  </from>
                  <to>
                    <xdr:col>1</xdr:col>
                    <xdr:colOff>76200</xdr:colOff>
                    <xdr:row>178</xdr:row>
                    <xdr:rowOff>66675</xdr:rowOff>
                  </to>
                </anchor>
              </controlPr>
            </control>
          </mc:Choice>
        </mc:AlternateContent>
        <mc:AlternateContent xmlns:mc="http://schemas.openxmlformats.org/markup-compatibility/2006">
          <mc:Choice Requires="x14">
            <control shapeId="40980" r:id="rId23" name="Check Box 20">
              <controlPr defaultSize="0" autoFill="0" autoLine="0" autoPict="0">
                <anchor moveWithCells="1">
                  <from>
                    <xdr:col>0</xdr:col>
                    <xdr:colOff>38100</xdr:colOff>
                    <xdr:row>179</xdr:row>
                    <xdr:rowOff>304800</xdr:rowOff>
                  </from>
                  <to>
                    <xdr:col>1</xdr:col>
                    <xdr:colOff>76200</xdr:colOff>
                    <xdr:row>181</xdr:row>
                    <xdr:rowOff>38100</xdr:rowOff>
                  </to>
                </anchor>
              </controlPr>
            </control>
          </mc:Choice>
        </mc:AlternateContent>
        <mc:AlternateContent xmlns:mc="http://schemas.openxmlformats.org/markup-compatibility/2006">
          <mc:Choice Requires="x14">
            <control shapeId="40981" r:id="rId24" name="Check Box 21">
              <controlPr defaultSize="0" autoFill="0" autoLine="0" autoPict="0">
                <anchor moveWithCells="1">
                  <from>
                    <xdr:col>0</xdr:col>
                    <xdr:colOff>38100</xdr:colOff>
                    <xdr:row>132</xdr:row>
                    <xdr:rowOff>47625</xdr:rowOff>
                  </from>
                  <to>
                    <xdr:col>1</xdr:col>
                    <xdr:colOff>76200</xdr:colOff>
                    <xdr:row>132</xdr:row>
                    <xdr:rowOff>276225</xdr:rowOff>
                  </to>
                </anchor>
              </controlPr>
            </control>
          </mc:Choice>
        </mc:AlternateContent>
        <mc:AlternateContent xmlns:mc="http://schemas.openxmlformats.org/markup-compatibility/2006">
          <mc:Choice Requires="x14">
            <control shapeId="40982" r:id="rId25" name="Check Box 22">
              <controlPr defaultSize="0" autoFill="0" autoLine="0" autoPict="0">
                <anchor moveWithCells="1">
                  <from>
                    <xdr:col>0</xdr:col>
                    <xdr:colOff>38100</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40983" r:id="rId26" name="Check Box 23">
              <controlPr defaultSize="0" autoFill="0" autoLine="0" autoPict="0">
                <anchor moveWithCells="1">
                  <from>
                    <xdr:col>0</xdr:col>
                    <xdr:colOff>38100</xdr:colOff>
                    <xdr:row>141</xdr:row>
                    <xdr:rowOff>47625</xdr:rowOff>
                  </from>
                  <to>
                    <xdr:col>1</xdr:col>
                    <xdr:colOff>76200</xdr:colOff>
                    <xdr:row>141</xdr:row>
                    <xdr:rowOff>276225</xdr:rowOff>
                  </to>
                </anchor>
              </controlPr>
            </control>
          </mc:Choice>
        </mc:AlternateContent>
        <mc:AlternateContent xmlns:mc="http://schemas.openxmlformats.org/markup-compatibility/2006">
          <mc:Choice Requires="x14">
            <control shapeId="40984" r:id="rId27" name="Check Box 24">
              <controlPr defaultSize="0" autoFill="0" autoLine="0" autoPict="0">
                <anchor moveWithCells="1">
                  <from>
                    <xdr:col>0</xdr:col>
                    <xdr:colOff>38100</xdr:colOff>
                    <xdr:row>151</xdr:row>
                    <xdr:rowOff>47625</xdr:rowOff>
                  </from>
                  <to>
                    <xdr:col>1</xdr:col>
                    <xdr:colOff>76200</xdr:colOff>
                    <xdr:row>151</xdr:row>
                    <xdr:rowOff>276225</xdr:rowOff>
                  </to>
                </anchor>
              </controlPr>
            </control>
          </mc:Choice>
        </mc:AlternateContent>
        <mc:AlternateContent xmlns:mc="http://schemas.openxmlformats.org/markup-compatibility/2006">
          <mc:Choice Requires="x14">
            <control shapeId="40985" r:id="rId28" name="Check Box 25">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40986" r:id="rId29" name="Check Box 26">
              <controlPr defaultSize="0" autoFill="0" autoLine="0" autoPict="0">
                <anchor moveWithCells="1">
                  <from>
                    <xdr:col>0</xdr:col>
                    <xdr:colOff>38100</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40987" r:id="rId30" name="Check Box 27">
              <controlPr defaultSize="0" autoFill="0" autoLine="0" autoPict="0">
                <anchor moveWithCells="1">
                  <from>
                    <xdr:col>0</xdr:col>
                    <xdr:colOff>38100</xdr:colOff>
                    <xdr:row>109</xdr:row>
                    <xdr:rowOff>47625</xdr:rowOff>
                  </from>
                  <to>
                    <xdr:col>1</xdr:col>
                    <xdr:colOff>76200</xdr:colOff>
                    <xdr:row>109</xdr:row>
                    <xdr:rowOff>276225</xdr:rowOff>
                  </to>
                </anchor>
              </controlPr>
            </control>
          </mc:Choice>
        </mc:AlternateContent>
        <mc:AlternateContent xmlns:mc="http://schemas.openxmlformats.org/markup-compatibility/2006">
          <mc:Choice Requires="x14">
            <control shapeId="40988" r:id="rId31" name="Check Box 28">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40989" r:id="rId32" name="Check Box 29">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40990" r:id="rId33" name="Check Box 30">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40991" r:id="rId34" name="Check Box 31">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40992" r:id="rId35" name="Check Box 32">
              <controlPr defaultSize="0" autoFill="0" autoLine="0" autoPict="0">
                <anchor moveWithCells="1">
                  <from>
                    <xdr:col>0</xdr:col>
                    <xdr:colOff>38100</xdr:colOff>
                    <xdr:row>100</xdr:row>
                    <xdr:rowOff>47625</xdr:rowOff>
                  </from>
                  <to>
                    <xdr:col>1</xdr:col>
                    <xdr:colOff>76200</xdr:colOff>
                    <xdr:row>100</xdr:row>
                    <xdr:rowOff>276225</xdr:rowOff>
                  </to>
                </anchor>
              </controlPr>
            </control>
          </mc:Choice>
        </mc:AlternateContent>
        <mc:AlternateContent xmlns:mc="http://schemas.openxmlformats.org/markup-compatibility/2006">
          <mc:Choice Requires="x14">
            <control shapeId="40997" r:id="rId36" name="Check Box 37">
              <controlPr defaultSize="0" autoFill="0" autoLine="0" autoPict="0">
                <anchor moveWithCells="1">
                  <from>
                    <xdr:col>0</xdr:col>
                    <xdr:colOff>38100</xdr:colOff>
                    <xdr:row>43</xdr:row>
                    <xdr:rowOff>47625</xdr:rowOff>
                  </from>
                  <to>
                    <xdr:col>1</xdr:col>
                    <xdr:colOff>76200</xdr:colOff>
                    <xdr:row>43</xdr:row>
                    <xdr:rowOff>276225</xdr:rowOff>
                  </to>
                </anchor>
              </controlPr>
            </control>
          </mc:Choice>
        </mc:AlternateContent>
        <mc:AlternateContent xmlns:mc="http://schemas.openxmlformats.org/markup-compatibility/2006">
          <mc:Choice Requires="x14">
            <control shapeId="40998" r:id="rId37" name="Check Box 3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40999" r:id="rId38" name="Check Box 39">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41000" r:id="rId39" name="Check Box 40">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41001" r:id="rId40" name="Check Box 41">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41002" r:id="rId41" name="Check Box 42">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41003" r:id="rId42" name="Check Box 43">
              <controlPr defaultSize="0" autoFill="0" autoLine="0" autoPict="0">
                <anchor moveWithCells="1">
                  <from>
                    <xdr:col>0</xdr:col>
                    <xdr:colOff>38100</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41004" r:id="rId43" name="Check Box 44">
              <controlPr defaultSize="0" autoFill="0" autoLine="0" autoPict="0">
                <anchor moveWithCells="1">
                  <from>
                    <xdr:col>0</xdr:col>
                    <xdr:colOff>38100</xdr:colOff>
                    <xdr:row>152</xdr:row>
                    <xdr:rowOff>28575</xdr:rowOff>
                  </from>
                  <to>
                    <xdr:col>1</xdr:col>
                    <xdr:colOff>76200</xdr:colOff>
                    <xdr:row>152</xdr:row>
                    <xdr:rowOff>257175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codeName="Sheet7">
    <pageSetUpPr fitToPage="1"/>
  </sheetPr>
  <dimension ref="A1:AK223"/>
  <sheetViews>
    <sheetView zoomScale="80" zoomScaleNormal="80" workbookViewId="0">
      <selection activeCell="Q17" sqref="Q17"/>
    </sheetView>
  </sheetViews>
  <sheetFormatPr defaultColWidth="8.85546875" defaultRowHeight="26.1" customHeight="1"/>
  <cols>
    <col min="1" max="1" width="4.5703125" style="141" customWidth="1"/>
    <col min="2" max="2" width="7" style="141" customWidth="1"/>
    <col min="3" max="3" width="5.28515625" style="141" customWidth="1"/>
    <col min="4" max="4" width="12.42578125" style="141" customWidth="1"/>
    <col min="5" max="5" width="11.85546875" style="141" customWidth="1"/>
    <col min="6" max="6" width="12.85546875" style="141" customWidth="1"/>
    <col min="7" max="7" width="5.7109375" style="141" customWidth="1"/>
    <col min="8" max="8" width="9.7109375" style="141" customWidth="1"/>
    <col min="9" max="9" width="12.5703125" style="141" customWidth="1"/>
    <col min="10" max="10" width="6.85546875" style="141" customWidth="1"/>
    <col min="11" max="11" width="11.140625" style="141" customWidth="1"/>
    <col min="12" max="12" width="7.570312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5703125" style="141" customWidth="1"/>
    <col min="23" max="23" width="6.140625" style="141" customWidth="1"/>
    <col min="24" max="25" width="5.85546875" style="141" customWidth="1"/>
    <col min="26" max="26" width="6.42578125" style="141" customWidth="1"/>
    <col min="27" max="27" width="6.5703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1" customHeight="1">
      <c r="B1" s="90"/>
      <c r="C1" s="337" t="s">
        <v>351</v>
      </c>
      <c r="D1" s="337"/>
      <c r="E1" s="337"/>
      <c r="F1" s="337"/>
      <c r="G1" s="337"/>
      <c r="H1" s="337"/>
      <c r="I1" s="337"/>
      <c r="J1" s="337"/>
      <c r="Q1" s="90"/>
    </row>
    <row r="2" spans="1:37" ht="26.1" customHeight="1">
      <c r="A2" s="338" t="s">
        <v>61</v>
      </c>
      <c r="B2" s="338"/>
      <c r="C2" s="338"/>
      <c r="D2" s="338"/>
      <c r="E2" s="339"/>
      <c r="F2" s="339"/>
      <c r="G2" s="339"/>
      <c r="K2" s="146" t="s">
        <v>62</v>
      </c>
      <c r="L2" s="91" t="s">
        <v>211</v>
      </c>
    </row>
    <row r="3" spans="1:37" ht="26.1" customHeight="1" thickBot="1">
      <c r="A3" s="340" t="s">
        <v>63</v>
      </c>
      <c r="B3" s="341"/>
      <c r="C3" s="341"/>
      <c r="D3" s="342"/>
      <c r="E3" s="343"/>
      <c r="F3" s="344"/>
      <c r="G3" s="345"/>
      <c r="J3" s="287" t="s">
        <v>64</v>
      </c>
      <c r="K3" s="288"/>
      <c r="L3" s="193"/>
      <c r="M3" s="308" t="s">
        <v>65</v>
      </c>
      <c r="N3" s="308"/>
      <c r="O3" s="444" t="s">
        <v>262</v>
      </c>
      <c r="P3" s="445"/>
    </row>
    <row r="4" spans="1:37" ht="26.1" customHeight="1" thickBot="1">
      <c r="A4" s="338" t="s">
        <v>263</v>
      </c>
      <c r="B4" s="338"/>
      <c r="C4" s="338"/>
      <c r="D4" s="338"/>
      <c r="E4" s="343"/>
      <c r="F4" s="344"/>
      <c r="G4" s="345"/>
      <c r="J4" s="194"/>
      <c r="K4" s="195" t="s">
        <v>352</v>
      </c>
      <c r="L4" s="195" t="s">
        <v>265</v>
      </c>
      <c r="M4" s="361" t="s">
        <v>354</v>
      </c>
      <c r="N4" s="308"/>
      <c r="O4" s="444"/>
      <c r="P4" s="445"/>
    </row>
    <row r="5" spans="1:37" ht="24.75" customHeight="1" thickBot="1">
      <c r="A5" s="338" t="s">
        <v>264</v>
      </c>
      <c r="B5" s="338"/>
      <c r="C5" s="338"/>
      <c r="D5" s="338"/>
      <c r="E5" s="339"/>
      <c r="F5" s="339"/>
      <c r="G5" s="339"/>
      <c r="J5" s="194"/>
      <c r="K5" s="195" t="s">
        <v>353</v>
      </c>
      <c r="L5" s="195" t="s">
        <v>265</v>
      </c>
      <c r="M5" s="361" t="s">
        <v>354</v>
      </c>
      <c r="N5" s="308"/>
    </row>
    <row r="6" spans="1:37" ht="23.45" customHeight="1" thickBot="1">
      <c r="A6" s="338" t="s">
        <v>213</v>
      </c>
      <c r="B6" s="338"/>
      <c r="C6" s="338"/>
      <c r="D6" s="338"/>
      <c r="E6" s="339"/>
      <c r="F6" s="339"/>
      <c r="G6" s="339"/>
      <c r="J6" s="194"/>
      <c r="K6" s="195" t="s">
        <v>355</v>
      </c>
      <c r="L6" s="195" t="s">
        <v>265</v>
      </c>
      <c r="M6" s="361" t="s">
        <v>211</v>
      </c>
      <c r="N6" s="308"/>
      <c r="AK6" s="147"/>
    </row>
    <row r="7" spans="1:37" ht="33.75" customHeight="1">
      <c r="A7" s="338" t="s">
        <v>266</v>
      </c>
      <c r="B7" s="338"/>
      <c r="C7" s="338"/>
      <c r="D7" s="338"/>
      <c r="E7" s="339"/>
      <c r="F7" s="339"/>
      <c r="G7" s="339"/>
      <c r="AK7" s="147"/>
    </row>
    <row r="8" spans="1:37" ht="28.5" customHeight="1">
      <c r="A8" s="338" t="s">
        <v>267</v>
      </c>
      <c r="B8" s="338"/>
      <c r="C8" s="338"/>
      <c r="D8" s="338"/>
      <c r="E8" s="339"/>
      <c r="F8" s="339"/>
      <c r="G8" s="339"/>
      <c r="J8" s="375"/>
      <c r="K8" s="375"/>
      <c r="L8" s="375"/>
      <c r="M8" s="375"/>
      <c r="N8" s="375"/>
      <c r="O8"/>
      <c r="AK8" s="147"/>
    </row>
    <row r="9" spans="1:37" ht="33.75" customHeight="1">
      <c r="A9" s="338" t="s">
        <v>66</v>
      </c>
      <c r="B9" s="338"/>
      <c r="C9" s="338"/>
      <c r="D9" s="338"/>
      <c r="E9" s="359"/>
      <c r="F9" s="359"/>
      <c r="G9" s="359"/>
      <c r="I9"/>
      <c r="J9" s="375"/>
      <c r="K9" s="375"/>
      <c r="L9" s="375"/>
      <c r="M9" s="375"/>
      <c r="N9" s="375"/>
      <c r="O9"/>
    </row>
    <row r="10" spans="1:37" ht="26.1" customHeight="1">
      <c r="A10" s="338" t="s">
        <v>67</v>
      </c>
      <c r="B10" s="338"/>
      <c r="C10" s="338"/>
      <c r="D10" s="338"/>
      <c r="E10" s="339"/>
      <c r="F10" s="339"/>
      <c r="G10" s="339"/>
      <c r="I10"/>
      <c r="J10" s="375"/>
      <c r="K10" s="375"/>
      <c r="L10" s="375"/>
      <c r="M10" s="375"/>
      <c r="N10" s="375"/>
      <c r="O10"/>
      <c r="P10"/>
      <c r="Q10"/>
      <c r="R10"/>
    </row>
    <row r="11" spans="1:37" ht="34.5" customHeight="1">
      <c r="A11" s="338" t="s">
        <v>68</v>
      </c>
      <c r="B11" s="338"/>
      <c r="C11" s="338"/>
      <c r="D11" s="338"/>
      <c r="E11" s="349"/>
      <c r="F11" s="350"/>
      <c r="G11" s="443"/>
      <c r="J11" s="375"/>
      <c r="K11" s="375"/>
      <c r="L11" s="375"/>
      <c r="M11" s="375"/>
      <c r="N11" s="375"/>
    </row>
    <row r="12" spans="1:37" ht="20.45" customHeight="1" thickBot="1">
      <c r="A12" s="338" t="s">
        <v>172</v>
      </c>
      <c r="B12" s="338"/>
      <c r="C12" s="338"/>
      <c r="D12" s="338"/>
      <c r="E12" s="148"/>
      <c r="F12"/>
      <c r="G12"/>
      <c r="H12"/>
      <c r="I12"/>
    </row>
    <row r="13" spans="1:37" ht="26.1" customHeight="1" thickBot="1">
      <c r="A13" s="149"/>
      <c r="B13" s="289" t="s">
        <v>69</v>
      </c>
      <c r="C13" s="290"/>
      <c r="D13" s="290"/>
      <c r="E13" s="290"/>
      <c r="F13" s="290"/>
      <c r="G13" s="290"/>
      <c r="H13" s="290"/>
      <c r="I13" s="290"/>
      <c r="J13" s="290"/>
      <c r="K13" s="290"/>
      <c r="L13" s="290"/>
      <c r="M13" s="291"/>
      <c r="O13" s="92"/>
    </row>
    <row r="14" spans="1:37" ht="26.1" customHeight="1" thickBot="1">
      <c r="A14" s="150"/>
      <c r="B14" s="151" t="s">
        <v>70</v>
      </c>
      <c r="C14" s="151"/>
      <c r="D14" s="151"/>
      <c r="E14" s="151"/>
      <c r="O14" s="92"/>
    </row>
    <row r="15" spans="1:37" ht="26.1" customHeight="1" thickBot="1">
      <c r="A15" s="150"/>
      <c r="B15" s="151" t="s">
        <v>71</v>
      </c>
      <c r="C15" s="151"/>
      <c r="D15" s="151"/>
      <c r="E15" s="151"/>
      <c r="O15" s="92"/>
    </row>
    <row r="16" spans="1:37" ht="33.6" customHeight="1" thickBot="1">
      <c r="A16"/>
      <c r="B16" s="151"/>
      <c r="C16" s="151"/>
      <c r="E16" s="203" t="s">
        <v>72</v>
      </c>
      <c r="F16" s="196" t="str">
        <f>CONCATENATE(" Volume for ",$E$12," samples")</f>
        <v xml:space="preserve"> Volume for  samples</v>
      </c>
      <c r="O16" s="92"/>
    </row>
    <row r="17" spans="1:18" ht="26.1" customHeight="1" thickBot="1">
      <c r="A17" s="150"/>
      <c r="B17" s="151" t="s">
        <v>73</v>
      </c>
      <c r="C17" s="197"/>
      <c r="D17" s="93" t="s">
        <v>329</v>
      </c>
      <c r="E17" s="155">
        <v>16.3</v>
      </c>
      <c r="F17" s="156">
        <f>E17*$E$12*1.1</f>
        <v>0</v>
      </c>
      <c r="G17" s="143" t="s">
        <v>74</v>
      </c>
      <c r="O17" s="92"/>
      <c r="Q17" s="151"/>
    </row>
    <row r="18" spans="1:18" ht="26.1" customHeight="1">
      <c r="A18" s="149"/>
      <c r="B18" s="151"/>
      <c r="C18" s="197"/>
      <c r="D18" s="93" t="s">
        <v>356</v>
      </c>
      <c r="E18" s="159">
        <v>2.2000000000000002</v>
      </c>
      <c r="F18" s="156">
        <f>E18*$E$12*1.1</f>
        <v>0</v>
      </c>
      <c r="G18" s="143" t="s">
        <v>74</v>
      </c>
      <c r="O18" s="92"/>
      <c r="Q18" s="151"/>
    </row>
    <row r="19" spans="1:18" ht="28.5" customHeight="1">
      <c r="A19" s="149"/>
      <c r="B19" s="151"/>
      <c r="C19" s="197"/>
      <c r="D19" s="93" t="s">
        <v>75</v>
      </c>
      <c r="E19" s="159">
        <v>2</v>
      </c>
      <c r="F19" s="156">
        <f>E19*$E$12*1.1</f>
        <v>0</v>
      </c>
      <c r="G19" s="143" t="s">
        <v>74</v>
      </c>
      <c r="O19" s="92"/>
      <c r="Q19" s="151"/>
    </row>
    <row r="20" spans="1:18" ht="23.1" customHeight="1" thickBot="1">
      <c r="A20" s="149"/>
      <c r="B20" s="151"/>
      <c r="C20" s="161"/>
      <c r="D20" s="198" t="s">
        <v>331</v>
      </c>
      <c r="E20" s="163">
        <v>7</v>
      </c>
      <c r="F20" s="163">
        <f>E20*$E$12*1.1</f>
        <v>0</v>
      </c>
      <c r="G20" s="164" t="s">
        <v>74</v>
      </c>
      <c r="O20" s="92"/>
    </row>
    <row r="21" spans="1:18" ht="15.95" customHeight="1" thickBot="1">
      <c r="A21" s="149"/>
      <c r="B21" s="151"/>
      <c r="D21" s="165"/>
      <c r="E21" s="166">
        <f>SUM(E17:E20)</f>
        <v>27.5</v>
      </c>
      <c r="F21" s="166">
        <f>SUM(F17:F20)</f>
        <v>0</v>
      </c>
      <c r="G21" s="167" t="s">
        <v>74</v>
      </c>
      <c r="H21" s="141" t="s">
        <v>76</v>
      </c>
      <c r="O21" s="92"/>
    </row>
    <row r="22" spans="1:18" ht="26.1" customHeight="1" thickBot="1">
      <c r="A22" s="150"/>
      <c r="B22" s="151" t="s">
        <v>357</v>
      </c>
      <c r="D22" s="94"/>
      <c r="E22" s="151"/>
      <c r="F22" s="95"/>
      <c r="O22" s="92"/>
    </row>
    <row r="23" spans="1:18" ht="26.1" customHeight="1" thickBot="1">
      <c r="A23" s="150"/>
      <c r="B23" s="96" t="s">
        <v>268</v>
      </c>
      <c r="C23"/>
      <c r="D23"/>
      <c r="E23"/>
      <c r="F23"/>
      <c r="G23"/>
      <c r="H23"/>
      <c r="I23"/>
      <c r="J23"/>
      <c r="K23"/>
      <c r="L23"/>
      <c r="M23"/>
      <c r="N23"/>
    </row>
    <row r="24" spans="1:18" ht="26.1" customHeight="1" thickBot="1">
      <c r="A24" s="149"/>
      <c r="C24" s="439" t="s">
        <v>215</v>
      </c>
      <c r="D24" s="440"/>
      <c r="E24" s="163" t="s">
        <v>358</v>
      </c>
      <c r="F24" s="439" t="s">
        <v>269</v>
      </c>
      <c r="G24" s="440"/>
      <c r="H24"/>
      <c r="I24" s="423" t="s">
        <v>359</v>
      </c>
      <c r="J24" s="423"/>
      <c r="K24" s="423"/>
      <c r="L24" s="423"/>
      <c r="M24" s="423"/>
      <c r="N24" s="423"/>
      <c r="Q24"/>
      <c r="R24"/>
    </row>
    <row r="25" spans="1:18" ht="15.6" customHeight="1">
      <c r="A25" s="149"/>
      <c r="C25" s="360"/>
      <c r="D25" s="361"/>
      <c r="E25" s="199"/>
      <c r="F25" s="441"/>
      <c r="G25" s="442"/>
      <c r="H25"/>
      <c r="I25"/>
      <c r="J25"/>
      <c r="K25"/>
      <c r="L25"/>
      <c r="O25"/>
      <c r="Q25"/>
      <c r="R25"/>
    </row>
    <row r="26" spans="1:18" ht="15.6" customHeight="1">
      <c r="A26" s="149"/>
      <c r="C26" s="360"/>
      <c r="D26" s="361"/>
      <c r="E26" s="200"/>
      <c r="F26" s="437"/>
      <c r="G26" s="438"/>
      <c r="H26"/>
      <c r="I26"/>
      <c r="J26"/>
      <c r="K26"/>
      <c r="L26"/>
      <c r="O26"/>
      <c r="P26"/>
      <c r="Q26"/>
      <c r="R26"/>
    </row>
    <row r="27" spans="1:18" ht="15.6" customHeight="1">
      <c r="A27" s="149"/>
      <c r="C27" s="360"/>
      <c r="D27" s="361"/>
      <c r="E27" s="200"/>
      <c r="F27" s="437"/>
      <c r="G27" s="438"/>
      <c r="H27"/>
      <c r="I27"/>
      <c r="J27"/>
      <c r="K27"/>
      <c r="L27"/>
      <c r="O27"/>
      <c r="P27"/>
      <c r="Q27"/>
      <c r="R27"/>
    </row>
    <row r="28" spans="1:18" ht="15.6" customHeight="1">
      <c r="A28" s="149"/>
      <c r="C28" s="360"/>
      <c r="D28" s="361"/>
      <c r="E28" s="200"/>
      <c r="F28" s="437"/>
      <c r="G28" s="438"/>
      <c r="H28"/>
      <c r="I28"/>
      <c r="J28"/>
      <c r="K28"/>
      <c r="L28"/>
      <c r="O28"/>
      <c r="P28"/>
      <c r="Q28"/>
      <c r="R28"/>
    </row>
    <row r="29" spans="1:18" ht="15.6" customHeight="1">
      <c r="A29" s="149"/>
      <c r="C29" s="360"/>
      <c r="D29" s="361"/>
      <c r="E29" s="200"/>
      <c r="F29" s="437"/>
      <c r="G29" s="438"/>
      <c r="H29"/>
      <c r="I29"/>
      <c r="J29"/>
      <c r="K29"/>
      <c r="L29"/>
      <c r="O29"/>
      <c r="P29"/>
      <c r="Q29"/>
      <c r="R29"/>
    </row>
    <row r="30" spans="1:18" ht="15.6" customHeight="1">
      <c r="A30" s="149"/>
      <c r="C30" s="360"/>
      <c r="D30" s="361"/>
      <c r="E30" s="200"/>
      <c r="F30" s="437"/>
      <c r="G30" s="438"/>
      <c r="H30"/>
      <c r="I30"/>
      <c r="J30"/>
      <c r="K30"/>
      <c r="L30"/>
      <c r="O30"/>
      <c r="P30"/>
      <c r="Q30"/>
      <c r="R30"/>
    </row>
    <row r="31" spans="1:18" ht="15.6" customHeight="1">
      <c r="A31" s="149"/>
      <c r="C31" s="360"/>
      <c r="D31" s="361"/>
      <c r="E31" s="200"/>
      <c r="F31" s="437"/>
      <c r="G31" s="438"/>
      <c r="H31"/>
      <c r="I31"/>
      <c r="J31"/>
      <c r="K31"/>
      <c r="L31"/>
      <c r="O31"/>
      <c r="P31"/>
      <c r="Q31"/>
      <c r="R31"/>
    </row>
    <row r="32" spans="1:18" ht="15.6" customHeight="1" thickBot="1">
      <c r="A32" s="149"/>
      <c r="C32" s="360"/>
      <c r="D32" s="361"/>
      <c r="E32" s="200"/>
      <c r="F32" s="437"/>
      <c r="G32" s="438"/>
      <c r="H32"/>
      <c r="I32"/>
      <c r="J32"/>
      <c r="K32"/>
      <c r="L32"/>
      <c r="O32"/>
      <c r="P32"/>
      <c r="Q32"/>
      <c r="R32"/>
    </row>
    <row r="33" spans="1:16" ht="26.1" customHeight="1" thickBot="1">
      <c r="A33" s="150"/>
      <c r="B33" s="96" t="s">
        <v>360</v>
      </c>
      <c r="C33"/>
      <c r="D33"/>
      <c r="E33"/>
      <c r="F33"/>
      <c r="H33"/>
      <c r="I33"/>
      <c r="J33"/>
      <c r="K33"/>
    </row>
    <row r="34" spans="1:16" ht="26.1" customHeight="1" thickBot="1">
      <c r="A34" s="174"/>
      <c r="B34" s="96" t="s">
        <v>361</v>
      </c>
      <c r="C34"/>
      <c r="D34"/>
      <c r="E34"/>
      <c r="F34"/>
    </row>
    <row r="35" spans="1:16" ht="26.1" customHeight="1" thickBot="1">
      <c r="A35" s="174"/>
      <c r="B35" s="96" t="s">
        <v>362</v>
      </c>
      <c r="C35"/>
      <c r="D35"/>
      <c r="E35"/>
      <c r="F35"/>
      <c r="P35" s="97"/>
    </row>
    <row r="36" spans="1:16" ht="26.1" customHeight="1" thickBot="1">
      <c r="A36" s="150"/>
      <c r="B36" s="96" t="s">
        <v>220</v>
      </c>
      <c r="C36"/>
      <c r="D36"/>
      <c r="E36"/>
      <c r="F36"/>
      <c r="L36" s="97"/>
      <c r="P36" s="97"/>
    </row>
    <row r="37" spans="1:16" ht="26.1" customHeight="1" thickBot="1">
      <c r="A37" s="150"/>
      <c r="B37" s="96" t="s">
        <v>77</v>
      </c>
      <c r="C37"/>
      <c r="D37"/>
      <c r="E37"/>
      <c r="F37"/>
      <c r="I37" s="94"/>
      <c r="J37" s="94" t="s">
        <v>338</v>
      </c>
      <c r="L37" s="151" t="s">
        <v>339</v>
      </c>
      <c r="P37" s="95"/>
    </row>
    <row r="38" spans="1:16" ht="21.95" customHeight="1" thickBot="1">
      <c r="A38" s="149"/>
      <c r="B38" s="96"/>
      <c r="C38"/>
      <c r="D38"/>
      <c r="E38"/>
      <c r="F38"/>
      <c r="I38" s="94"/>
      <c r="J38" s="94" t="s">
        <v>221</v>
      </c>
      <c r="P38" s="97"/>
    </row>
    <row r="39" spans="1:16" ht="26.1" customHeight="1" thickBot="1">
      <c r="A39" s="149"/>
      <c r="B39" s="298" t="s">
        <v>222</v>
      </c>
      <c r="C39" s="299"/>
      <c r="D39" s="299"/>
      <c r="E39" s="299"/>
      <c r="F39" s="299"/>
      <c r="G39" s="299"/>
      <c r="H39" s="299"/>
      <c r="I39" s="299"/>
      <c r="J39" s="299"/>
      <c r="K39" s="299"/>
      <c r="L39" s="299"/>
      <c r="M39" s="300"/>
      <c r="N39" s="97"/>
    </row>
    <row r="40" spans="1:16" s="151" customFormat="1" ht="26.1" customHeight="1" thickBot="1">
      <c r="A40" s="175"/>
      <c r="B40" s="151" t="s">
        <v>223</v>
      </c>
      <c r="J40" s="95" t="s">
        <v>78</v>
      </c>
      <c r="N40" s="95"/>
    </row>
    <row r="41" spans="1:16" ht="26.1" customHeight="1" thickBot="1">
      <c r="A41" s="150"/>
      <c r="B41" s="96" t="s">
        <v>270</v>
      </c>
      <c r="C41"/>
      <c r="D41"/>
      <c r="E41"/>
      <c r="F41"/>
      <c r="G41"/>
      <c r="H41" s="95" t="s">
        <v>79</v>
      </c>
      <c r="I41"/>
      <c r="M41" s="97"/>
      <c r="N41" s="97"/>
    </row>
    <row r="42" spans="1:16" ht="34.5" customHeight="1" thickBot="1">
      <c r="A42" s="150"/>
      <c r="B42" s="376" t="s">
        <v>225</v>
      </c>
      <c r="C42" s="375"/>
      <c r="D42" s="375"/>
      <c r="E42" s="375"/>
      <c r="F42" s="375"/>
      <c r="G42" s="96" t="s">
        <v>226</v>
      </c>
      <c r="H42"/>
      <c r="I42"/>
      <c r="J42" s="98" t="s">
        <v>72</v>
      </c>
      <c r="K42" s="98" t="str">
        <f>CONCATENATE(" Volume for ",$E$12," samples")</f>
        <v xml:space="preserve"> Volume for  samples</v>
      </c>
    </row>
    <row r="43" spans="1:16" s="142" customFormat="1" ht="23.1" customHeight="1">
      <c r="A43" s="99"/>
      <c r="B43" s="99"/>
      <c r="C43" s="177"/>
      <c r="D43" s="177"/>
      <c r="E43" s="177"/>
      <c r="F43" s="177"/>
      <c r="G43" s="385" t="s">
        <v>227</v>
      </c>
      <c r="H43" s="385"/>
      <c r="I43" s="385"/>
      <c r="J43" s="155">
        <v>182</v>
      </c>
      <c r="K43" s="156">
        <f>J43*$E$12*1.1</f>
        <v>0</v>
      </c>
      <c r="L43" s="156" t="s">
        <v>74</v>
      </c>
    </row>
    <row r="44" spans="1:16" s="142" customFormat="1" ht="23.1" customHeight="1">
      <c r="B44" s="201"/>
      <c r="C44" s="386" t="s">
        <v>228</v>
      </c>
      <c r="D44" s="386"/>
      <c r="E44" s="386"/>
      <c r="F44" s="202"/>
      <c r="G44" s="385" t="s">
        <v>229</v>
      </c>
      <c r="H44" s="385"/>
      <c r="I44" s="385"/>
      <c r="J44" s="155">
        <v>8</v>
      </c>
      <c r="K44" s="156">
        <f>J44*$E$12*1.1</f>
        <v>0</v>
      </c>
      <c r="L44" s="156" t="s">
        <v>74</v>
      </c>
    </row>
    <row r="45" spans="1:16" s="142" customFormat="1" ht="23.1" customHeight="1">
      <c r="B45" s="201"/>
      <c r="C45" s="386"/>
      <c r="D45" s="386"/>
      <c r="E45" s="386"/>
      <c r="F45" s="99"/>
      <c r="G45" s="381" t="s">
        <v>230</v>
      </c>
      <c r="H45" s="381"/>
      <c r="I45" s="381"/>
      <c r="J45" s="155">
        <v>5</v>
      </c>
      <c r="K45" s="156">
        <f>J45*$E$12*1.1</f>
        <v>0</v>
      </c>
      <c r="L45" s="156" t="s">
        <v>74</v>
      </c>
    </row>
    <row r="46" spans="1:16" s="142" customFormat="1" ht="23.1" customHeight="1" thickBot="1">
      <c r="B46" s="99"/>
      <c r="C46" s="99"/>
      <c r="D46" s="99"/>
      <c r="E46" s="99"/>
      <c r="F46" s="99"/>
      <c r="G46" s="382" t="s">
        <v>80</v>
      </c>
      <c r="H46" s="382"/>
      <c r="I46" s="382"/>
      <c r="J46" s="178">
        <v>5</v>
      </c>
      <c r="K46" s="163">
        <f>J46*$E$12*1.1</f>
        <v>0</v>
      </c>
      <c r="L46" s="163" t="s">
        <v>74</v>
      </c>
    </row>
    <row r="47" spans="1:16" s="142" customFormat="1" ht="23.1" customHeight="1" thickBot="1">
      <c r="B47" s="99"/>
      <c r="C47" s="99"/>
      <c r="D47" s="99"/>
      <c r="E47" s="99"/>
      <c r="F47" s="99"/>
      <c r="G47" s="99"/>
      <c r="H47" s="99"/>
      <c r="I47" s="99"/>
      <c r="J47" s="172">
        <f>SUM(J43:J46)</f>
        <v>200</v>
      </c>
      <c r="K47" s="172">
        <f>SUM(K43:K46)</f>
        <v>0</v>
      </c>
      <c r="L47" s="172" t="s">
        <v>74</v>
      </c>
      <c r="M47" s="179" t="s">
        <v>76</v>
      </c>
    </row>
    <row r="48" spans="1:16" ht="33" customHeight="1" thickBot="1">
      <c r="A48" s="150"/>
      <c r="B48" s="96" t="s">
        <v>81</v>
      </c>
      <c r="C48"/>
      <c r="D48"/>
      <c r="E48" s="176" t="s">
        <v>72</v>
      </c>
      <c r="F48" s="203" t="str">
        <f>CONCATENATE(" Volume for ",$E$12," samples")</f>
        <v xml:space="preserve"> Volume for  samples</v>
      </c>
      <c r="G48"/>
      <c r="H48"/>
      <c r="I48"/>
      <c r="L48" s="146"/>
      <c r="M48" s="179"/>
    </row>
    <row r="49" spans="1:14" ht="26.1" customHeight="1">
      <c r="A49" s="149"/>
      <c r="B49" s="96"/>
      <c r="C49" s="377" t="s">
        <v>82</v>
      </c>
      <c r="D49" s="378"/>
      <c r="E49" s="155">
        <v>98</v>
      </c>
      <c r="F49" s="156">
        <f>IF($E$12&lt;2, E49,E49*0.5*$E$12)</f>
        <v>98</v>
      </c>
      <c r="G49" s="143" t="s">
        <v>74</v>
      </c>
      <c r="I49"/>
      <c r="L49" s="146"/>
      <c r="M49" s="179"/>
    </row>
    <row r="50" spans="1:14" ht="26.1" customHeight="1">
      <c r="A50" s="149"/>
      <c r="B50" s="96"/>
      <c r="C50" s="377" t="s">
        <v>83</v>
      </c>
      <c r="D50" s="378"/>
      <c r="E50" s="155">
        <v>1</v>
      </c>
      <c r="F50" s="156">
        <f t="shared" ref="F50:F51" si="0">IF($E$12&lt;2, E50,E50*0.5*$E$12)</f>
        <v>1</v>
      </c>
      <c r="G50" s="143" t="s">
        <v>74</v>
      </c>
      <c r="I50"/>
      <c r="L50" s="146"/>
      <c r="M50" s="179"/>
    </row>
    <row r="51" spans="1:14" ht="26.1" customHeight="1" thickBot="1">
      <c r="A51" s="149"/>
      <c r="B51" s="96"/>
      <c r="C51" s="379" t="s">
        <v>75</v>
      </c>
      <c r="D51" s="380"/>
      <c r="E51" s="178">
        <v>1</v>
      </c>
      <c r="F51" s="163">
        <f t="shared" si="0"/>
        <v>1</v>
      </c>
      <c r="G51" s="164" t="s">
        <v>74</v>
      </c>
      <c r="I51"/>
      <c r="L51" s="146"/>
      <c r="M51" s="179"/>
    </row>
    <row r="52" spans="1:14" ht="26.1" customHeight="1" thickBot="1">
      <c r="A52" s="149"/>
      <c r="B52"/>
      <c r="C52"/>
      <c r="D52"/>
      <c r="E52" s="172">
        <f>SUM(E49:E51)</f>
        <v>100</v>
      </c>
      <c r="F52" s="172">
        <f>SUM(F49:F51)</f>
        <v>100</v>
      </c>
      <c r="G52" s="167" t="s">
        <v>74</v>
      </c>
      <c r="H52" s="179" t="s">
        <v>76</v>
      </c>
      <c r="I52"/>
    </row>
    <row r="53" spans="1:14" ht="23.1" customHeight="1" thickBot="1">
      <c r="A53" s="150"/>
      <c r="B53" s="96" t="s">
        <v>231</v>
      </c>
      <c r="C53"/>
      <c r="D53"/>
      <c r="E53"/>
      <c r="F53"/>
      <c r="G53"/>
      <c r="H53"/>
      <c r="I53"/>
      <c r="L53" s="146"/>
      <c r="M53" s="179"/>
    </row>
    <row r="54" spans="1:14" ht="30.95" customHeight="1" thickBot="1">
      <c r="A54" s="150"/>
      <c r="B54" s="204" t="s">
        <v>232</v>
      </c>
      <c r="C54"/>
      <c r="D54"/>
      <c r="E54"/>
      <c r="I54" s="179" t="s">
        <v>233</v>
      </c>
      <c r="J54"/>
      <c r="K54" s="176" t="s">
        <v>72</v>
      </c>
      <c r="L54" s="196" t="str">
        <f>CONCATENATE(" Volume for ",$E$12," samples")</f>
        <v xml:space="preserve"> Volume for  samples</v>
      </c>
    </row>
    <row r="55" spans="1:14" ht="21.6" customHeight="1">
      <c r="A55" s="149"/>
      <c r="B55" s="96"/>
      <c r="C55"/>
      <c r="D55"/>
      <c r="E55"/>
      <c r="F55"/>
      <c r="I55" s="381" t="s">
        <v>234</v>
      </c>
      <c r="J55" s="381"/>
      <c r="K55" s="159">
        <v>50</v>
      </c>
      <c r="L55" s="205">
        <f>K55*$E$12*1.1</f>
        <v>0</v>
      </c>
      <c r="M55" s="206" t="s">
        <v>74</v>
      </c>
    </row>
    <row r="56" spans="1:14" ht="21.6" customHeight="1" thickBot="1">
      <c r="A56" s="149"/>
      <c r="B56" s="96"/>
      <c r="C56"/>
      <c r="D56"/>
      <c r="E56"/>
      <c r="F56"/>
      <c r="I56" s="435" t="s">
        <v>363</v>
      </c>
      <c r="J56" s="436"/>
      <c r="K56" s="159">
        <v>15</v>
      </c>
      <c r="L56" s="205">
        <f>K56*$E$12*1.1</f>
        <v>0</v>
      </c>
      <c r="M56" s="206" t="s">
        <v>74</v>
      </c>
    </row>
    <row r="57" spans="1:14" ht="21.6" customHeight="1" thickBot="1">
      <c r="A57"/>
      <c r="B57"/>
      <c r="C57"/>
      <c r="D57"/>
      <c r="E57"/>
      <c r="F57"/>
      <c r="I57"/>
      <c r="J57"/>
      <c r="K57" s="172">
        <f>SUM(K55:K56)</f>
        <v>65</v>
      </c>
      <c r="L57" s="172">
        <f>SUM(L55:L56)</f>
        <v>0</v>
      </c>
      <c r="M57" s="167" t="s">
        <v>74</v>
      </c>
      <c r="N57" s="179" t="s">
        <v>76</v>
      </c>
    </row>
    <row r="58" spans="1:14" ht="26.1" customHeight="1" thickBot="1">
      <c r="A58" s="150"/>
      <c r="B58" s="96" t="s">
        <v>84</v>
      </c>
      <c r="C58"/>
      <c r="D58" s="100" t="s">
        <v>100</v>
      </c>
      <c r="E58"/>
      <c r="F58"/>
      <c r="G58"/>
      <c r="H58"/>
      <c r="I58"/>
      <c r="L58" s="146"/>
      <c r="M58" s="179"/>
    </row>
    <row r="59" spans="1:14" ht="20.100000000000001" customHeight="1">
      <c r="A59"/>
      <c r="B59"/>
      <c r="C59"/>
      <c r="D59" s="101" t="s">
        <v>101</v>
      </c>
      <c r="E59" s="301" t="s">
        <v>236</v>
      </c>
      <c r="F59"/>
      <c r="G59"/>
      <c r="H59"/>
      <c r="I59"/>
      <c r="L59" s="146"/>
      <c r="M59" s="179"/>
    </row>
    <row r="60" spans="1:14" ht="20.100000000000001" customHeight="1">
      <c r="A60"/>
      <c r="B60"/>
      <c r="C60"/>
      <c r="D60" s="101" t="s">
        <v>340</v>
      </c>
      <c r="E60" s="302"/>
      <c r="F60"/>
      <c r="G60"/>
      <c r="H60"/>
      <c r="I60"/>
      <c r="L60" s="146"/>
      <c r="M60" s="179"/>
    </row>
    <row r="61" spans="1:14" ht="20.100000000000001" customHeight="1">
      <c r="A61"/>
      <c r="B61"/>
      <c r="C61"/>
      <c r="D61" s="101" t="s">
        <v>88</v>
      </c>
      <c r="E61" s="303"/>
      <c r="F61"/>
      <c r="G61" s="142" t="s">
        <v>89</v>
      </c>
      <c r="H61" s="185"/>
      <c r="I61"/>
      <c r="J61"/>
      <c r="L61" s="146"/>
      <c r="M61" s="179"/>
    </row>
    <row r="62" spans="1:14" ht="20.100000000000001" customHeight="1" thickBot="1">
      <c r="A62"/>
      <c r="B62"/>
      <c r="C62"/>
      <c r="D62" s="100" t="s">
        <v>88</v>
      </c>
      <c r="E62"/>
      <c r="F62"/>
      <c r="G62"/>
      <c r="H62"/>
      <c r="I62"/>
      <c r="J62"/>
    </row>
    <row r="63" spans="1:14" ht="24.95" customHeight="1" thickBot="1">
      <c r="A63"/>
      <c r="B63" s="317" t="s">
        <v>271</v>
      </c>
      <c r="C63" s="318"/>
      <c r="D63" s="318"/>
      <c r="E63" s="318"/>
      <c r="F63" s="318"/>
      <c r="G63" s="318"/>
      <c r="H63" s="318"/>
      <c r="I63" s="318"/>
      <c r="J63" s="318"/>
      <c r="K63" s="318"/>
      <c r="L63" s="318"/>
      <c r="M63" s="319"/>
    </row>
    <row r="64" spans="1:14" ht="20.100000000000001" customHeight="1" thickBot="1">
      <c r="A64" s="150"/>
      <c r="B64" s="430" t="s">
        <v>364</v>
      </c>
      <c r="C64" s="431"/>
      <c r="D64" s="431"/>
      <c r="E64" s="431"/>
      <c r="F64" s="431"/>
      <c r="G64" s="431"/>
      <c r="H64" s="431"/>
      <c r="I64" s="431"/>
      <c r="J64" s="431"/>
      <c r="K64" s="431"/>
      <c r="L64" s="431"/>
      <c r="M64" s="432"/>
    </row>
    <row r="65" spans="1:14" ht="20.100000000000001" customHeight="1">
      <c r="A65"/>
      <c r="B65" s="433" t="s">
        <v>272</v>
      </c>
      <c r="C65" s="433"/>
      <c r="D65" s="433"/>
      <c r="E65" s="433"/>
      <c r="F65" s="433"/>
      <c r="G65"/>
      <c r="H65" s="433" t="s">
        <v>273</v>
      </c>
      <c r="I65" s="433"/>
      <c r="J65" s="433"/>
      <c r="K65" s="433"/>
      <c r="L65" s="433"/>
      <c r="M65" s="433"/>
    </row>
    <row r="66" spans="1:14" ht="20.100000000000001" customHeight="1">
      <c r="A66"/>
      <c r="B66" s="429" t="s">
        <v>274</v>
      </c>
      <c r="C66" s="429"/>
      <c r="D66" s="429"/>
      <c r="E66" s="429"/>
      <c r="F66" s="429"/>
      <c r="G66"/>
      <c r="H66" s="434" t="s">
        <v>365</v>
      </c>
      <c r="I66" s="434"/>
      <c r="J66" s="434"/>
      <c r="K66" s="434"/>
      <c r="L66" s="434"/>
      <c r="M66" s="434"/>
    </row>
    <row r="67" spans="1:14" ht="20.100000000000001" customHeight="1">
      <c r="A67"/>
      <c r="B67" s="429" t="s">
        <v>275</v>
      </c>
      <c r="C67" s="429"/>
      <c r="D67" s="429"/>
      <c r="E67" s="429"/>
      <c r="F67" s="429"/>
      <c r="G67"/>
      <c r="H67" s="429" t="s">
        <v>276</v>
      </c>
      <c r="I67" s="429"/>
      <c r="J67" s="429"/>
      <c r="K67" s="429"/>
      <c r="L67" s="429"/>
      <c r="M67" s="429"/>
    </row>
    <row r="68" spans="1:14" ht="20.100000000000001" customHeight="1">
      <c r="A68"/>
      <c r="B68" s="429" t="s">
        <v>277</v>
      </c>
      <c r="C68" s="429"/>
      <c r="D68" s="429"/>
      <c r="E68" s="429"/>
      <c r="F68" s="429"/>
      <c r="G68"/>
      <c r="H68" s="429" t="s">
        <v>278</v>
      </c>
      <c r="I68" s="429"/>
      <c r="J68" s="429"/>
      <c r="K68" s="429"/>
      <c r="L68" s="429"/>
      <c r="M68" s="429"/>
    </row>
    <row r="69" spans="1:14" ht="20.100000000000001" customHeight="1">
      <c r="A69"/>
      <c r="B69" s="429" t="s">
        <v>366</v>
      </c>
      <c r="C69" s="429"/>
      <c r="D69" s="429"/>
      <c r="E69" s="429"/>
      <c r="F69" s="429"/>
      <c r="G69"/>
      <c r="H69" s="429" t="s">
        <v>275</v>
      </c>
      <c r="I69" s="429"/>
      <c r="J69" s="429"/>
      <c r="K69" s="429"/>
      <c r="L69" s="429"/>
      <c r="M69" s="429"/>
    </row>
    <row r="70" spans="1:14" ht="20.100000000000001" customHeight="1">
      <c r="A70"/>
      <c r="B70" s="428" t="s">
        <v>367</v>
      </c>
      <c r="C70" s="428"/>
      <c r="D70" s="428"/>
      <c r="E70" s="428"/>
      <c r="F70" s="428"/>
      <c r="G70"/>
      <c r="H70" s="429" t="s">
        <v>277</v>
      </c>
      <c r="I70" s="429"/>
      <c r="J70" s="429"/>
      <c r="K70" s="429"/>
      <c r="L70" s="429"/>
      <c r="M70" s="429"/>
    </row>
    <row r="71" spans="1:14" ht="26.1" customHeight="1" thickBot="1">
      <c r="H71" s="429" t="s">
        <v>279</v>
      </c>
      <c r="I71" s="429"/>
      <c r="J71" s="429"/>
      <c r="K71" s="429"/>
      <c r="L71" s="429"/>
      <c r="M71" s="429"/>
    </row>
    <row r="72" spans="1:14" ht="24.95" customHeight="1" thickBot="1">
      <c r="A72"/>
      <c r="B72" s="424" t="s">
        <v>368</v>
      </c>
      <c r="C72" s="425"/>
      <c r="D72" s="425"/>
      <c r="E72" s="425"/>
      <c r="F72" s="425"/>
      <c r="G72" s="425"/>
      <c r="H72" s="425"/>
      <c r="I72" s="425"/>
      <c r="J72" s="425"/>
      <c r="K72" s="425"/>
      <c r="L72" s="425"/>
      <c r="M72" s="425"/>
      <c r="N72" s="426"/>
    </row>
    <row r="73" spans="1:14" ht="24.95" customHeight="1" thickBot="1">
      <c r="A73" s="150"/>
      <c r="B73" s="96" t="s">
        <v>280</v>
      </c>
      <c r="C73"/>
      <c r="D73"/>
      <c r="E73"/>
      <c r="F73"/>
      <c r="G73"/>
      <c r="H73"/>
      <c r="I73"/>
      <c r="J73"/>
    </row>
    <row r="74" spans="1:14" ht="29.45" customHeight="1">
      <c r="A74" s="149"/>
      <c r="B74" s="96"/>
      <c r="C74"/>
      <c r="D74"/>
      <c r="E74" s="207" t="s">
        <v>72</v>
      </c>
      <c r="F74" s="98" t="str">
        <f>CONCATENATE(" Volume for ",$E$12," samples")</f>
        <v xml:space="preserve"> Volume for  samples</v>
      </c>
      <c r="G74"/>
      <c r="H74"/>
      <c r="I74"/>
      <c r="J74"/>
    </row>
    <row r="75" spans="1:14" ht="24.95" customHeight="1">
      <c r="A75"/>
      <c r="B75"/>
      <c r="C75"/>
      <c r="D75" s="108" t="s">
        <v>369</v>
      </c>
      <c r="E75" s="108">
        <v>50</v>
      </c>
      <c r="F75" s="108">
        <f>E75*1.1*$E$12</f>
        <v>0</v>
      </c>
      <c r="G75" s="108" t="s">
        <v>74</v>
      </c>
      <c r="H75"/>
      <c r="I75"/>
      <c r="K75" s="208"/>
      <c r="L75" s="209"/>
    </row>
    <row r="76" spans="1:14" ht="24.95" customHeight="1">
      <c r="A76"/>
      <c r="B76"/>
      <c r="C76"/>
      <c r="D76" s="203" t="s">
        <v>370</v>
      </c>
      <c r="E76" s="108">
        <v>48</v>
      </c>
      <c r="F76" s="108">
        <f>E76*1.1*$E$12</f>
        <v>0</v>
      </c>
      <c r="G76" s="203" t="s">
        <v>74</v>
      </c>
      <c r="H76"/>
      <c r="I76"/>
      <c r="K76" s="208"/>
      <c r="L76" s="209"/>
      <c r="M76" s="97"/>
      <c r="N76" s="210"/>
    </row>
    <row r="77" spans="1:14" ht="24.6" customHeight="1" thickBot="1">
      <c r="A77"/>
      <c r="B77"/>
      <c r="C77"/>
      <c r="D77" s="102" t="s">
        <v>105</v>
      </c>
      <c r="E77" s="102">
        <f>+SUM(E75:E76)</f>
        <v>98</v>
      </c>
      <c r="F77" s="102">
        <f>SUM(F75:F76)</f>
        <v>0</v>
      </c>
      <c r="G77" s="102" t="s">
        <v>74</v>
      </c>
      <c r="H77"/>
      <c r="I77"/>
      <c r="J77"/>
    </row>
    <row r="78" spans="1:14" ht="24.6" customHeight="1" thickBot="1">
      <c r="A78" s="150"/>
      <c r="B78" s="96" t="s">
        <v>371</v>
      </c>
      <c r="C78"/>
      <c r="D78"/>
      <c r="E78"/>
      <c r="F78" s="99"/>
      <c r="G78" s="99"/>
      <c r="H78"/>
      <c r="I78"/>
      <c r="J78"/>
    </row>
    <row r="79" spans="1:14" ht="24.95" customHeight="1" thickBot="1">
      <c r="A79" s="150"/>
      <c r="B79" s="96" t="s">
        <v>84</v>
      </c>
      <c r="C79"/>
      <c r="D79" s="100" t="s">
        <v>100</v>
      </c>
      <c r="E79"/>
      <c r="F79"/>
      <c r="G79"/>
      <c r="H79"/>
      <c r="I79" s="1"/>
      <c r="J79" s="139" t="s">
        <v>372</v>
      </c>
    </row>
    <row r="80" spans="1:14" ht="24.95" customHeight="1">
      <c r="A80"/>
      <c r="B80"/>
      <c r="C80"/>
      <c r="D80" s="101" t="s">
        <v>101</v>
      </c>
      <c r="E80" s="301" t="s">
        <v>373</v>
      </c>
      <c r="F80"/>
      <c r="G80"/>
      <c r="H80"/>
      <c r="I80" s="1" t="s">
        <v>374</v>
      </c>
      <c r="J80" s="1">
        <v>12</v>
      </c>
    </row>
    <row r="81" spans="1:14" ht="24.95" customHeight="1">
      <c r="A81"/>
      <c r="B81"/>
      <c r="C81"/>
      <c r="D81" s="101" t="s">
        <v>375</v>
      </c>
      <c r="E81" s="302"/>
      <c r="F81"/>
      <c r="G81"/>
      <c r="H81"/>
      <c r="I81" s="1" t="s">
        <v>376</v>
      </c>
      <c r="J81" s="1">
        <v>8</v>
      </c>
    </row>
    <row r="82" spans="1:14" ht="24.95" customHeight="1">
      <c r="A82"/>
      <c r="B82"/>
      <c r="C82"/>
      <c r="D82" s="211" t="s">
        <v>88</v>
      </c>
      <c r="E82" s="303"/>
      <c r="F82"/>
      <c r="G82" s="125"/>
      <c r="H82"/>
      <c r="I82"/>
      <c r="J82"/>
    </row>
    <row r="83" spans="1:14" ht="24.95" customHeight="1" thickBot="1">
      <c r="A83"/>
      <c r="B83"/>
      <c r="C83"/>
      <c r="D83" s="100" t="s">
        <v>88</v>
      </c>
      <c r="E83"/>
      <c r="F83"/>
      <c r="G83"/>
      <c r="H83"/>
      <c r="I83"/>
      <c r="J83"/>
    </row>
    <row r="84" spans="1:14" ht="24.95" customHeight="1" thickBot="1">
      <c r="A84" s="150"/>
      <c r="B84" s="96" t="s">
        <v>377</v>
      </c>
      <c r="C84"/>
      <c r="D84"/>
      <c r="E84"/>
      <c r="F84"/>
      <c r="G84"/>
      <c r="H84"/>
      <c r="I84"/>
      <c r="J84"/>
    </row>
    <row r="85" spans="1:14" ht="24.95" customHeight="1" thickBot="1">
      <c r="A85"/>
      <c r="B85" s="424" t="s">
        <v>378</v>
      </c>
      <c r="C85" s="425"/>
      <c r="D85" s="425"/>
      <c r="E85" s="425"/>
      <c r="F85" s="425"/>
      <c r="G85" s="425"/>
      <c r="H85" s="425"/>
      <c r="I85" s="425"/>
      <c r="J85" s="425"/>
      <c r="K85" s="425"/>
      <c r="L85" s="425"/>
      <c r="M85" s="425"/>
      <c r="N85" s="426"/>
    </row>
    <row r="86" spans="1:14" ht="24.95" customHeight="1" thickBot="1">
      <c r="A86" s="150"/>
      <c r="B86" s="96" t="s">
        <v>280</v>
      </c>
      <c r="C86"/>
      <c r="D86"/>
      <c r="E86"/>
      <c r="F86"/>
      <c r="G86"/>
      <c r="H86"/>
      <c r="I86"/>
      <c r="J86"/>
    </row>
    <row r="87" spans="1:14" ht="29.45" customHeight="1">
      <c r="A87" s="149"/>
      <c r="B87" s="96"/>
      <c r="C87"/>
      <c r="D87"/>
      <c r="E87" s="207" t="s">
        <v>72</v>
      </c>
      <c r="F87" s="98" t="str">
        <f>CONCATENATE(" Volume for ",$E$12," samples")</f>
        <v xml:space="preserve"> Volume for  samples</v>
      </c>
      <c r="G87"/>
      <c r="H87"/>
      <c r="I87"/>
      <c r="J87"/>
    </row>
    <row r="88" spans="1:14" ht="24.95" customHeight="1">
      <c r="A88"/>
      <c r="B88"/>
      <c r="C88"/>
      <c r="D88" s="108" t="s">
        <v>369</v>
      </c>
      <c r="E88" s="108">
        <v>50</v>
      </c>
      <c r="F88" s="108">
        <f>E88*1.1*$E$12</f>
        <v>0</v>
      </c>
      <c r="G88" s="108" t="s">
        <v>74</v>
      </c>
      <c r="H88"/>
      <c r="I88"/>
      <c r="K88" s="208"/>
      <c r="L88" s="209"/>
    </row>
    <row r="89" spans="1:14" ht="24.95" customHeight="1">
      <c r="A89"/>
      <c r="B89"/>
      <c r="C89"/>
      <c r="D89" s="203" t="s">
        <v>379</v>
      </c>
      <c r="E89" s="108">
        <v>15</v>
      </c>
      <c r="F89" s="108">
        <f>E89*1.1*$E$12</f>
        <v>0</v>
      </c>
      <c r="G89" s="203" t="s">
        <v>74</v>
      </c>
      <c r="H89"/>
      <c r="I89"/>
      <c r="K89" s="208"/>
      <c r="L89" s="209"/>
      <c r="M89" s="97"/>
      <c r="N89" s="210"/>
    </row>
    <row r="90" spans="1:14" ht="24.6" customHeight="1" thickBot="1">
      <c r="A90"/>
      <c r="B90"/>
      <c r="C90"/>
      <c r="D90" s="102" t="s">
        <v>105</v>
      </c>
      <c r="E90" s="102">
        <f>+SUM(E88:E89)</f>
        <v>65</v>
      </c>
      <c r="F90" s="102">
        <f>SUM(F88:F89)</f>
        <v>0</v>
      </c>
      <c r="G90" s="102" t="s">
        <v>74</v>
      </c>
      <c r="H90"/>
      <c r="I90"/>
      <c r="J90"/>
    </row>
    <row r="91" spans="1:14" ht="24.6" customHeight="1" thickBot="1">
      <c r="A91" s="150"/>
      <c r="B91" s="96" t="s">
        <v>380</v>
      </c>
      <c r="C91"/>
      <c r="D91"/>
      <c r="E91"/>
      <c r="F91" s="99"/>
      <c r="G91" s="99"/>
      <c r="H91"/>
      <c r="I91"/>
      <c r="J91"/>
    </row>
    <row r="92" spans="1:14" ht="24.95" customHeight="1" thickBot="1">
      <c r="A92" s="150"/>
      <c r="B92" s="96" t="s">
        <v>84</v>
      </c>
      <c r="C92"/>
      <c r="D92" s="100" t="s">
        <v>100</v>
      </c>
      <c r="E92"/>
      <c r="F92"/>
      <c r="G92"/>
      <c r="H92"/>
      <c r="I92" s="1"/>
      <c r="J92" s="139" t="s">
        <v>372</v>
      </c>
    </row>
    <row r="93" spans="1:14" ht="24.95" customHeight="1">
      <c r="A93"/>
      <c r="B93"/>
      <c r="C93"/>
      <c r="D93" s="101" t="s">
        <v>101</v>
      </c>
      <c r="E93" s="301" t="s">
        <v>281</v>
      </c>
      <c r="F93"/>
      <c r="G93"/>
      <c r="H93"/>
      <c r="I93" s="1" t="s">
        <v>374</v>
      </c>
      <c r="J93" s="1">
        <v>10</v>
      </c>
    </row>
    <row r="94" spans="1:14" ht="24.95" customHeight="1">
      <c r="A94"/>
      <c r="B94"/>
      <c r="C94"/>
      <c r="D94" s="101" t="s">
        <v>375</v>
      </c>
      <c r="E94" s="302"/>
      <c r="F94"/>
      <c r="G94"/>
      <c r="H94"/>
      <c r="I94" s="1" t="s">
        <v>376</v>
      </c>
      <c r="J94" s="1">
        <v>8</v>
      </c>
    </row>
    <row r="95" spans="1:14" ht="24.95" customHeight="1">
      <c r="A95"/>
      <c r="B95"/>
      <c r="C95"/>
      <c r="D95" s="211" t="s">
        <v>88</v>
      </c>
      <c r="E95" s="303"/>
      <c r="F95"/>
      <c r="G95" s="125"/>
      <c r="H95"/>
      <c r="I95"/>
      <c r="J95"/>
    </row>
    <row r="96" spans="1:14" ht="24.95" customHeight="1" thickBot="1">
      <c r="A96"/>
      <c r="B96"/>
      <c r="C96"/>
      <c r="D96" s="100" t="s">
        <v>88</v>
      </c>
      <c r="E96"/>
      <c r="F96"/>
      <c r="G96"/>
      <c r="H96"/>
      <c r="I96"/>
      <c r="J96"/>
    </row>
    <row r="97" spans="1:16" ht="24.95" customHeight="1" thickBot="1">
      <c r="A97" s="150"/>
      <c r="B97" s="96" t="s">
        <v>381</v>
      </c>
      <c r="C97"/>
      <c r="D97"/>
      <c r="E97"/>
      <c r="F97"/>
      <c r="G97"/>
      <c r="H97"/>
      <c r="I97"/>
      <c r="J97"/>
    </row>
    <row r="98" spans="1:16" ht="26.1" customHeight="1" thickBot="1">
      <c r="A98"/>
      <c r="B98" s="317" t="s">
        <v>382</v>
      </c>
      <c r="C98" s="318"/>
      <c r="D98" s="318"/>
      <c r="E98" s="318"/>
      <c r="F98" s="318"/>
      <c r="G98" s="318"/>
      <c r="H98" s="318"/>
      <c r="I98" s="318"/>
      <c r="J98" s="318"/>
      <c r="K98" s="318"/>
      <c r="L98" s="318"/>
      <c r="M98" s="319"/>
      <c r="N98"/>
      <c r="O98"/>
      <c r="P98"/>
    </row>
    <row r="99" spans="1:16" ht="24.95" customHeight="1" thickBot="1">
      <c r="A99" s="150"/>
      <c r="B99" s="96" t="s">
        <v>383</v>
      </c>
      <c r="C99"/>
      <c r="D99"/>
      <c r="E99"/>
      <c r="F99"/>
      <c r="G99"/>
      <c r="H99"/>
      <c r="I99"/>
      <c r="J99"/>
    </row>
    <row r="100" spans="1:16" ht="24.95" customHeight="1" thickBot="1">
      <c r="A100" s="150"/>
      <c r="B100" s="96" t="s">
        <v>240</v>
      </c>
      <c r="C100"/>
      <c r="D100"/>
      <c r="E100"/>
      <c r="F100"/>
      <c r="G100"/>
      <c r="H100"/>
      <c r="I100"/>
      <c r="J100"/>
    </row>
    <row r="101" spans="1:16" ht="36" customHeight="1" thickBot="1">
      <c r="A101"/>
      <c r="B101"/>
      <c r="C101"/>
      <c r="D101"/>
      <c r="E101" s="176" t="s">
        <v>72</v>
      </c>
      <c r="F101" s="98" t="str">
        <f>CONCATENATE(" Volume for ",$E$12," samples")</f>
        <v xml:space="preserve"> Volume for  samples</v>
      </c>
      <c r="J101"/>
      <c r="K101"/>
      <c r="L101"/>
      <c r="M101"/>
      <c r="N101"/>
      <c r="O101"/>
      <c r="P101"/>
    </row>
    <row r="102" spans="1:16" ht="26.1" customHeight="1" thickBot="1">
      <c r="A102" s="150"/>
      <c r="B102" s="151" t="s">
        <v>73</v>
      </c>
      <c r="C102" s="186"/>
      <c r="D102" s="133" t="s">
        <v>241</v>
      </c>
      <c r="E102" s="155">
        <v>5</v>
      </c>
      <c r="F102" s="156">
        <f>E102*$E$12*1.1</f>
        <v>0</v>
      </c>
      <c r="G102" s="143" t="s">
        <v>74</v>
      </c>
      <c r="J102"/>
      <c r="K102"/>
      <c r="L102"/>
      <c r="M102"/>
      <c r="N102"/>
      <c r="O102"/>
      <c r="P102"/>
    </row>
    <row r="103" spans="1:16" ht="26.1" customHeight="1" thickBot="1">
      <c r="A103"/>
      <c r="B103"/>
      <c r="C103" s="187"/>
      <c r="D103" s="181" t="s">
        <v>242</v>
      </c>
      <c r="E103" s="178">
        <v>10</v>
      </c>
      <c r="F103" s="163">
        <f>E103*$E$12*1.1</f>
        <v>0</v>
      </c>
      <c r="G103" s="164" t="s">
        <v>74</v>
      </c>
      <c r="J103"/>
      <c r="K103"/>
      <c r="L103"/>
      <c r="M103"/>
      <c r="N103"/>
      <c r="O103"/>
      <c r="P103"/>
    </row>
    <row r="104" spans="1:16" ht="21.6" customHeight="1" thickBot="1">
      <c r="A104"/>
      <c r="B104"/>
      <c r="C104"/>
      <c r="D104"/>
      <c r="E104" s="172">
        <f>SUM(E102:E103)</f>
        <v>15</v>
      </c>
      <c r="F104" s="172">
        <f>SUM(F102:F103)</f>
        <v>0</v>
      </c>
      <c r="G104" s="167" t="s">
        <v>74</v>
      </c>
      <c r="H104" s="179" t="s">
        <v>76</v>
      </c>
      <c r="I104" s="179"/>
      <c r="J104"/>
      <c r="K104"/>
      <c r="L104"/>
      <c r="M104"/>
      <c r="N104"/>
      <c r="O104"/>
      <c r="P104"/>
    </row>
    <row r="105" spans="1:16" ht="21.6" customHeight="1" thickBot="1">
      <c r="A105" s="150"/>
      <c r="B105" s="96" t="s">
        <v>84</v>
      </c>
      <c r="C105"/>
      <c r="D105" s="94" t="s">
        <v>243</v>
      </c>
      <c r="E105"/>
      <c r="F105"/>
      <c r="G105"/>
      <c r="H105"/>
      <c r="I105"/>
      <c r="J105"/>
      <c r="K105"/>
      <c r="L105"/>
      <c r="M105"/>
      <c r="N105"/>
      <c r="O105"/>
      <c r="P105"/>
    </row>
    <row r="106" spans="1:16" ht="21.6" customHeight="1">
      <c r="A106"/>
      <c r="B106"/>
      <c r="C106"/>
      <c r="D106" s="94" t="s">
        <v>384</v>
      </c>
      <c r="E106"/>
      <c r="F106"/>
      <c r="G106"/>
      <c r="H106"/>
      <c r="I106"/>
      <c r="J106"/>
      <c r="K106"/>
      <c r="L106"/>
      <c r="M106"/>
      <c r="N106"/>
      <c r="O106"/>
      <c r="P106"/>
    </row>
    <row r="107" spans="1:16" ht="21.6" customHeight="1">
      <c r="A107"/>
      <c r="B107"/>
      <c r="C107"/>
      <c r="D107" s="94" t="s">
        <v>245</v>
      </c>
      <c r="E107"/>
      <c r="F107"/>
      <c r="G107"/>
      <c r="H107"/>
      <c r="I107"/>
      <c r="J107"/>
      <c r="K107"/>
      <c r="L107"/>
      <c r="M107"/>
      <c r="N107"/>
      <c r="O107"/>
      <c r="P107"/>
    </row>
    <row r="108" spans="1:16" ht="21.6" customHeight="1" thickBot="1">
      <c r="A108"/>
      <c r="B108"/>
      <c r="C108"/>
      <c r="D108" s="94" t="s">
        <v>246</v>
      </c>
      <c r="E108"/>
      <c r="F108"/>
      <c r="G108"/>
      <c r="H108"/>
      <c r="I108"/>
      <c r="J108"/>
      <c r="K108"/>
      <c r="L108"/>
      <c r="M108"/>
      <c r="N108"/>
      <c r="O108"/>
      <c r="P108"/>
    </row>
    <row r="109" spans="1:16" ht="24.95" customHeight="1" thickBot="1">
      <c r="A109" s="150"/>
      <c r="B109" s="96" t="s">
        <v>249</v>
      </c>
      <c r="C109"/>
      <c r="D109"/>
      <c r="E109"/>
      <c r="F109"/>
      <c r="G109"/>
      <c r="H109"/>
      <c r="I109"/>
      <c r="J109"/>
    </row>
    <row r="110" spans="1:16" ht="33"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250</v>
      </c>
      <c r="C111" s="186"/>
      <c r="D111" s="133" t="s">
        <v>345</v>
      </c>
      <c r="E111" s="155">
        <v>40</v>
      </c>
      <c r="F111" s="156">
        <f>E111*$E$12*1.1</f>
        <v>0</v>
      </c>
      <c r="G111" s="143" t="s">
        <v>74</v>
      </c>
      <c r="I111"/>
      <c r="J111"/>
      <c r="K111"/>
      <c r="L111"/>
      <c r="M111"/>
      <c r="N111"/>
      <c r="O111"/>
      <c r="P111"/>
    </row>
    <row r="112" spans="1:16" ht="26.1" customHeight="1">
      <c r="A112" s="149"/>
      <c r="B112" s="151"/>
      <c r="C112" s="186"/>
      <c r="D112" s="133" t="s">
        <v>251</v>
      </c>
      <c r="E112" s="159">
        <v>10</v>
      </c>
      <c r="F112" s="156">
        <f>E112*$E$12*1.1</f>
        <v>0</v>
      </c>
      <c r="G112" s="143" t="s">
        <v>74</v>
      </c>
      <c r="I112"/>
      <c r="J112"/>
      <c r="K112"/>
      <c r="L112"/>
      <c r="M112"/>
      <c r="N112"/>
      <c r="O112"/>
      <c r="P112"/>
    </row>
    <row r="113" spans="1:14" ht="26.25" customHeight="1" thickBot="1">
      <c r="A113"/>
      <c r="B113"/>
      <c r="C113"/>
      <c r="D113"/>
      <c r="E113" s="172">
        <f>SUM(E111:E112)</f>
        <v>50</v>
      </c>
      <c r="F113" s="172">
        <f>SUM(F111:F112)</f>
        <v>0</v>
      </c>
      <c r="G113" s="167" t="s">
        <v>74</v>
      </c>
      <c r="H113" s="179" t="s">
        <v>76</v>
      </c>
    </row>
    <row r="114" spans="1:14" ht="20.45" customHeight="1" thickBot="1">
      <c r="A114" s="150"/>
      <c r="B114" s="96" t="s">
        <v>84</v>
      </c>
      <c r="C114"/>
      <c r="D114" s="94" t="s">
        <v>252</v>
      </c>
      <c r="G114" s="146"/>
      <c r="H114" s="179"/>
    </row>
    <row r="115" spans="1:14" ht="20.45" customHeight="1" thickBot="1">
      <c r="A115"/>
      <c r="B115"/>
      <c r="C115"/>
      <c r="D115" s="94" t="s">
        <v>243</v>
      </c>
      <c r="G115" s="146"/>
      <c r="H115" s="179"/>
    </row>
    <row r="116" spans="1:14" ht="24.95" customHeight="1" thickBot="1">
      <c r="A116" s="150"/>
      <c r="B116" s="96" t="s">
        <v>253</v>
      </c>
      <c r="C116"/>
      <c r="D116"/>
      <c r="E116"/>
      <c r="F116"/>
      <c r="G116"/>
      <c r="H116"/>
      <c r="I116"/>
      <c r="J116"/>
    </row>
    <row r="117" spans="1:14" ht="24.95" customHeight="1" thickBot="1">
      <c r="A117" s="150"/>
      <c r="B117" s="96" t="s">
        <v>254</v>
      </c>
      <c r="C117"/>
      <c r="D117"/>
      <c r="E117"/>
      <c r="F117"/>
      <c r="G117"/>
      <c r="H117"/>
      <c r="I117"/>
      <c r="J117"/>
    </row>
    <row r="118" spans="1:14" ht="24.95" customHeight="1" thickBot="1">
      <c r="A118" s="150"/>
      <c r="B118" s="96" t="str">
        <f xml:space="preserve"> CONCATENATE("Add 20 µL of indexes of the plate ",L2)</f>
        <v>Add 20 µL of indexes of the plate TT Set A</v>
      </c>
      <c r="C118"/>
      <c r="D118"/>
      <c r="E118"/>
      <c r="F118"/>
      <c r="G118"/>
      <c r="H118"/>
      <c r="I118"/>
      <c r="J118"/>
    </row>
    <row r="119" spans="1:14" ht="24.95" customHeight="1" thickBot="1">
      <c r="A119" s="188"/>
      <c r="B119" s="179" t="s">
        <v>90</v>
      </c>
      <c r="G119" s="141" t="s">
        <v>91</v>
      </c>
      <c r="H119" s="185"/>
    </row>
    <row r="120" spans="1:14" ht="24.95" customHeight="1">
      <c r="A120" s="149"/>
      <c r="B120" s="189"/>
      <c r="C120" s="104">
        <v>1</v>
      </c>
      <c r="D120" s="104">
        <v>2</v>
      </c>
      <c r="E120" s="104">
        <v>3</v>
      </c>
      <c r="F120" s="104">
        <v>4</v>
      </c>
      <c r="G120" s="104">
        <v>5</v>
      </c>
      <c r="H120" s="104">
        <v>6</v>
      </c>
      <c r="I120" s="104">
        <v>7</v>
      </c>
      <c r="J120" s="104">
        <v>8</v>
      </c>
      <c r="K120" s="104">
        <v>9</v>
      </c>
      <c r="L120" s="104">
        <v>10</v>
      </c>
      <c r="M120" s="104">
        <v>11</v>
      </c>
      <c r="N120" s="104">
        <v>12</v>
      </c>
    </row>
    <row r="121" spans="1:14" ht="17.45"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row>
    <row r="122" spans="1:14" ht="17.4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4" ht="17.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4" ht="17.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4" ht="17.4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4" ht="17.4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4" ht="17.4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4" ht="17.4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24.95" customHeight="1">
      <c r="A130"/>
      <c r="B130"/>
      <c r="C130"/>
      <c r="D130" s="107" t="s">
        <v>101</v>
      </c>
      <c r="E130" s="301" t="str">
        <f>IF($H$168&gt;0,CONCATENATE($H$168," cycles"),"___cycles")</f>
        <v>___cycles</v>
      </c>
      <c r="F130"/>
      <c r="G130"/>
      <c r="H130"/>
      <c r="I130"/>
      <c r="J130"/>
    </row>
    <row r="131" spans="1:16" ht="24.95" customHeight="1">
      <c r="A131"/>
      <c r="B131"/>
      <c r="C131"/>
      <c r="D131" s="107" t="s">
        <v>102</v>
      </c>
      <c r="E131" s="302"/>
      <c r="F131"/>
      <c r="G131"/>
      <c r="H131"/>
      <c r="I131"/>
      <c r="J131"/>
    </row>
    <row r="132" spans="1:16" ht="24.95" customHeight="1">
      <c r="A132"/>
      <c r="B132"/>
      <c r="C132"/>
      <c r="D132" s="107" t="s">
        <v>103</v>
      </c>
      <c r="E132" s="303"/>
      <c r="F132"/>
      <c r="G132"/>
      <c r="H132"/>
      <c r="I132"/>
      <c r="J132"/>
    </row>
    <row r="133" spans="1:16" ht="24.95" customHeight="1" thickBot="1">
      <c r="A133"/>
      <c r="B133"/>
      <c r="C133"/>
      <c r="D133" s="94" t="s">
        <v>104</v>
      </c>
      <c r="E133"/>
      <c r="F133"/>
      <c r="G133"/>
      <c r="H133"/>
      <c r="I133"/>
      <c r="J133"/>
    </row>
    <row r="134" spans="1:16" ht="24.95" customHeight="1" thickBot="1">
      <c r="A134" s="150"/>
      <c r="B134" s="96" t="s">
        <v>385</v>
      </c>
      <c r="C134"/>
      <c r="D134"/>
      <c r="E134"/>
      <c r="F134"/>
      <c r="G134"/>
      <c r="H134"/>
      <c r="I134"/>
      <c r="J134"/>
    </row>
    <row r="135" spans="1:16" ht="26.1" customHeight="1" thickBot="1">
      <c r="A135"/>
      <c r="B135" s="317" t="s">
        <v>386</v>
      </c>
      <c r="C135" s="318"/>
      <c r="D135" s="318"/>
      <c r="E135" s="318"/>
      <c r="F135" s="318"/>
      <c r="G135" s="318"/>
      <c r="H135" s="318"/>
      <c r="I135" s="318"/>
      <c r="J135" s="318"/>
      <c r="K135" s="318"/>
      <c r="L135" s="318"/>
      <c r="M135" s="319"/>
      <c r="N135"/>
      <c r="O135"/>
      <c r="P135"/>
    </row>
    <row r="136" spans="1:16" ht="24.95" customHeight="1" thickBot="1">
      <c r="A136" s="150"/>
      <c r="B136" s="96" t="s">
        <v>239</v>
      </c>
      <c r="C136"/>
      <c r="D136"/>
      <c r="E136"/>
      <c r="F136"/>
      <c r="G136"/>
      <c r="H136"/>
      <c r="I136"/>
      <c r="J136"/>
    </row>
    <row r="137" spans="1:16" ht="24.95" customHeight="1" thickBot="1">
      <c r="A137" s="150"/>
      <c r="B137" s="96" t="s">
        <v>240</v>
      </c>
      <c r="C137"/>
      <c r="D137"/>
      <c r="E137"/>
      <c r="F137"/>
      <c r="G137"/>
      <c r="H137"/>
      <c r="I137"/>
      <c r="J137"/>
    </row>
    <row r="138" spans="1:16" ht="36" customHeight="1" thickBot="1">
      <c r="A138"/>
      <c r="B138"/>
      <c r="C138"/>
      <c r="D138"/>
      <c r="E138" s="176" t="s">
        <v>72</v>
      </c>
      <c r="F138" s="98" t="str">
        <f>CONCATENATE(" Volume for ",$E$12," samples")</f>
        <v xml:space="preserve"> Volume for  samples</v>
      </c>
      <c r="J138"/>
      <c r="K138"/>
      <c r="L138"/>
      <c r="M138"/>
      <c r="N138"/>
      <c r="O138"/>
      <c r="P138"/>
    </row>
    <row r="139" spans="1:16" ht="26.1" customHeight="1" thickBot="1">
      <c r="A139" s="150"/>
      <c r="B139" s="151" t="s">
        <v>73</v>
      </c>
      <c r="C139" s="186"/>
      <c r="D139" s="133" t="s">
        <v>241</v>
      </c>
      <c r="E139" s="155">
        <v>5</v>
      </c>
      <c r="F139" s="156">
        <f>E139*$E$12*1.1</f>
        <v>0</v>
      </c>
      <c r="G139" s="143" t="s">
        <v>74</v>
      </c>
      <c r="J139"/>
      <c r="K139"/>
      <c r="L139"/>
      <c r="M139"/>
      <c r="N139"/>
      <c r="O139"/>
      <c r="P139"/>
    </row>
    <row r="140" spans="1:16" ht="26.1" customHeight="1" thickBot="1">
      <c r="A140"/>
      <c r="B140"/>
      <c r="C140" s="187"/>
      <c r="D140" s="181" t="s">
        <v>242</v>
      </c>
      <c r="E140" s="178">
        <v>10</v>
      </c>
      <c r="F140" s="163">
        <f>E140*$E$12*1.1</f>
        <v>0</v>
      </c>
      <c r="G140" s="164" t="s">
        <v>74</v>
      </c>
      <c r="J140"/>
      <c r="K140"/>
      <c r="L140"/>
      <c r="M140"/>
      <c r="N140"/>
      <c r="O140"/>
      <c r="P140"/>
    </row>
    <row r="141" spans="1:16" ht="21.6" customHeight="1" thickBot="1">
      <c r="A141"/>
      <c r="B141"/>
      <c r="C141"/>
      <c r="D141"/>
      <c r="E141" s="172">
        <f>SUM(E139:E140)</f>
        <v>15</v>
      </c>
      <c r="F141" s="172">
        <f>SUM(F139:F140)</f>
        <v>0</v>
      </c>
      <c r="G141" s="167" t="s">
        <v>74</v>
      </c>
      <c r="H141" s="179" t="s">
        <v>76</v>
      </c>
      <c r="I141" s="179"/>
      <c r="J141"/>
      <c r="K141"/>
      <c r="L141"/>
      <c r="M141"/>
      <c r="N141"/>
      <c r="O141"/>
      <c r="P141"/>
    </row>
    <row r="142" spans="1:16" ht="21.6" customHeight="1" thickBot="1">
      <c r="A142" s="150"/>
      <c r="B142" s="96" t="s">
        <v>84</v>
      </c>
      <c r="C142"/>
      <c r="D142" s="94" t="s">
        <v>243</v>
      </c>
      <c r="E142"/>
      <c r="F142"/>
      <c r="G142"/>
      <c r="H142"/>
      <c r="I142"/>
      <c r="J142"/>
      <c r="K142"/>
      <c r="L142"/>
      <c r="M142"/>
      <c r="N142"/>
      <c r="O142"/>
      <c r="P142"/>
    </row>
    <row r="143" spans="1:16" ht="21.6" customHeight="1">
      <c r="A143"/>
      <c r="B143"/>
      <c r="C143"/>
      <c r="D143" s="94" t="s">
        <v>244</v>
      </c>
      <c r="E143"/>
      <c r="F143"/>
      <c r="G143"/>
      <c r="H143"/>
      <c r="I143"/>
      <c r="J143"/>
      <c r="K143"/>
      <c r="L143"/>
      <c r="M143"/>
      <c r="N143"/>
      <c r="O143"/>
      <c r="P143"/>
    </row>
    <row r="144" spans="1:16" ht="21.6" customHeight="1">
      <c r="A144"/>
      <c r="B144"/>
      <c r="C144"/>
      <c r="D144" s="94" t="s">
        <v>245</v>
      </c>
      <c r="E144"/>
      <c r="F144"/>
      <c r="G144"/>
      <c r="H144"/>
      <c r="I144"/>
      <c r="J144"/>
      <c r="K144"/>
      <c r="L144"/>
      <c r="M144"/>
      <c r="N144"/>
      <c r="O144"/>
      <c r="P144"/>
    </row>
    <row r="145" spans="1:16" ht="21.6" customHeight="1" thickBot="1">
      <c r="A145"/>
      <c r="B145"/>
      <c r="C145"/>
      <c r="D145" s="94" t="s">
        <v>246</v>
      </c>
      <c r="E145"/>
      <c r="F145"/>
      <c r="G145"/>
      <c r="H145"/>
      <c r="I145"/>
      <c r="J145"/>
      <c r="K145"/>
      <c r="L145"/>
      <c r="M145"/>
      <c r="N145"/>
      <c r="O145"/>
      <c r="P145"/>
    </row>
    <row r="146" spans="1:16" ht="24.95" customHeight="1" thickBot="1">
      <c r="A146" s="150"/>
      <c r="B146" s="375" t="s">
        <v>247</v>
      </c>
      <c r="C146" s="375"/>
      <c r="D146" s="375"/>
      <c r="E146" s="375"/>
      <c r="F146" s="375"/>
      <c r="G146" s="375"/>
      <c r="H146" s="375"/>
      <c r="I146" s="375"/>
      <c r="J146"/>
      <c r="K146" s="103" t="s">
        <v>248</v>
      </c>
    </row>
    <row r="147" spans="1:16" ht="17.45" customHeight="1" thickBot="1">
      <c r="A147"/>
      <c r="B147" s="375"/>
      <c r="C147" s="375"/>
      <c r="D147" s="375"/>
      <c r="E147" s="375"/>
      <c r="F147" s="375"/>
      <c r="G147" s="375"/>
      <c r="H147" s="375"/>
      <c r="I147" s="375"/>
      <c r="J147"/>
      <c r="K147"/>
      <c r="L147"/>
      <c r="M147"/>
      <c r="N147"/>
      <c r="O147"/>
      <c r="P147"/>
    </row>
    <row r="148" spans="1:16" ht="24.95" customHeight="1" thickBot="1">
      <c r="A148" s="150"/>
      <c r="B148" s="96" t="s">
        <v>249</v>
      </c>
      <c r="C148"/>
      <c r="D148"/>
      <c r="E148"/>
      <c r="F148"/>
      <c r="G148"/>
      <c r="H148"/>
      <c r="I148"/>
      <c r="J148"/>
    </row>
    <row r="149" spans="1:16" ht="33" customHeight="1" thickBot="1">
      <c r="A149"/>
      <c r="B149"/>
      <c r="C149"/>
      <c r="D149"/>
      <c r="E149" s="176" t="s">
        <v>72</v>
      </c>
      <c r="F149" s="98" t="str">
        <f>CONCATENATE(" Volume for ",$E$12," samples")</f>
        <v xml:space="preserve"> Volume for  samples</v>
      </c>
      <c r="I149"/>
      <c r="J149"/>
      <c r="K149"/>
      <c r="L149"/>
      <c r="M149"/>
      <c r="N149"/>
      <c r="O149"/>
      <c r="P149"/>
    </row>
    <row r="150" spans="1:16" ht="26.1" customHeight="1" thickBot="1">
      <c r="A150" s="150"/>
      <c r="B150" s="96" t="s">
        <v>250</v>
      </c>
      <c r="C150" s="186"/>
      <c r="D150" s="133" t="s">
        <v>345</v>
      </c>
      <c r="E150" s="155">
        <v>40</v>
      </c>
      <c r="F150" s="156">
        <f>E150*$E$12*1.1</f>
        <v>0</v>
      </c>
      <c r="G150" s="143" t="s">
        <v>74</v>
      </c>
      <c r="I150"/>
      <c r="J150"/>
      <c r="K150"/>
      <c r="L150"/>
      <c r="M150"/>
      <c r="N150"/>
      <c r="O150"/>
      <c r="P150"/>
    </row>
    <row r="151" spans="1:16" ht="26.1" customHeight="1">
      <c r="A151" s="149"/>
      <c r="B151" s="151"/>
      <c r="C151" s="186"/>
      <c r="D151" s="133" t="s">
        <v>251</v>
      </c>
      <c r="E151" s="159">
        <v>10</v>
      </c>
      <c r="F151" s="156">
        <f>E151*$E$12*1.1</f>
        <v>0</v>
      </c>
      <c r="G151" s="143" t="s">
        <v>74</v>
      </c>
      <c r="I151"/>
      <c r="J151"/>
      <c r="K151"/>
      <c r="L151"/>
      <c r="M151"/>
      <c r="N151"/>
      <c r="O151"/>
      <c r="P151"/>
    </row>
    <row r="152" spans="1:16" ht="26.25" customHeight="1" thickBot="1">
      <c r="A152"/>
      <c r="B152"/>
      <c r="C152"/>
      <c r="D152"/>
      <c r="E152" s="172">
        <f>SUM(E150:E151)</f>
        <v>50</v>
      </c>
      <c r="F152" s="172">
        <f>SUM(F150:F151)</f>
        <v>0</v>
      </c>
      <c r="G152" s="167" t="s">
        <v>74</v>
      </c>
      <c r="H152" s="179" t="s">
        <v>76</v>
      </c>
    </row>
    <row r="153" spans="1:16" ht="20.45" customHeight="1" thickBot="1">
      <c r="A153" s="150"/>
      <c r="B153" s="96" t="s">
        <v>84</v>
      </c>
      <c r="C153"/>
      <c r="D153" s="94" t="s">
        <v>252</v>
      </c>
      <c r="G153" s="146"/>
      <c r="H153" s="179"/>
    </row>
    <row r="154" spans="1:16" ht="20.45" customHeight="1" thickBot="1">
      <c r="A154"/>
      <c r="B154"/>
      <c r="C154"/>
      <c r="D154" s="94" t="s">
        <v>243</v>
      </c>
      <c r="G154" s="146"/>
      <c r="H154" s="179"/>
    </row>
    <row r="155" spans="1:16" ht="24.95" customHeight="1" thickBot="1">
      <c r="A155" s="150"/>
      <c r="B155" s="96" t="s">
        <v>253</v>
      </c>
      <c r="C155"/>
      <c r="D155"/>
      <c r="E155"/>
      <c r="F155"/>
      <c r="G155"/>
      <c r="H155"/>
      <c r="I155"/>
      <c r="J155"/>
    </row>
    <row r="156" spans="1:16" ht="24.95" customHeight="1" thickBot="1">
      <c r="A156" s="150"/>
      <c r="B156" s="96" t="s">
        <v>254</v>
      </c>
      <c r="C156"/>
      <c r="D156"/>
      <c r="E156"/>
      <c r="F156"/>
      <c r="G156"/>
      <c r="H156"/>
      <c r="I156"/>
      <c r="J156"/>
    </row>
    <row r="157" spans="1:16" ht="24.95" customHeight="1" thickBot="1">
      <c r="A157" s="150"/>
      <c r="B157" s="96" t="str">
        <f>CONCATENATE("Add 20 µL of indexes of the plate ", L2)</f>
        <v>Add 20 µL of indexes of the plate TT Set A</v>
      </c>
      <c r="C157"/>
      <c r="D157"/>
      <c r="E157"/>
      <c r="F157"/>
      <c r="G157"/>
      <c r="H157"/>
      <c r="I157"/>
      <c r="J157"/>
    </row>
    <row r="158" spans="1:16" ht="24.95" customHeight="1" thickBot="1">
      <c r="A158" s="188"/>
      <c r="B158" s="179" t="s">
        <v>90</v>
      </c>
      <c r="G158" s="141" t="s">
        <v>91</v>
      </c>
      <c r="H158" s="185"/>
    </row>
    <row r="159" spans="1:16" ht="24.95" customHeight="1">
      <c r="A159" s="149"/>
      <c r="B159" s="189"/>
      <c r="C159" s="104">
        <v>1</v>
      </c>
      <c r="D159" s="104">
        <v>2</v>
      </c>
      <c r="E159" s="104">
        <v>3</v>
      </c>
      <c r="F159" s="104">
        <v>4</v>
      </c>
      <c r="G159" s="104">
        <v>5</v>
      </c>
      <c r="H159" s="104">
        <v>6</v>
      </c>
      <c r="I159" s="104">
        <v>7</v>
      </c>
      <c r="J159" s="104">
        <v>8</v>
      </c>
      <c r="K159" s="104">
        <v>9</v>
      </c>
      <c r="L159" s="104">
        <v>10</v>
      </c>
      <c r="M159" s="104">
        <v>11</v>
      </c>
      <c r="N159" s="104">
        <v>12</v>
      </c>
    </row>
    <row r="160" spans="1:16" ht="17.45"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row>
    <row r="161" spans="1:14" ht="17.4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17.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17.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24.95" customHeight="1">
      <c r="A169"/>
      <c r="B169"/>
      <c r="C169"/>
      <c r="D169" s="107" t="s">
        <v>101</v>
      </c>
      <c r="E169" s="301" t="str">
        <f>IF($H$168&gt;0,CONCATENATE($H$168," cycles"),"___cycles")</f>
        <v>___cycles</v>
      </c>
      <c r="F169"/>
      <c r="G169"/>
      <c r="H169"/>
      <c r="I169"/>
      <c r="J169"/>
    </row>
    <row r="170" spans="1:14" ht="24.95" customHeight="1">
      <c r="A170"/>
      <c r="B170"/>
      <c r="C170"/>
      <c r="D170" s="107" t="s">
        <v>102</v>
      </c>
      <c r="E170" s="302"/>
      <c r="F170"/>
      <c r="G170"/>
      <c r="H170"/>
      <c r="I170"/>
      <c r="J170"/>
    </row>
    <row r="171" spans="1:14" ht="24.95" customHeight="1">
      <c r="A171"/>
      <c r="B171"/>
      <c r="C171"/>
      <c r="D171" s="107" t="s">
        <v>103</v>
      </c>
      <c r="E171" s="303"/>
      <c r="F171"/>
      <c r="G171"/>
      <c r="H171"/>
      <c r="I171"/>
      <c r="J171"/>
    </row>
    <row r="172" spans="1:14" ht="24.95" customHeight="1" thickBot="1">
      <c r="A172"/>
      <c r="B172"/>
      <c r="C172"/>
      <c r="D172" s="94" t="s">
        <v>104</v>
      </c>
      <c r="E172"/>
      <c r="F172"/>
      <c r="G172"/>
      <c r="H172"/>
      <c r="I172"/>
      <c r="J172"/>
    </row>
    <row r="173" spans="1:14" ht="24.95" customHeight="1" thickBot="1">
      <c r="A173" s="150"/>
      <c r="B173" s="376" t="s">
        <v>255</v>
      </c>
      <c r="C173" s="375"/>
      <c r="D173" s="375"/>
      <c r="E173" s="375"/>
      <c r="F173" s="375"/>
      <c r="G173" s="375"/>
      <c r="H173" s="375"/>
      <c r="I173" s="375"/>
      <c r="J173"/>
      <c r="K173" s="103" t="s">
        <v>248</v>
      </c>
    </row>
    <row r="174" spans="1:14" ht="12" customHeight="1" thickBot="1">
      <c r="A174"/>
      <c r="B174" s="375"/>
      <c r="C174" s="375"/>
      <c r="D174" s="375"/>
      <c r="E174" s="375"/>
      <c r="F174" s="375"/>
      <c r="G174" s="375"/>
      <c r="H174" s="375"/>
      <c r="I174" s="375"/>
      <c r="J174"/>
      <c r="K174" s="103"/>
    </row>
    <row r="175" spans="1:14" ht="24.95" customHeight="1" thickBot="1">
      <c r="A175" s="150"/>
      <c r="B175" s="96" t="s">
        <v>256</v>
      </c>
      <c r="C175"/>
      <c r="D175"/>
      <c r="E175"/>
      <c r="F175"/>
      <c r="G175"/>
      <c r="H175"/>
      <c r="I175"/>
      <c r="J175"/>
    </row>
    <row r="176" spans="1:14" ht="24.95" customHeight="1" thickBot="1">
      <c r="A176"/>
      <c r="B176" s="424" t="s">
        <v>387</v>
      </c>
      <c r="C176" s="425"/>
      <c r="D176" s="425"/>
      <c r="E176" s="425"/>
      <c r="F176" s="425"/>
      <c r="G176" s="425"/>
      <c r="H176" s="425"/>
      <c r="I176" s="425"/>
      <c r="J176" s="425"/>
      <c r="K176" s="425"/>
      <c r="L176" s="425"/>
      <c r="M176" s="425"/>
      <c r="N176" s="426"/>
    </row>
    <row r="177" spans="1:14" ht="24.95" customHeight="1" thickBot="1">
      <c r="A177" s="150"/>
      <c r="B177" s="96" t="s">
        <v>280</v>
      </c>
      <c r="C177"/>
      <c r="D177"/>
      <c r="E177"/>
      <c r="F177"/>
      <c r="G177"/>
      <c r="H177"/>
      <c r="I177"/>
      <c r="J177"/>
    </row>
    <row r="178" spans="1:14" ht="29.4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369</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6" customHeight="1" thickBot="1">
      <c r="A181"/>
      <c r="B181"/>
      <c r="C181"/>
      <c r="D181" s="102" t="s">
        <v>105</v>
      </c>
      <c r="E181" s="102">
        <f>+SUM(E179:E180)</f>
        <v>75</v>
      </c>
      <c r="F181" s="102">
        <f>SUM(F179:F180)</f>
        <v>0</v>
      </c>
      <c r="G181" s="102" t="s">
        <v>74</v>
      </c>
      <c r="H181"/>
      <c r="I181"/>
      <c r="J181"/>
    </row>
    <row r="182" spans="1:14" ht="24.6" customHeight="1" thickBot="1">
      <c r="A182" s="150"/>
      <c r="B182" s="96" t="s">
        <v>388</v>
      </c>
      <c r="C182"/>
      <c r="D182"/>
      <c r="E182"/>
      <c r="F182" s="99"/>
      <c r="G182" s="99"/>
      <c r="H182"/>
      <c r="I182"/>
      <c r="J182"/>
    </row>
    <row r="183" spans="1:14" ht="24.9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17.4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17.4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17.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17.4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17.4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17.45"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17.45"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17.4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24.95" customHeight="1">
      <c r="A194"/>
      <c r="B194"/>
      <c r="C194"/>
      <c r="D194" s="101" t="s">
        <v>101</v>
      </c>
      <c r="E194" s="301" t="s">
        <v>281</v>
      </c>
      <c r="F194"/>
      <c r="G194"/>
      <c r="H194"/>
      <c r="I194"/>
      <c r="J194"/>
    </row>
    <row r="195" spans="1:13" ht="24.95" customHeight="1">
      <c r="A195"/>
      <c r="B195"/>
      <c r="C195"/>
      <c r="D195" s="101" t="s">
        <v>102</v>
      </c>
      <c r="E195" s="302"/>
      <c r="F195"/>
      <c r="G195"/>
      <c r="H195"/>
      <c r="I195"/>
      <c r="J195"/>
    </row>
    <row r="196" spans="1:13" ht="24.95" customHeight="1">
      <c r="A196"/>
      <c r="B196"/>
      <c r="C196"/>
      <c r="D196" s="211" t="s">
        <v>103</v>
      </c>
      <c r="E196" s="303"/>
      <c r="F196"/>
      <c r="G196" s="125"/>
      <c r="H196"/>
      <c r="I196"/>
      <c r="J196"/>
    </row>
    <row r="197" spans="1:13" ht="24.95" customHeight="1" thickBot="1">
      <c r="A197"/>
      <c r="B197"/>
      <c r="C197"/>
      <c r="D197" s="100" t="s">
        <v>88</v>
      </c>
      <c r="E197"/>
      <c r="F197"/>
      <c r="G197"/>
      <c r="H197"/>
      <c r="I197"/>
      <c r="J197"/>
    </row>
    <row r="198" spans="1:13" ht="24.95" customHeight="1" thickBot="1">
      <c r="A198" s="150"/>
      <c r="B198" s="96" t="s">
        <v>389</v>
      </c>
      <c r="C198"/>
      <c r="D198"/>
      <c r="E198"/>
      <c r="F198"/>
      <c r="G198"/>
      <c r="H198"/>
      <c r="I198"/>
      <c r="J198"/>
    </row>
    <row r="199" spans="1:13" ht="26.1" customHeight="1" thickBot="1">
      <c r="A199" s="188"/>
      <c r="B199" s="310" t="s">
        <v>106</v>
      </c>
      <c r="C199" s="311"/>
      <c r="D199" s="311"/>
      <c r="E199" s="427"/>
      <c r="F199" s="427"/>
      <c r="G199" s="311"/>
      <c r="H199" s="311"/>
      <c r="I199" s="311"/>
      <c r="J199" s="311"/>
      <c r="K199" s="311"/>
      <c r="L199" s="311"/>
      <c r="M199" s="312"/>
    </row>
    <row r="200" spans="1:13" ht="26.1" customHeight="1" thickBot="1">
      <c r="A200" s="175"/>
      <c r="B200" s="96" t="s">
        <v>107</v>
      </c>
      <c r="C200" s="151"/>
      <c r="E200" s="109" t="s">
        <v>108</v>
      </c>
      <c r="F200" s="98" t="s">
        <v>109</v>
      </c>
      <c r="H200" s="109" t="s">
        <v>108</v>
      </c>
      <c r="I200" s="98" t="s">
        <v>109</v>
      </c>
    </row>
    <row r="201" spans="1:13" ht="26.1" customHeight="1">
      <c r="A201" s="179"/>
      <c r="B201" s="96"/>
      <c r="C201" s="151"/>
      <c r="E201" s="109"/>
      <c r="F201" s="98"/>
      <c r="H201" s="109"/>
      <c r="I201" s="98"/>
    </row>
    <row r="202" spans="1:13" ht="26.1" customHeight="1" thickBot="1">
      <c r="A202" s="179"/>
      <c r="B202" s="96"/>
      <c r="C202" s="151"/>
      <c r="E202" s="156"/>
      <c r="F202" s="156"/>
      <c r="H202" s="156"/>
      <c r="I202" s="156"/>
    </row>
    <row r="203" spans="1:13" ht="26.1" customHeight="1" thickBot="1">
      <c r="A203" s="175"/>
      <c r="B203" s="151" t="s">
        <v>110</v>
      </c>
      <c r="C203"/>
      <c r="D203"/>
      <c r="E203"/>
    </row>
    <row r="204" spans="1:13" ht="26.1" customHeight="1">
      <c r="A204" s="179"/>
      <c r="C204" s="96" t="s">
        <v>111</v>
      </c>
      <c r="D204" s="96"/>
      <c r="E204" s="96"/>
      <c r="F204" s="96" t="s">
        <v>406</v>
      </c>
      <c r="G204" s="151"/>
    </row>
    <row r="205" spans="1:13" ht="25.5" customHeight="1">
      <c r="A205" s="179"/>
      <c r="C205" s="96" t="s">
        <v>416</v>
      </c>
      <c r="E205" s="96"/>
      <c r="F205" s="96"/>
      <c r="G205" s="151"/>
      <c r="H205" s="244" t="s">
        <v>407</v>
      </c>
    </row>
    <row r="206" spans="1:13" ht="26.1" customHeight="1">
      <c r="A206" s="179"/>
      <c r="C206" s="96" t="s">
        <v>417</v>
      </c>
      <c r="D206" s="242"/>
      <c r="E206" s="242"/>
      <c r="F206" s="242"/>
      <c r="G206" s="151"/>
      <c r="H206" s="244" t="s">
        <v>408</v>
      </c>
    </row>
    <row r="207" spans="1:13" ht="26.1" customHeight="1">
      <c r="A207" s="179"/>
      <c r="C207" s="96" t="s">
        <v>418</v>
      </c>
      <c r="D207" s="243"/>
      <c r="E207" s="243"/>
      <c r="F207" s="243"/>
      <c r="G207" s="151"/>
      <c r="H207" s="244" t="s">
        <v>409</v>
      </c>
    </row>
    <row r="208" spans="1:13" ht="26.1" customHeight="1">
      <c r="A208" s="179"/>
      <c r="C208" s="96" t="s">
        <v>419</v>
      </c>
      <c r="D208" s="243"/>
      <c r="E208" s="243"/>
      <c r="F208" s="243"/>
      <c r="G208" s="151"/>
      <c r="H208" s="244" t="s">
        <v>410</v>
      </c>
    </row>
    <row r="209" spans="1:9" ht="26.1" customHeight="1">
      <c r="A209" s="179"/>
      <c r="C209" s="96" t="s">
        <v>420</v>
      </c>
      <c r="E209" s="96"/>
      <c r="F209" s="96"/>
      <c r="G209" s="151"/>
      <c r="H209" s="244" t="s">
        <v>411</v>
      </c>
    </row>
    <row r="210" spans="1:9" ht="26.1" customHeight="1">
      <c r="A210" s="179"/>
      <c r="C210" s="96" t="s">
        <v>421</v>
      </c>
      <c r="E210" s="96"/>
      <c r="F210" s="96"/>
      <c r="G210" s="151"/>
      <c r="H210" s="244" t="s">
        <v>412</v>
      </c>
    </row>
    <row r="211" spans="1:9" ht="26.1" customHeight="1">
      <c r="A211" s="179"/>
      <c r="C211" s="96" t="s">
        <v>422</v>
      </c>
      <c r="E211" s="96"/>
      <c r="F211" s="96"/>
      <c r="G211" s="151"/>
      <c r="H211" s="244" t="s">
        <v>413</v>
      </c>
    </row>
    <row r="212" spans="1:9" ht="26.1" customHeight="1">
      <c r="A212" s="179"/>
      <c r="C212" s="96" t="s">
        <v>423</v>
      </c>
      <c r="E212" s="96"/>
      <c r="F212" s="96"/>
      <c r="G212" s="151"/>
      <c r="H212" s="244" t="s">
        <v>414</v>
      </c>
    </row>
    <row r="213" spans="1:9" ht="26.1" customHeight="1">
      <c r="A213" s="179"/>
      <c r="C213" s="96" t="s">
        <v>424</v>
      </c>
      <c r="E213" s="96"/>
      <c r="F213" s="96"/>
      <c r="G213" s="151"/>
      <c r="H213" s="244" t="s">
        <v>415</v>
      </c>
    </row>
    <row r="216" spans="1:9" ht="26.1" customHeight="1">
      <c r="C216" s="373" t="s">
        <v>114</v>
      </c>
      <c r="D216" s="373"/>
      <c r="E216" s="373"/>
      <c r="F216" s="366" t="s">
        <v>525</v>
      </c>
      <c r="G216" s="367"/>
      <c r="H216" s="367"/>
      <c r="I216" s="368"/>
    </row>
    <row r="217" spans="1:9" ht="26.1" customHeight="1">
      <c r="C217" s="374" t="s">
        <v>115</v>
      </c>
      <c r="D217" s="374"/>
      <c r="E217" s="374"/>
      <c r="F217" s="366" t="s">
        <v>116</v>
      </c>
      <c r="G217" s="367"/>
      <c r="H217" s="367"/>
      <c r="I217" s="368"/>
    </row>
    <row r="218" spans="1:9" ht="26.1" customHeight="1">
      <c r="C218" s="374" t="s">
        <v>117</v>
      </c>
      <c r="D218" s="374"/>
      <c r="E218" s="374"/>
      <c r="F218" s="366" t="s">
        <v>118</v>
      </c>
      <c r="G218" s="367"/>
      <c r="H218" s="367"/>
      <c r="I218" s="368"/>
    </row>
    <row r="219" spans="1:9" ht="30.6" customHeight="1">
      <c r="C219" s="366" t="s">
        <v>119</v>
      </c>
      <c r="D219" s="367"/>
      <c r="E219" s="368"/>
      <c r="F219" s="366" t="s">
        <v>390</v>
      </c>
      <c r="G219" s="367"/>
      <c r="H219" s="367"/>
      <c r="I219" s="368"/>
    </row>
    <row r="220" spans="1:9" ht="26.1" customHeight="1">
      <c r="C220" s="366" t="s">
        <v>120</v>
      </c>
      <c r="D220" s="367"/>
      <c r="E220" s="368"/>
      <c r="F220" s="366" t="s">
        <v>282</v>
      </c>
      <c r="G220" s="367"/>
      <c r="H220" s="367"/>
      <c r="I220" s="368"/>
    </row>
    <row r="221" spans="1:9" ht="26.1" customHeight="1">
      <c r="C221" s="366" t="s">
        <v>122</v>
      </c>
      <c r="D221" s="367"/>
      <c r="E221" s="368"/>
      <c r="F221" s="366" t="s">
        <v>121</v>
      </c>
      <c r="G221" s="367"/>
      <c r="H221" s="367"/>
      <c r="I221" s="368"/>
    </row>
    <row r="222" spans="1:9" ht="26.1" customHeight="1">
      <c r="C222" s="366" t="s">
        <v>123</v>
      </c>
      <c r="D222" s="367"/>
      <c r="E222" s="368"/>
      <c r="F222" s="370">
        <v>20251205</v>
      </c>
      <c r="G222" s="371"/>
      <c r="H222" s="371"/>
      <c r="I222" s="372"/>
    </row>
    <row r="223" spans="1:9" ht="26.1" customHeight="1">
      <c r="C223" s="366" t="s">
        <v>124</v>
      </c>
      <c r="D223" s="367"/>
      <c r="E223" s="368"/>
      <c r="F223" s="370">
        <v>20251001</v>
      </c>
      <c r="G223" s="371"/>
      <c r="H223" s="371"/>
      <c r="I223" s="372"/>
    </row>
  </sheetData>
  <mergeCells count="107">
    <mergeCell ref="M3:N3"/>
    <mergeCell ref="O3:P4"/>
    <mergeCell ref="A4:D4"/>
    <mergeCell ref="E4:G4"/>
    <mergeCell ref="M4:N4"/>
    <mergeCell ref="A5:D5"/>
    <mergeCell ref="E5:G5"/>
    <mergeCell ref="M5:N5"/>
    <mergeCell ref="C1:J1"/>
    <mergeCell ref="A2:D2"/>
    <mergeCell ref="E2:G2"/>
    <mergeCell ref="A3:D3"/>
    <mergeCell ref="E3:G3"/>
    <mergeCell ref="J3:K3"/>
    <mergeCell ref="A6:D6"/>
    <mergeCell ref="E6:G6"/>
    <mergeCell ref="M6:N6"/>
    <mergeCell ref="A7:D7"/>
    <mergeCell ref="E7:G7"/>
    <mergeCell ref="A8:D8"/>
    <mergeCell ref="E8:G8"/>
    <mergeCell ref="J8:N9"/>
    <mergeCell ref="A9:D9"/>
    <mergeCell ref="E9:G9"/>
    <mergeCell ref="B13:M13"/>
    <mergeCell ref="C24:D24"/>
    <mergeCell ref="F24:G24"/>
    <mergeCell ref="C25:D25"/>
    <mergeCell ref="F25:G25"/>
    <mergeCell ref="A10:D10"/>
    <mergeCell ref="E10:G10"/>
    <mergeCell ref="J10:N11"/>
    <mergeCell ref="A11:D11"/>
    <mergeCell ref="E11:G11"/>
    <mergeCell ref="A12:D12"/>
    <mergeCell ref="C29:D29"/>
    <mergeCell ref="F29:G29"/>
    <mergeCell ref="C30:D30"/>
    <mergeCell ref="F30:G30"/>
    <mergeCell ref="C31:D31"/>
    <mergeCell ref="F31:G31"/>
    <mergeCell ref="C26:D26"/>
    <mergeCell ref="F26:G26"/>
    <mergeCell ref="C27:D27"/>
    <mergeCell ref="F27:G27"/>
    <mergeCell ref="C28:D28"/>
    <mergeCell ref="F28:G28"/>
    <mergeCell ref="G46:I46"/>
    <mergeCell ref="C49:D49"/>
    <mergeCell ref="C50:D50"/>
    <mergeCell ref="C51:D51"/>
    <mergeCell ref="I55:J55"/>
    <mergeCell ref="I56:J56"/>
    <mergeCell ref="C32:D32"/>
    <mergeCell ref="F32:G32"/>
    <mergeCell ref="B39:M39"/>
    <mergeCell ref="B42:F42"/>
    <mergeCell ref="G43:I43"/>
    <mergeCell ref="C44:E45"/>
    <mergeCell ref="G44:I44"/>
    <mergeCell ref="G45:I45"/>
    <mergeCell ref="B67:F67"/>
    <mergeCell ref="H67:M67"/>
    <mergeCell ref="B68:F68"/>
    <mergeCell ref="H68:M68"/>
    <mergeCell ref="B69:F69"/>
    <mergeCell ref="H69:M69"/>
    <mergeCell ref="E59:E61"/>
    <mergeCell ref="B63:M63"/>
    <mergeCell ref="B64:M64"/>
    <mergeCell ref="B65:F65"/>
    <mergeCell ref="H65:M65"/>
    <mergeCell ref="B66:F66"/>
    <mergeCell ref="H66:M66"/>
    <mergeCell ref="B135:M135"/>
    <mergeCell ref="B146:I147"/>
    <mergeCell ref="E169:E171"/>
    <mergeCell ref="B70:F70"/>
    <mergeCell ref="H70:M70"/>
    <mergeCell ref="H71:M71"/>
    <mergeCell ref="B72:N72"/>
    <mergeCell ref="E80:E82"/>
    <mergeCell ref="B85:N85"/>
    <mergeCell ref="C222:E222"/>
    <mergeCell ref="F222:I222"/>
    <mergeCell ref="C223:E223"/>
    <mergeCell ref="F223:I223"/>
    <mergeCell ref="I24:N24"/>
    <mergeCell ref="C219:E219"/>
    <mergeCell ref="F219:I219"/>
    <mergeCell ref="C220:E220"/>
    <mergeCell ref="F220:I220"/>
    <mergeCell ref="C221:E221"/>
    <mergeCell ref="F221:I221"/>
    <mergeCell ref="C216:E216"/>
    <mergeCell ref="F216:I216"/>
    <mergeCell ref="C217:E217"/>
    <mergeCell ref="F217:I217"/>
    <mergeCell ref="C218:E218"/>
    <mergeCell ref="F218:I218"/>
    <mergeCell ref="B173:I174"/>
    <mergeCell ref="B176:N176"/>
    <mergeCell ref="E194:E196"/>
    <mergeCell ref="B199:M199"/>
    <mergeCell ref="E93:E95"/>
    <mergeCell ref="B98:M98"/>
    <mergeCell ref="E130:E132"/>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90DF0-41D2-49AD-AE30-FE30547B4445}">
  <sheetPr codeName="Sheet8"/>
  <dimension ref="A1:AK220"/>
  <sheetViews>
    <sheetView topLeftCell="A195" zoomScaleNormal="100" workbookViewId="0">
      <selection activeCell="F211" sqref="F211:I21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37" t="s">
        <v>446</v>
      </c>
      <c r="D1" s="406"/>
      <c r="E1" s="406"/>
      <c r="F1" s="406"/>
      <c r="G1" s="406"/>
      <c r="H1" s="406"/>
      <c r="I1" s="406"/>
      <c r="J1" s="406"/>
      <c r="Q1" s="90"/>
    </row>
    <row r="2" spans="1:37" ht="26.25" customHeight="1">
      <c r="A2" s="338" t="s">
        <v>61</v>
      </c>
      <c r="B2" s="402"/>
      <c r="C2" s="402"/>
      <c r="D2" s="403"/>
      <c r="E2" s="339"/>
      <c r="F2" s="402"/>
      <c r="G2" s="403"/>
    </row>
    <row r="3" spans="1:37" ht="26.25" customHeight="1">
      <c r="A3" s="422" t="s">
        <v>63</v>
      </c>
      <c r="B3" s="402"/>
      <c r="C3" s="402"/>
      <c r="D3" s="403"/>
      <c r="E3" s="339"/>
      <c r="F3" s="402"/>
      <c r="G3" s="403"/>
      <c r="K3" s="145" t="s">
        <v>210</v>
      </c>
      <c r="L3" s="144" t="s">
        <v>211</v>
      </c>
    </row>
    <row r="4" spans="1:37" ht="23.45" customHeight="1">
      <c r="A4" s="352" t="s">
        <v>212</v>
      </c>
      <c r="B4" s="402"/>
      <c r="C4" s="402"/>
      <c r="D4" s="403"/>
      <c r="E4" s="339"/>
      <c r="F4" s="402"/>
      <c r="G4" s="403"/>
      <c r="J4" s="288" t="s">
        <v>64</v>
      </c>
      <c r="K4" s="421"/>
      <c r="L4" s="144"/>
      <c r="AK4" s="147"/>
    </row>
    <row r="5" spans="1:37" ht="25.5" customHeight="1">
      <c r="A5" s="352" t="s">
        <v>324</v>
      </c>
      <c r="B5" s="402"/>
      <c r="C5" s="402"/>
      <c r="D5" s="403"/>
      <c r="E5" s="339"/>
      <c r="F5" s="402"/>
      <c r="G5" s="403"/>
      <c r="AK5" s="147"/>
    </row>
    <row r="6" spans="1:37" ht="23.45" customHeight="1">
      <c r="A6" s="338" t="s">
        <v>433</v>
      </c>
      <c r="B6" s="402"/>
      <c r="C6" s="402"/>
      <c r="D6" s="403"/>
      <c r="E6" s="339"/>
      <c r="F6" s="402"/>
      <c r="G6" s="403"/>
      <c r="AK6" s="147"/>
    </row>
    <row r="7" spans="1:37" ht="28.5" customHeight="1">
      <c r="A7" s="352" t="s">
        <v>326</v>
      </c>
      <c r="B7" s="402"/>
      <c r="C7" s="402"/>
      <c r="D7" s="403"/>
      <c r="E7" s="339"/>
      <c r="F7" s="402"/>
      <c r="G7" s="403"/>
      <c r="AK7" s="147"/>
    </row>
    <row r="8" spans="1:37" ht="29.25" customHeight="1">
      <c r="A8" s="338" t="s">
        <v>66</v>
      </c>
      <c r="B8" s="402"/>
      <c r="C8" s="402"/>
      <c r="D8" s="403"/>
      <c r="E8" s="359"/>
      <c r="F8" s="402"/>
      <c r="G8" s="403"/>
    </row>
    <row r="9" spans="1:37" ht="26.25" customHeight="1">
      <c r="A9" s="338" t="s">
        <v>67</v>
      </c>
      <c r="B9" s="402"/>
      <c r="C9" s="402"/>
      <c r="D9" s="403"/>
      <c r="E9" s="339"/>
      <c r="F9" s="402"/>
      <c r="G9" s="403"/>
    </row>
    <row r="10" spans="1:37" ht="26.25" customHeight="1">
      <c r="A10" s="416" t="s">
        <v>68</v>
      </c>
      <c r="B10" s="402"/>
      <c r="C10" s="402"/>
      <c r="D10" s="403"/>
      <c r="E10" s="417"/>
      <c r="F10" s="402"/>
      <c r="G10" s="403"/>
    </row>
    <row r="11" spans="1:37" ht="20.45" customHeight="1" thickBot="1">
      <c r="A11" s="338" t="s">
        <v>172</v>
      </c>
      <c r="B11" s="402"/>
      <c r="C11" s="402"/>
      <c r="D11" s="403"/>
      <c r="E11" s="148"/>
    </row>
    <row r="12" spans="1:37" ht="26.25" customHeight="1" thickBot="1">
      <c r="A12" s="149"/>
      <c r="B12" s="418" t="s">
        <v>69</v>
      </c>
      <c r="C12" s="412"/>
      <c r="D12" s="412"/>
      <c r="E12" s="412"/>
      <c r="F12" s="412"/>
      <c r="G12" s="412"/>
      <c r="H12" s="412"/>
      <c r="I12" s="412"/>
      <c r="J12" s="412"/>
      <c r="K12" s="412"/>
      <c r="L12" s="412"/>
      <c r="M12" s="413"/>
      <c r="O12" s="92"/>
    </row>
    <row r="13" spans="1:37" ht="26.25" customHeight="1" thickBot="1">
      <c r="A13" s="150"/>
      <c r="B13" s="151" t="s">
        <v>214</v>
      </c>
      <c r="C13" s="151"/>
      <c r="D13" s="151"/>
      <c r="E13" s="151"/>
      <c r="O13" s="92"/>
    </row>
    <row r="14" spans="1:37" ht="26.25" customHeight="1" thickBot="1">
      <c r="A14" s="150"/>
      <c r="B14" s="151" t="s">
        <v>327</v>
      </c>
      <c r="C14" s="151"/>
      <c r="D14" s="151"/>
      <c r="E14" s="151"/>
      <c r="O14" s="92"/>
    </row>
    <row r="15" spans="1:37" ht="33.6" customHeight="1" thickBot="1">
      <c r="B15" s="151"/>
      <c r="C15" s="151"/>
      <c r="E15" s="109" t="s">
        <v>328</v>
      </c>
      <c r="F15" s="176" t="str">
        <f>CONCATENATE(" Volume for ",$E$11," samples")</f>
        <v xml:space="preserve"> Volume for  samples</v>
      </c>
      <c r="O15" s="92"/>
    </row>
    <row r="16" spans="1:37" ht="26.25" customHeight="1" thickBot="1">
      <c r="A16" s="150"/>
      <c r="B16" s="151" t="s">
        <v>73</v>
      </c>
      <c r="C16" s="449" t="s">
        <v>329</v>
      </c>
      <c r="D16" s="450"/>
      <c r="E16" s="155">
        <v>18.899999999999999</v>
      </c>
      <c r="F16" s="234">
        <f>E16*$E$11*1.1</f>
        <v>0</v>
      </c>
      <c r="G16" s="143" t="s">
        <v>74</v>
      </c>
      <c r="O16" s="92"/>
      <c r="Q16" s="151"/>
    </row>
    <row r="17" spans="1:17" ht="26.25" customHeight="1">
      <c r="A17" s="149"/>
      <c r="B17" s="151"/>
      <c r="C17" s="451" t="s">
        <v>356</v>
      </c>
      <c r="D17" s="452"/>
      <c r="E17" s="159">
        <v>2.6</v>
      </c>
      <c r="F17" s="234">
        <f>E17*$E$11*1.1</f>
        <v>0</v>
      </c>
      <c r="G17" s="143" t="s">
        <v>74</v>
      </c>
      <c r="O17" s="92"/>
      <c r="Q17" s="151"/>
    </row>
    <row r="18" spans="1:17" ht="28.5" customHeight="1">
      <c r="A18" s="149"/>
      <c r="B18" s="151"/>
      <c r="C18" s="453" t="s">
        <v>75</v>
      </c>
      <c r="D18" s="454"/>
      <c r="E18" s="159">
        <v>2.2000000000000002</v>
      </c>
      <c r="F18" s="234">
        <f>E18*$E$11*1.1</f>
        <v>0</v>
      </c>
      <c r="G18" s="143" t="s">
        <v>74</v>
      </c>
      <c r="O18" s="92"/>
      <c r="Q18" s="151"/>
    </row>
    <row r="19" spans="1:17" ht="23.1" customHeight="1" thickBot="1">
      <c r="A19" s="149"/>
      <c r="B19" s="151"/>
      <c r="C19" s="455" t="s">
        <v>331</v>
      </c>
      <c r="D19" s="456"/>
      <c r="E19" s="163">
        <v>7.9</v>
      </c>
      <c r="F19" s="235">
        <f>E19*$E$11*1.1</f>
        <v>0</v>
      </c>
      <c r="G19" s="164" t="s">
        <v>74</v>
      </c>
      <c r="O19" s="92"/>
    </row>
    <row r="20" spans="1:17" ht="15.95" customHeight="1" thickBot="1">
      <c r="A20" s="149"/>
      <c r="B20" s="151"/>
      <c r="D20" s="165"/>
      <c r="E20" s="245">
        <f>SUM(E16:E19)</f>
        <v>31.6</v>
      </c>
      <c r="F20" s="236">
        <f>SUM(F16:F19)</f>
        <v>0</v>
      </c>
      <c r="G20" s="167" t="s">
        <v>74</v>
      </c>
      <c r="H20" s="141" t="s">
        <v>76</v>
      </c>
      <c r="O20" s="92"/>
    </row>
    <row r="21" spans="1:17" ht="26.25" customHeight="1" thickBot="1">
      <c r="A21" s="150"/>
      <c r="B21" s="151" t="s">
        <v>332</v>
      </c>
      <c r="D21" s="94"/>
      <c r="E21" s="151"/>
      <c r="F21" s="95"/>
      <c r="O21" s="92"/>
    </row>
    <row r="22" spans="1:17" ht="26.25" customHeight="1" thickBot="1">
      <c r="A22" s="150"/>
      <c r="B22" s="151" t="s">
        <v>434</v>
      </c>
      <c r="D22" s="151"/>
      <c r="E22" s="151"/>
    </row>
    <row r="23" spans="1:17" ht="26.25" customHeight="1" thickBot="1">
      <c r="A23" s="149"/>
      <c r="C23" s="168"/>
      <c r="D23" s="169" t="s">
        <v>215</v>
      </c>
      <c r="E23" s="170" t="s">
        <v>216</v>
      </c>
      <c r="F23" s="170" t="s">
        <v>217</v>
      </c>
      <c r="G23" s="419" t="s">
        <v>218</v>
      </c>
      <c r="H23" s="356"/>
      <c r="J23" s="420" t="s">
        <v>435</v>
      </c>
      <c r="K23" s="406"/>
      <c r="L23" s="406"/>
    </row>
    <row r="24" spans="1:17" ht="14.45" customHeight="1">
      <c r="A24" s="149"/>
      <c r="C24" s="171">
        <v>1</v>
      </c>
      <c r="D24" s="172">
        <f>'10X_table'!B2</f>
        <v>0</v>
      </c>
      <c r="E24" s="172"/>
      <c r="F24" s="172"/>
      <c r="G24" s="357"/>
      <c r="H24" s="358"/>
    </row>
    <row r="25" spans="1:17" ht="14.45" customHeight="1">
      <c r="A25" s="149"/>
      <c r="C25" s="173">
        <v>2</v>
      </c>
      <c r="D25" s="172">
        <f>'10X_table'!B3</f>
        <v>0</v>
      </c>
      <c r="E25" s="156"/>
      <c r="F25" s="156"/>
      <c r="G25" s="308"/>
      <c r="H25" s="403"/>
    </row>
    <row r="26" spans="1:17" ht="14.45" customHeight="1">
      <c r="A26" s="149"/>
      <c r="C26" s="1">
        <v>3</v>
      </c>
      <c r="D26" s="172">
        <f>'10X_table'!B4</f>
        <v>0</v>
      </c>
      <c r="E26" s="156"/>
      <c r="F26" s="156"/>
      <c r="G26" s="308"/>
      <c r="H26" s="403"/>
    </row>
    <row r="27" spans="1:17" ht="14.45" customHeight="1">
      <c r="A27" s="149"/>
      <c r="C27" s="173">
        <v>4</v>
      </c>
      <c r="D27" s="172">
        <f>'10X_table'!B5</f>
        <v>0</v>
      </c>
      <c r="E27" s="156"/>
      <c r="F27" s="156"/>
      <c r="G27" s="308"/>
      <c r="H27" s="403"/>
    </row>
    <row r="28" spans="1:17" ht="14.45" customHeight="1">
      <c r="A28" s="149"/>
      <c r="C28" s="173">
        <v>5</v>
      </c>
      <c r="D28" s="172">
        <f>'10X_table'!B6</f>
        <v>0</v>
      </c>
      <c r="E28" s="156"/>
      <c r="F28" s="156"/>
      <c r="G28" s="308"/>
      <c r="H28" s="403"/>
    </row>
    <row r="29" spans="1:17" ht="14.45" customHeight="1">
      <c r="A29" s="149"/>
      <c r="C29" s="173">
        <v>6</v>
      </c>
      <c r="D29" s="172">
        <f>'10X_table'!B7</f>
        <v>0</v>
      </c>
      <c r="E29" s="156"/>
      <c r="F29" s="156"/>
      <c r="G29" s="308"/>
      <c r="H29" s="403"/>
    </row>
    <row r="30" spans="1:17" ht="14.45" customHeight="1">
      <c r="A30" s="149"/>
      <c r="C30" s="173">
        <v>7</v>
      </c>
      <c r="D30" s="172">
        <f>'10X_table'!B8</f>
        <v>0</v>
      </c>
      <c r="E30" s="156"/>
      <c r="F30" s="156"/>
      <c r="G30" s="308"/>
      <c r="H30" s="403"/>
    </row>
    <row r="31" spans="1:17" ht="14.45" customHeight="1" thickBot="1">
      <c r="A31" s="149"/>
      <c r="C31" s="173">
        <v>8</v>
      </c>
      <c r="D31" s="172">
        <f>'10X_table'!B9</f>
        <v>0</v>
      </c>
      <c r="E31" s="156"/>
      <c r="F31" s="156"/>
      <c r="G31" s="308"/>
      <c r="H31" s="403"/>
    </row>
    <row r="32" spans="1:17" ht="26.25" customHeight="1" thickBot="1">
      <c r="A32" s="150"/>
      <c r="B32" s="96" t="s">
        <v>334</v>
      </c>
    </row>
    <row r="33" spans="1:13" ht="26.25" customHeight="1" thickBot="1">
      <c r="A33" s="174"/>
      <c r="B33" s="96" t="s">
        <v>335</v>
      </c>
    </row>
    <row r="34" spans="1:13" ht="26.25" customHeight="1" thickBot="1">
      <c r="A34" s="174"/>
      <c r="B34" s="96" t="s">
        <v>336</v>
      </c>
    </row>
    <row r="35" spans="1:13" ht="26.25" customHeight="1" thickBot="1">
      <c r="A35" s="150"/>
      <c r="B35" s="96" t="s">
        <v>220</v>
      </c>
    </row>
    <row r="36" spans="1:13" ht="26.25" customHeight="1" thickBot="1">
      <c r="A36" s="150"/>
      <c r="B36" s="96" t="s">
        <v>337</v>
      </c>
      <c r="I36" s="94" t="s">
        <v>338</v>
      </c>
      <c r="K36" s="151" t="s">
        <v>339</v>
      </c>
    </row>
    <row r="37" spans="1:13" ht="21.95" customHeight="1" thickBot="1">
      <c r="A37" s="149"/>
      <c r="B37" s="96"/>
      <c r="I37" s="94" t="s">
        <v>221</v>
      </c>
    </row>
    <row r="38" spans="1:13" ht="26.25" customHeight="1" thickBot="1">
      <c r="A38" s="149"/>
      <c r="B38" s="415" t="s">
        <v>222</v>
      </c>
      <c r="C38" s="412"/>
      <c r="D38" s="412"/>
      <c r="E38" s="412"/>
      <c r="F38" s="412"/>
      <c r="G38" s="412"/>
      <c r="H38" s="412"/>
      <c r="I38" s="412"/>
      <c r="J38" s="412"/>
      <c r="K38" s="412"/>
      <c r="L38" s="412"/>
      <c r="M38" s="413"/>
    </row>
    <row r="39" spans="1:13" s="151" customFormat="1" ht="26.25" customHeight="1" thickBot="1">
      <c r="A39" s="175"/>
      <c r="B39" s="151" t="s">
        <v>223</v>
      </c>
      <c r="J39" s="95" t="s">
        <v>78</v>
      </c>
    </row>
    <row r="40" spans="1:13" ht="26.25" customHeight="1" thickBot="1">
      <c r="A40" s="150"/>
      <c r="B40" s="96" t="s">
        <v>224</v>
      </c>
      <c r="J40" s="95" t="s">
        <v>79</v>
      </c>
    </row>
    <row r="41" spans="1:13" ht="35.1" customHeight="1" thickBot="1">
      <c r="A41" s="150"/>
      <c r="B41" s="376" t="s">
        <v>225</v>
      </c>
      <c r="C41" s="406"/>
      <c r="D41" s="406"/>
      <c r="E41" s="406"/>
      <c r="F41" s="406"/>
      <c r="G41" s="96" t="s">
        <v>226</v>
      </c>
      <c r="J41" s="176" t="s">
        <v>72</v>
      </c>
      <c r="K41" s="98" t="str">
        <f>CONCATENATE(" Volume for ",$E$11," samples")</f>
        <v xml:space="preserve"> Volume for  samples</v>
      </c>
    </row>
    <row r="42" spans="1:13" s="142" customFormat="1" ht="23.1" customHeight="1">
      <c r="A42" s="99"/>
      <c r="B42" s="99"/>
      <c r="C42" s="177"/>
      <c r="D42" s="177"/>
      <c r="E42" s="177"/>
      <c r="F42" s="177"/>
      <c r="G42" s="385" t="s">
        <v>227</v>
      </c>
      <c r="H42" s="402"/>
      <c r="I42" s="403"/>
      <c r="J42" s="155">
        <v>182</v>
      </c>
      <c r="K42" s="156">
        <f>J42*$E$11*1.1</f>
        <v>0</v>
      </c>
      <c r="L42" s="156" t="s">
        <v>74</v>
      </c>
    </row>
    <row r="43" spans="1:13" s="142" customFormat="1" ht="23.1" customHeight="1">
      <c r="B43" s="99"/>
      <c r="C43" s="386" t="s">
        <v>228</v>
      </c>
      <c r="D43" s="337"/>
      <c r="E43" s="337"/>
      <c r="F43" s="99"/>
      <c r="G43" s="385" t="s">
        <v>229</v>
      </c>
      <c r="H43" s="402"/>
      <c r="I43" s="403"/>
      <c r="J43" s="155">
        <v>8</v>
      </c>
      <c r="K43" s="156">
        <f>J43*$E$11*1.1</f>
        <v>0</v>
      </c>
      <c r="L43" s="156" t="s">
        <v>74</v>
      </c>
    </row>
    <row r="44" spans="1:13" s="142" customFormat="1" ht="23.1" customHeight="1">
      <c r="B44" s="99"/>
      <c r="C44" s="337"/>
      <c r="D44" s="337"/>
      <c r="E44" s="337"/>
      <c r="F44" s="99"/>
      <c r="G44" s="381" t="s">
        <v>230</v>
      </c>
      <c r="H44" s="402"/>
      <c r="I44" s="403"/>
      <c r="J44" s="155">
        <v>5</v>
      </c>
      <c r="K44" s="156">
        <f>J44*$E$11*1.1</f>
        <v>0</v>
      </c>
      <c r="L44" s="156" t="s">
        <v>74</v>
      </c>
    </row>
    <row r="45" spans="1:13" s="142" customFormat="1" ht="23.1" customHeight="1" thickBot="1">
      <c r="B45" s="99"/>
      <c r="C45" s="99"/>
      <c r="D45" s="99"/>
      <c r="E45" s="99"/>
      <c r="F45" s="99"/>
      <c r="G45" s="382" t="s">
        <v>80</v>
      </c>
      <c r="H45" s="408"/>
      <c r="I45" s="356"/>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385" t="s">
        <v>82</v>
      </c>
      <c r="D48" s="403"/>
      <c r="E48" s="180">
        <v>98</v>
      </c>
      <c r="F48" s="173">
        <f>IF($E$11&lt;2, E48,E48*0.5*$E$11)</f>
        <v>98</v>
      </c>
      <c r="G48" s="143" t="s">
        <v>74</v>
      </c>
      <c r="L48" s="146"/>
      <c r="M48" s="179"/>
    </row>
    <row r="49" spans="1:14" ht="26.25" customHeight="1">
      <c r="A49" s="149"/>
      <c r="B49" s="96"/>
      <c r="C49" s="385" t="s">
        <v>83</v>
      </c>
      <c r="D49" s="403"/>
      <c r="E49" s="180">
        <v>1</v>
      </c>
      <c r="F49" s="173">
        <f>IF($E$11&lt;2, E49,E49*0.5*$E$11)</f>
        <v>1</v>
      </c>
      <c r="G49" s="143" t="s">
        <v>74</v>
      </c>
      <c r="L49" s="146"/>
      <c r="M49" s="179"/>
    </row>
    <row r="50" spans="1:14" ht="26.25" customHeight="1" thickBot="1">
      <c r="A50" s="149"/>
      <c r="B50" s="96"/>
      <c r="C50" s="382" t="s">
        <v>75</v>
      </c>
      <c r="D50" s="356"/>
      <c r="E50" s="182">
        <v>1</v>
      </c>
      <c r="F50" s="183">
        <f>IF($E$11&lt;2, E50,E50*0.5*$E$11)</f>
        <v>1</v>
      </c>
      <c r="G50" s="164" t="s">
        <v>74</v>
      </c>
      <c r="L50" s="146"/>
      <c r="M50" s="179"/>
    </row>
    <row r="51" spans="1:14" ht="26.25" customHeight="1" thickBot="1">
      <c r="A51" s="149"/>
      <c r="E51" s="171">
        <f>SUM(E48:E50)</f>
        <v>100</v>
      </c>
      <c r="F51" s="171">
        <f>SUM(F48:F50)</f>
        <v>100</v>
      </c>
      <c r="G51" s="167" t="s">
        <v>74</v>
      </c>
      <c r="H51" s="179" t="s">
        <v>76</v>
      </c>
    </row>
    <row r="52" spans="1:14" ht="23.1" customHeight="1" thickBot="1">
      <c r="A52" s="150"/>
      <c r="B52" s="96" t="s">
        <v>231</v>
      </c>
      <c r="L52" s="146"/>
      <c r="M52" s="179"/>
    </row>
    <row r="53" spans="1:14" ht="30.95" customHeight="1" thickBot="1">
      <c r="A53" s="150"/>
      <c r="B53" s="96" t="s">
        <v>232</v>
      </c>
      <c r="H53" s="184" t="s">
        <v>233</v>
      </c>
      <c r="J53" s="176" t="s">
        <v>72</v>
      </c>
      <c r="K53" s="176" t="str">
        <f>CONCATENATE(" Volume for ",$E$11," samples")</f>
        <v xml:space="preserve"> Volume for  samples</v>
      </c>
    </row>
    <row r="54" spans="1:14" ht="21.6" customHeight="1">
      <c r="A54" s="149"/>
      <c r="B54" s="96"/>
      <c r="G54" s="381" t="s">
        <v>234</v>
      </c>
      <c r="H54" s="402"/>
      <c r="I54" s="403"/>
      <c r="J54" s="155">
        <v>50</v>
      </c>
      <c r="K54" s="156">
        <f>J54*$E$11*1.1</f>
        <v>0</v>
      </c>
      <c r="L54" s="143" t="s">
        <v>74</v>
      </c>
    </row>
    <row r="55" spans="1:14" ht="21.95" customHeight="1" thickBot="1">
      <c r="G55" s="382" t="s">
        <v>235</v>
      </c>
      <c r="H55" s="408"/>
      <c r="I55" s="356"/>
      <c r="J55" s="178">
        <v>15</v>
      </c>
      <c r="K55" s="163">
        <f>J55*$E$11*1.1</f>
        <v>0</v>
      </c>
      <c r="L55" s="164" t="s">
        <v>74</v>
      </c>
      <c r="N55" s="97" t="s">
        <v>436</v>
      </c>
    </row>
    <row r="56" spans="1:14" ht="21.6" customHeight="1" thickBot="1">
      <c r="J56" s="172">
        <f>SUM(J54:J55)</f>
        <v>65</v>
      </c>
      <c r="K56" s="172">
        <f>SUM(K54:K55)</f>
        <v>0</v>
      </c>
      <c r="L56" s="167" t="s">
        <v>74</v>
      </c>
      <c r="M56" s="179" t="s">
        <v>76</v>
      </c>
    </row>
    <row r="57" spans="1:14" ht="20.100000000000001" customHeight="1" thickBot="1">
      <c r="A57" s="150"/>
      <c r="B57" s="96" t="s">
        <v>84</v>
      </c>
      <c r="D57" s="100" t="s">
        <v>100</v>
      </c>
      <c r="L57" s="146"/>
      <c r="M57" s="179"/>
    </row>
    <row r="58" spans="1:14" ht="20.100000000000001" customHeight="1">
      <c r="D58" s="101" t="s">
        <v>101</v>
      </c>
      <c r="E58" s="294" t="s">
        <v>236</v>
      </c>
      <c r="L58" s="248" t="s">
        <v>442</v>
      </c>
      <c r="M58" s="143" t="s">
        <v>441</v>
      </c>
    </row>
    <row r="59" spans="1:14" ht="20.100000000000001" customHeight="1">
      <c r="D59" s="246" t="s">
        <v>340</v>
      </c>
      <c r="E59" s="409"/>
      <c r="L59" s="247" t="s">
        <v>437</v>
      </c>
      <c r="M59" s="247">
        <v>17</v>
      </c>
    </row>
    <row r="60" spans="1:14" ht="20.100000000000001" customHeight="1">
      <c r="D60" s="101" t="s">
        <v>88</v>
      </c>
      <c r="E60" s="410"/>
      <c r="G60" s="142" t="s">
        <v>89</v>
      </c>
      <c r="H60" s="185"/>
      <c r="L60" s="247" t="s">
        <v>438</v>
      </c>
      <c r="M60" s="247">
        <v>15</v>
      </c>
    </row>
    <row r="61" spans="1:14" ht="20.100000000000001" customHeight="1" thickBot="1">
      <c r="D61" s="100" t="s">
        <v>88</v>
      </c>
      <c r="L61" s="247" t="s">
        <v>440</v>
      </c>
      <c r="M61" s="247">
        <v>13</v>
      </c>
    </row>
    <row r="62" spans="1:14" ht="24.95" customHeight="1" thickBot="1">
      <c r="A62" s="150"/>
      <c r="B62" s="96" t="s">
        <v>237</v>
      </c>
      <c r="L62" s="247" t="s">
        <v>439</v>
      </c>
      <c r="M62" s="247">
        <v>12</v>
      </c>
    </row>
    <row r="63" spans="1:14" ht="24.95" customHeight="1" thickBot="1">
      <c r="A63"/>
      <c r="B63" s="317" t="s">
        <v>271</v>
      </c>
      <c r="C63" s="318"/>
      <c r="D63" s="318"/>
      <c r="E63" s="318"/>
      <c r="F63" s="318"/>
      <c r="G63" s="318"/>
      <c r="H63" s="318"/>
      <c r="I63" s="318"/>
      <c r="J63" s="318"/>
      <c r="K63" s="318"/>
      <c r="L63" s="318"/>
      <c r="M63" s="319"/>
    </row>
    <row r="64" spans="1:14" ht="20.100000000000001" customHeight="1" thickBot="1">
      <c r="A64" s="150"/>
      <c r="B64" s="430" t="s">
        <v>364</v>
      </c>
      <c r="C64" s="431"/>
      <c r="D64" s="431"/>
      <c r="E64" s="431"/>
      <c r="F64" s="431"/>
      <c r="G64" s="431"/>
      <c r="H64" s="431"/>
      <c r="I64" s="431"/>
      <c r="J64" s="431"/>
      <c r="K64" s="431"/>
      <c r="L64" s="431"/>
      <c r="M64" s="432"/>
    </row>
    <row r="65" spans="1:14" ht="20.100000000000001" customHeight="1">
      <c r="A65"/>
      <c r="B65" s="433" t="s">
        <v>272</v>
      </c>
      <c r="C65" s="433"/>
      <c r="D65" s="433"/>
      <c r="E65" s="433"/>
      <c r="F65" s="433"/>
      <c r="G65"/>
      <c r="H65" s="446" t="s">
        <v>443</v>
      </c>
      <c r="I65" s="446"/>
      <c r="J65" s="446"/>
      <c r="K65" s="446"/>
      <c r="L65" s="446"/>
      <c r="M65" s="446"/>
    </row>
    <row r="66" spans="1:14" ht="20.100000000000001" customHeight="1">
      <c r="A66"/>
      <c r="B66" s="429" t="s">
        <v>274</v>
      </c>
      <c r="C66" s="429"/>
      <c r="D66" s="429"/>
      <c r="E66" s="429"/>
      <c r="F66" s="429"/>
      <c r="G66"/>
      <c r="H66" s="447" t="s">
        <v>365</v>
      </c>
      <c r="I66" s="447"/>
      <c r="J66" s="447"/>
      <c r="K66" s="447"/>
      <c r="L66" s="447"/>
      <c r="M66" s="447"/>
    </row>
    <row r="67" spans="1:14" ht="20.100000000000001" customHeight="1">
      <c r="A67"/>
      <c r="B67" s="429" t="s">
        <v>275</v>
      </c>
      <c r="C67" s="429"/>
      <c r="D67" s="429"/>
      <c r="E67" s="429"/>
      <c r="F67" s="429"/>
      <c r="G67"/>
      <c r="H67" s="448" t="s">
        <v>276</v>
      </c>
      <c r="I67" s="448"/>
      <c r="J67" s="448"/>
      <c r="K67" s="448"/>
      <c r="L67" s="448"/>
      <c r="M67" s="448"/>
    </row>
    <row r="68" spans="1:14" ht="20.100000000000001" customHeight="1">
      <c r="A68"/>
      <c r="B68" s="429" t="s">
        <v>277</v>
      </c>
      <c r="C68" s="429"/>
      <c r="D68" s="429"/>
      <c r="E68" s="429"/>
      <c r="F68" s="429"/>
      <c r="G68"/>
      <c r="H68" s="448" t="s">
        <v>278</v>
      </c>
      <c r="I68" s="448"/>
      <c r="J68" s="448"/>
      <c r="K68" s="448"/>
      <c r="L68" s="448"/>
      <c r="M68" s="448"/>
    </row>
    <row r="69" spans="1:14" ht="20.100000000000001" customHeight="1">
      <c r="A69"/>
      <c r="B69" s="429" t="s">
        <v>366</v>
      </c>
      <c r="C69" s="429"/>
      <c r="D69" s="429"/>
      <c r="E69" s="429"/>
      <c r="F69" s="429"/>
      <c r="G69"/>
      <c r="H69" s="448" t="s">
        <v>275</v>
      </c>
      <c r="I69" s="448"/>
      <c r="J69" s="448"/>
      <c r="K69" s="448"/>
      <c r="L69" s="448"/>
      <c r="M69" s="448"/>
    </row>
    <row r="70" spans="1:14" ht="20.100000000000001" customHeight="1">
      <c r="A70"/>
      <c r="B70" s="428" t="s">
        <v>367</v>
      </c>
      <c r="C70" s="428"/>
      <c r="D70" s="428"/>
      <c r="E70" s="428"/>
      <c r="F70" s="428"/>
      <c r="G70"/>
      <c r="H70" s="448" t="s">
        <v>277</v>
      </c>
      <c r="I70" s="448"/>
      <c r="J70" s="448"/>
      <c r="K70" s="448"/>
      <c r="L70" s="448"/>
      <c r="M70" s="448"/>
    </row>
    <row r="71" spans="1:14" ht="26.1" customHeight="1" thickBot="1">
      <c r="H71" s="448" t="s">
        <v>279</v>
      </c>
      <c r="I71" s="448"/>
      <c r="J71" s="448"/>
      <c r="K71" s="448"/>
      <c r="L71" s="448"/>
      <c r="M71" s="448"/>
    </row>
    <row r="72" spans="1:14" ht="26.25" customHeight="1" thickBot="1">
      <c r="A72"/>
      <c r="B72" s="424" t="s">
        <v>368</v>
      </c>
      <c r="C72" s="425"/>
      <c r="D72" s="425"/>
      <c r="E72" s="425"/>
      <c r="F72" s="425"/>
      <c r="G72" s="425"/>
      <c r="H72" s="425"/>
      <c r="I72" s="425"/>
      <c r="J72" s="425"/>
      <c r="K72" s="425"/>
      <c r="L72" s="425"/>
      <c r="M72" s="425"/>
      <c r="N72" s="426"/>
    </row>
    <row r="73" spans="1:14" ht="24.95" customHeight="1" thickBot="1">
      <c r="A73" s="150"/>
      <c r="B73" s="96" t="s">
        <v>280</v>
      </c>
      <c r="C73"/>
      <c r="D73"/>
      <c r="E73"/>
      <c r="F73"/>
      <c r="G73"/>
      <c r="H73"/>
      <c r="I73"/>
      <c r="J73"/>
    </row>
    <row r="74" spans="1:14" ht="24.95" customHeight="1">
      <c r="A74" s="149"/>
      <c r="B74" s="96"/>
      <c r="C74"/>
      <c r="D74"/>
      <c r="E74" s="207" t="s">
        <v>72</v>
      </c>
      <c r="F74" s="98" t="str">
        <f>CONCATENATE(" Volume for ",$E$12," samples")</f>
        <v xml:space="preserve"> Volume for  samples</v>
      </c>
      <c r="G74"/>
      <c r="H74"/>
      <c r="I74"/>
      <c r="J74"/>
    </row>
    <row r="75" spans="1:14" ht="36" customHeight="1">
      <c r="A75"/>
      <c r="B75"/>
      <c r="C75"/>
      <c r="D75" s="108" t="s">
        <v>369</v>
      </c>
      <c r="E75" s="108">
        <v>50</v>
      </c>
      <c r="F75" s="108">
        <f>E75*1.1*$E$12</f>
        <v>0</v>
      </c>
      <c r="G75" s="108" t="s">
        <v>74</v>
      </c>
      <c r="H75"/>
      <c r="I75"/>
      <c r="K75" s="208"/>
      <c r="L75" s="209"/>
    </row>
    <row r="76" spans="1:14" ht="26.1" customHeight="1">
      <c r="A76"/>
      <c r="B76"/>
      <c r="C76"/>
      <c r="D76" s="203" t="s">
        <v>370</v>
      </c>
      <c r="E76" s="108">
        <v>48</v>
      </c>
      <c r="F76" s="108">
        <f>E76*1.1*$E$12</f>
        <v>0</v>
      </c>
      <c r="G76" s="203" t="s">
        <v>74</v>
      </c>
      <c r="H76"/>
      <c r="I76"/>
      <c r="K76" s="208"/>
      <c r="L76" s="209"/>
      <c r="M76" s="97"/>
      <c r="N76" s="210"/>
    </row>
    <row r="77" spans="1:14" ht="26.1" customHeight="1" thickBot="1">
      <c r="A77"/>
      <c r="B77"/>
      <c r="C77"/>
      <c r="D77" s="102" t="s">
        <v>105</v>
      </c>
      <c r="E77" s="102">
        <f>+SUM(E75:E76)</f>
        <v>98</v>
      </c>
      <c r="F77" s="102">
        <f>SUM(F75:F76)</f>
        <v>0</v>
      </c>
      <c r="G77" s="102" t="s">
        <v>74</v>
      </c>
      <c r="H77"/>
      <c r="I77"/>
      <c r="J77"/>
    </row>
    <row r="78" spans="1:14" ht="21.6" customHeight="1" thickBot="1">
      <c r="A78" s="150"/>
      <c r="B78" s="96" t="s">
        <v>371</v>
      </c>
      <c r="C78"/>
      <c r="D78"/>
      <c r="E78"/>
      <c r="F78" s="99"/>
      <c r="G78" s="99"/>
      <c r="H78"/>
      <c r="I78"/>
      <c r="J78"/>
    </row>
    <row r="79" spans="1:14" ht="21.6" customHeight="1" thickBot="1">
      <c r="A79" s="150"/>
      <c r="B79" s="96" t="s">
        <v>84</v>
      </c>
      <c r="C79"/>
      <c r="D79" s="100" t="s">
        <v>100</v>
      </c>
      <c r="E79"/>
      <c r="F79"/>
      <c r="G79"/>
      <c r="H79"/>
      <c r="I79" s="1"/>
      <c r="J79" s="139" t="s">
        <v>372</v>
      </c>
    </row>
    <row r="80" spans="1:14" ht="21.6" customHeight="1">
      <c r="A80"/>
      <c r="B80"/>
      <c r="C80"/>
      <c r="D80" s="101" t="s">
        <v>101</v>
      </c>
      <c r="E80" s="301" t="s">
        <v>373</v>
      </c>
      <c r="F80"/>
      <c r="G80"/>
      <c r="H80"/>
      <c r="I80" s="1" t="s">
        <v>374</v>
      </c>
      <c r="J80" s="1">
        <v>12</v>
      </c>
    </row>
    <row r="81" spans="1:14" ht="24.95" customHeight="1">
      <c r="A81"/>
      <c r="B81"/>
      <c r="C81"/>
      <c r="D81" s="101" t="s">
        <v>375</v>
      </c>
      <c r="E81" s="302"/>
      <c r="F81"/>
      <c r="G81"/>
      <c r="H81"/>
      <c r="I81" s="1" t="s">
        <v>376</v>
      </c>
      <c r="J81" s="1">
        <v>8</v>
      </c>
    </row>
    <row r="82" spans="1:14" ht="24.95" customHeight="1">
      <c r="A82"/>
      <c r="B82"/>
      <c r="C82"/>
      <c r="D82" s="211" t="s">
        <v>88</v>
      </c>
      <c r="E82" s="303"/>
      <c r="F82"/>
      <c r="G82" s="125"/>
      <c r="H82"/>
      <c r="I82"/>
      <c r="J82"/>
    </row>
    <row r="83" spans="1:14" ht="29.45" customHeight="1" thickBot="1">
      <c r="A83"/>
      <c r="B83"/>
      <c r="C83"/>
      <c r="D83" s="100" t="s">
        <v>88</v>
      </c>
      <c r="E83"/>
      <c r="F83"/>
      <c r="G83"/>
      <c r="H83"/>
      <c r="I83"/>
      <c r="J83"/>
    </row>
    <row r="84" spans="1:14" ht="24.95" customHeight="1" thickBot="1">
      <c r="A84" s="150"/>
      <c r="B84" s="96" t="s">
        <v>377</v>
      </c>
      <c r="C84"/>
      <c r="D84"/>
      <c r="E84"/>
      <c r="F84"/>
      <c r="G84"/>
      <c r="H84"/>
      <c r="I84"/>
      <c r="J84"/>
    </row>
    <row r="85" spans="1:14" ht="24.95" customHeight="1" thickBot="1">
      <c r="A85"/>
      <c r="B85" s="424" t="s">
        <v>378</v>
      </c>
      <c r="C85" s="425"/>
      <c r="D85" s="425"/>
      <c r="E85" s="425"/>
      <c r="F85" s="425"/>
      <c r="G85" s="425"/>
      <c r="H85" s="425"/>
      <c r="I85" s="425"/>
      <c r="J85" s="425"/>
      <c r="K85" s="425"/>
      <c r="L85" s="425"/>
      <c r="M85" s="425"/>
      <c r="N85" s="426"/>
    </row>
    <row r="86" spans="1:14" ht="24.6" customHeight="1" thickBot="1">
      <c r="A86" s="150"/>
      <c r="B86" s="96" t="s">
        <v>280</v>
      </c>
      <c r="C86"/>
      <c r="D86"/>
      <c r="E86"/>
      <c r="F86"/>
      <c r="G86"/>
      <c r="H86"/>
      <c r="I86"/>
      <c r="J86"/>
    </row>
    <row r="87" spans="1:14" ht="24.6" customHeight="1">
      <c r="A87" s="149"/>
      <c r="B87" s="96"/>
      <c r="C87"/>
      <c r="D87"/>
      <c r="E87" s="207" t="s">
        <v>72</v>
      </c>
      <c r="F87" s="98" t="str">
        <f>CONCATENATE(" Volume for ",$E$12," samples")</f>
        <v xml:space="preserve"> Volume for  samples</v>
      </c>
      <c r="G87"/>
      <c r="H87"/>
      <c r="I87"/>
      <c r="J87"/>
    </row>
    <row r="88" spans="1:14" ht="24.95" customHeight="1">
      <c r="A88"/>
      <c r="B88"/>
      <c r="C88"/>
      <c r="D88" s="108" t="s">
        <v>369</v>
      </c>
      <c r="E88" s="108">
        <v>50</v>
      </c>
      <c r="F88" s="108">
        <f>E88*1.1*$E$12</f>
        <v>0</v>
      </c>
      <c r="G88" s="108" t="s">
        <v>74</v>
      </c>
      <c r="H88"/>
      <c r="I88"/>
      <c r="K88" s="208"/>
      <c r="L88" s="209"/>
    </row>
    <row r="89" spans="1:14" ht="24.95" customHeight="1">
      <c r="A89"/>
      <c r="B89"/>
      <c r="C89"/>
      <c r="D89" s="203" t="s">
        <v>379</v>
      </c>
      <c r="E89" s="108">
        <v>15</v>
      </c>
      <c r="F89" s="108">
        <f>E89*1.1*$E$12</f>
        <v>0</v>
      </c>
      <c r="G89" s="203" t="s">
        <v>74</v>
      </c>
      <c r="H89"/>
      <c r="I89"/>
      <c r="K89" s="208"/>
      <c r="L89" s="209"/>
      <c r="M89" s="97"/>
      <c r="N89" s="210"/>
    </row>
    <row r="90" spans="1:14" ht="24.95" customHeight="1" thickBot="1">
      <c r="A90"/>
      <c r="B90"/>
      <c r="C90"/>
      <c r="D90" s="102" t="s">
        <v>105</v>
      </c>
      <c r="E90" s="102">
        <f>+SUM(E88:E89)</f>
        <v>65</v>
      </c>
      <c r="F90" s="102">
        <f>SUM(F88:F89)</f>
        <v>0</v>
      </c>
      <c r="G90" s="102" t="s">
        <v>74</v>
      </c>
      <c r="H90"/>
      <c r="I90"/>
      <c r="J90"/>
    </row>
    <row r="91" spans="1:14" ht="24.95" customHeight="1" thickBot="1">
      <c r="A91" s="150"/>
      <c r="B91" s="96" t="s">
        <v>380</v>
      </c>
      <c r="C91"/>
      <c r="D91"/>
      <c r="E91"/>
      <c r="F91" s="99"/>
      <c r="G91" s="99"/>
      <c r="H91"/>
      <c r="I91"/>
      <c r="J91"/>
    </row>
    <row r="92" spans="1:14" ht="24.95" customHeight="1" thickBot="1">
      <c r="A92" s="150"/>
      <c r="B92" s="96" t="s">
        <v>84</v>
      </c>
      <c r="C92"/>
      <c r="D92" s="100" t="s">
        <v>100</v>
      </c>
      <c r="E92"/>
      <c r="F92"/>
      <c r="G92"/>
      <c r="H92"/>
      <c r="I92" s="1"/>
      <c r="J92" s="139" t="s">
        <v>372</v>
      </c>
    </row>
    <row r="93" spans="1:14" ht="24.95" customHeight="1">
      <c r="A93"/>
      <c r="B93"/>
      <c r="C93"/>
      <c r="D93" s="101" t="s">
        <v>101</v>
      </c>
      <c r="E93" s="301" t="s">
        <v>281</v>
      </c>
      <c r="F93"/>
      <c r="G93"/>
      <c r="H93"/>
      <c r="I93" s="1" t="s">
        <v>374</v>
      </c>
      <c r="J93" s="1">
        <v>10</v>
      </c>
    </row>
    <row r="94" spans="1:14" ht="24.95" customHeight="1">
      <c r="A94"/>
      <c r="B94"/>
      <c r="C94"/>
      <c r="D94" s="101" t="s">
        <v>375</v>
      </c>
      <c r="E94" s="302"/>
      <c r="F94"/>
      <c r="G94"/>
      <c r="H94"/>
      <c r="I94" s="1" t="s">
        <v>376</v>
      </c>
      <c r="J94" s="1">
        <v>8</v>
      </c>
    </row>
    <row r="95" spans="1:14" ht="24.95" customHeight="1">
      <c r="A95"/>
      <c r="B95"/>
      <c r="C95"/>
      <c r="D95" s="211" t="s">
        <v>88</v>
      </c>
      <c r="E95" s="303"/>
      <c r="F95"/>
      <c r="G95" s="125"/>
      <c r="H95"/>
      <c r="I95"/>
      <c r="J95"/>
    </row>
    <row r="96" spans="1:14" ht="29.45" customHeight="1" thickBot="1">
      <c r="A96"/>
      <c r="B96"/>
      <c r="C96"/>
      <c r="D96" s="100" t="s">
        <v>88</v>
      </c>
      <c r="E96"/>
      <c r="F96"/>
      <c r="G96"/>
      <c r="H96"/>
      <c r="I96"/>
      <c r="J96"/>
    </row>
    <row r="97" spans="1:16" ht="24.95" customHeight="1" thickBot="1">
      <c r="A97" s="150"/>
      <c r="B97" s="96" t="s">
        <v>381</v>
      </c>
      <c r="C97"/>
      <c r="D97"/>
      <c r="E97"/>
      <c r="F97"/>
      <c r="G97"/>
      <c r="H97"/>
      <c r="I97"/>
      <c r="J97"/>
    </row>
    <row r="98" spans="1:16" ht="24.95" customHeight="1" thickBot="1">
      <c r="A98"/>
      <c r="B98" s="317" t="s">
        <v>382</v>
      </c>
      <c r="C98" s="318"/>
      <c r="D98" s="318"/>
      <c r="E98" s="318"/>
      <c r="F98" s="318"/>
      <c r="G98" s="318"/>
      <c r="H98" s="318"/>
      <c r="I98" s="318"/>
      <c r="J98" s="318"/>
      <c r="K98" s="318"/>
      <c r="L98" s="318"/>
      <c r="M98" s="319"/>
      <c r="N98"/>
    </row>
    <row r="99" spans="1:16" ht="24.6" customHeight="1" thickBot="1">
      <c r="A99" s="150"/>
      <c r="B99" s="96" t="s">
        <v>383</v>
      </c>
      <c r="C99"/>
      <c r="D99"/>
      <c r="E99"/>
      <c r="F99"/>
      <c r="G99"/>
      <c r="H99"/>
      <c r="I99"/>
      <c r="J99"/>
    </row>
    <row r="100" spans="1:16" ht="24.6" customHeight="1" thickBot="1">
      <c r="A100" s="150"/>
      <c r="B100" s="96" t="s">
        <v>240</v>
      </c>
      <c r="C100"/>
      <c r="D100"/>
      <c r="E100"/>
      <c r="F100"/>
      <c r="G100"/>
      <c r="H100"/>
      <c r="I100"/>
      <c r="J100"/>
    </row>
    <row r="101" spans="1:16" ht="24.95" customHeight="1" thickBot="1">
      <c r="A101"/>
      <c r="B101"/>
      <c r="C101"/>
      <c r="D101"/>
      <c r="E101" s="176" t="s">
        <v>72</v>
      </c>
      <c r="F101" s="98" t="str">
        <f>CONCATENATE(" Volume for ",$E$12," samples")</f>
        <v xml:space="preserve"> Volume for  samples</v>
      </c>
      <c r="J101"/>
      <c r="K101"/>
      <c r="L101"/>
      <c r="M101"/>
      <c r="N101"/>
    </row>
    <row r="102" spans="1:16" ht="24.95" customHeight="1" thickBot="1">
      <c r="A102" s="150"/>
      <c r="B102" s="151" t="s">
        <v>73</v>
      </c>
      <c r="C102" s="186"/>
      <c r="D102" s="133" t="s">
        <v>241</v>
      </c>
      <c r="E102" s="155">
        <v>5</v>
      </c>
      <c r="F102" s="156">
        <f>E102*$E$12*1.1</f>
        <v>0</v>
      </c>
      <c r="G102" s="143" t="s">
        <v>74</v>
      </c>
      <c r="J102"/>
      <c r="K102"/>
      <c r="L102"/>
      <c r="M102"/>
      <c r="N102"/>
    </row>
    <row r="103" spans="1:16" ht="24.95" customHeight="1" thickBot="1">
      <c r="A103"/>
      <c r="B103"/>
      <c r="C103" s="187"/>
      <c r="D103" s="181" t="s">
        <v>242</v>
      </c>
      <c r="E103" s="178">
        <v>10</v>
      </c>
      <c r="F103" s="163">
        <f>E103*$E$12*1.1</f>
        <v>0</v>
      </c>
      <c r="G103" s="164" t="s">
        <v>74</v>
      </c>
      <c r="J103"/>
      <c r="K103"/>
      <c r="L103"/>
      <c r="M103"/>
      <c r="N103"/>
    </row>
    <row r="104" spans="1:16" ht="24.95" customHeight="1" thickBot="1">
      <c r="A104"/>
      <c r="B104"/>
      <c r="C104"/>
      <c r="D104"/>
      <c r="E104" s="172">
        <f>SUM(E102:E103)</f>
        <v>15</v>
      </c>
      <c r="F104" s="172">
        <f>SUM(F102:F103)</f>
        <v>0</v>
      </c>
      <c r="G104" s="167" t="s">
        <v>74</v>
      </c>
      <c r="H104" s="179" t="s">
        <v>76</v>
      </c>
      <c r="I104" s="179"/>
      <c r="J104"/>
      <c r="K104"/>
      <c r="L104"/>
      <c r="M104"/>
      <c r="N104"/>
    </row>
    <row r="105" spans="1:16" ht="24.95" customHeight="1" thickBot="1">
      <c r="A105" s="150"/>
      <c r="B105" s="96" t="s">
        <v>84</v>
      </c>
      <c r="C105"/>
      <c r="D105" s="94" t="s">
        <v>243</v>
      </c>
      <c r="E105"/>
      <c r="F105"/>
      <c r="G105"/>
      <c r="H105"/>
      <c r="I105"/>
      <c r="J105"/>
      <c r="K105"/>
      <c r="L105"/>
      <c r="M105"/>
      <c r="N105"/>
    </row>
    <row r="106" spans="1:16" ht="24.95" customHeight="1">
      <c r="A106"/>
      <c r="B106"/>
      <c r="C106"/>
      <c r="D106" s="94" t="s">
        <v>384</v>
      </c>
      <c r="E106"/>
      <c r="F106"/>
      <c r="G106"/>
      <c r="H106"/>
      <c r="I106"/>
      <c r="J106"/>
      <c r="K106"/>
      <c r="L106"/>
      <c r="M106"/>
      <c r="N106"/>
    </row>
    <row r="107" spans="1:16" ht="26.1" customHeight="1">
      <c r="A107"/>
      <c r="B107"/>
      <c r="C107"/>
      <c r="D107" s="94" t="s">
        <v>245</v>
      </c>
      <c r="E107"/>
      <c r="F107"/>
      <c r="G107"/>
      <c r="H107"/>
      <c r="I107"/>
      <c r="J107"/>
      <c r="K107"/>
      <c r="L107"/>
      <c r="M107"/>
      <c r="N107"/>
      <c r="O107"/>
      <c r="P107"/>
    </row>
    <row r="108" spans="1:16" ht="24.95" customHeight="1" thickBot="1">
      <c r="A108"/>
      <c r="B108"/>
      <c r="C108"/>
      <c r="D108" s="94" t="s">
        <v>246</v>
      </c>
      <c r="E108"/>
      <c r="F108"/>
      <c r="G108"/>
      <c r="H108"/>
      <c r="I108"/>
      <c r="J108"/>
      <c r="K108"/>
      <c r="L108"/>
      <c r="M108"/>
      <c r="N108"/>
    </row>
    <row r="109" spans="1:16" ht="24.95" customHeight="1" thickBot="1">
      <c r="A109" s="150"/>
      <c r="B109" s="96" t="s">
        <v>249</v>
      </c>
      <c r="C109"/>
      <c r="D109"/>
      <c r="E109"/>
      <c r="F109"/>
      <c r="G109"/>
      <c r="H109"/>
      <c r="I109"/>
      <c r="J109"/>
    </row>
    <row r="110" spans="1:16" ht="36"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250</v>
      </c>
      <c r="C111" s="186"/>
      <c r="D111" s="133" t="s">
        <v>345</v>
      </c>
      <c r="E111" s="155">
        <v>40</v>
      </c>
      <c r="F111" s="156">
        <f>E111*$E$12*1.1</f>
        <v>0</v>
      </c>
      <c r="G111" s="143" t="s">
        <v>74</v>
      </c>
      <c r="I111"/>
      <c r="J111"/>
      <c r="K111"/>
      <c r="L111"/>
      <c r="M111"/>
      <c r="N111"/>
      <c r="O111"/>
      <c r="P111"/>
    </row>
    <row r="112" spans="1:16" ht="26.1" customHeight="1">
      <c r="A112" s="149"/>
      <c r="B112" s="151"/>
      <c r="C112" s="186"/>
      <c r="D112" s="133" t="s">
        <v>251</v>
      </c>
      <c r="E112" s="159">
        <v>10</v>
      </c>
      <c r="F112" s="156">
        <f>E112*$E$12*1.1</f>
        <v>0</v>
      </c>
      <c r="G112" s="143" t="s">
        <v>74</v>
      </c>
      <c r="I112"/>
      <c r="J112"/>
      <c r="K112"/>
      <c r="L112"/>
      <c r="M112"/>
      <c r="N112"/>
      <c r="O112"/>
      <c r="P112"/>
    </row>
    <row r="113" spans="1:16" ht="21.6" customHeight="1" thickBot="1">
      <c r="A113"/>
      <c r="B113"/>
      <c r="C113"/>
      <c r="D113"/>
      <c r="E113" s="172">
        <f>SUM(E111:E112)</f>
        <v>50</v>
      </c>
      <c r="F113" s="172">
        <f>SUM(F111:F112)</f>
        <v>0</v>
      </c>
      <c r="G113" s="167" t="s">
        <v>74</v>
      </c>
      <c r="H113" s="179" t="s">
        <v>76</v>
      </c>
      <c r="O113"/>
      <c r="P113"/>
    </row>
    <row r="114" spans="1:16" ht="21.6" customHeight="1" thickBot="1">
      <c r="A114" s="150"/>
      <c r="B114" s="96" t="s">
        <v>84</v>
      </c>
      <c r="C114"/>
      <c r="D114" s="94" t="s">
        <v>252</v>
      </c>
      <c r="G114" s="146"/>
      <c r="H114" s="179"/>
      <c r="O114"/>
      <c r="P114"/>
    </row>
    <row r="115" spans="1:16" ht="21.6" customHeight="1" thickBot="1">
      <c r="A115"/>
      <c r="B115"/>
      <c r="C115"/>
      <c r="D115" s="94" t="s">
        <v>243</v>
      </c>
      <c r="G115" s="146"/>
      <c r="H115" s="179"/>
      <c r="O115"/>
      <c r="P115"/>
    </row>
    <row r="116" spans="1:16" ht="21.6" customHeight="1" thickBot="1">
      <c r="A116" s="150"/>
      <c r="B116" s="96" t="s">
        <v>253</v>
      </c>
      <c r="C116"/>
      <c r="D116"/>
      <c r="E116"/>
      <c r="F116"/>
      <c r="G116"/>
      <c r="H116"/>
      <c r="I116"/>
      <c r="J116"/>
      <c r="O116"/>
      <c r="P116"/>
    </row>
    <row r="117" spans="1:16" ht="21.6" customHeight="1" thickBot="1">
      <c r="A117" s="150"/>
      <c r="B117" s="96" t="s">
        <v>254</v>
      </c>
      <c r="C117"/>
      <c r="D117"/>
      <c r="E117"/>
      <c r="F117"/>
      <c r="G117"/>
      <c r="H117"/>
      <c r="I117"/>
      <c r="J117"/>
      <c r="O117"/>
      <c r="P117"/>
    </row>
    <row r="118" spans="1:16" ht="24.95" customHeight="1" thickBot="1">
      <c r="A118" s="150"/>
      <c r="B118" s="96" t="str">
        <f xml:space="preserve"> CONCATENATE("Add 20 µL of indexes of the plate ",L2)</f>
        <v xml:space="preserve">Add 20 µL of indexes of the plate </v>
      </c>
      <c r="C118"/>
      <c r="D118"/>
      <c r="E118"/>
      <c r="F118"/>
      <c r="G118"/>
      <c r="H118"/>
      <c r="I118"/>
      <c r="J118"/>
    </row>
    <row r="119" spans="1:16" ht="33" customHeight="1" thickBot="1">
      <c r="A119" s="188"/>
      <c r="B119" s="179" t="s">
        <v>90</v>
      </c>
      <c r="G119" s="141" t="s">
        <v>91</v>
      </c>
      <c r="H119" s="185"/>
      <c r="O119"/>
      <c r="P119"/>
    </row>
    <row r="120" spans="1:16" ht="26.1" customHeight="1">
      <c r="A120" s="149"/>
      <c r="B120" s="189"/>
      <c r="C120" s="104">
        <v>1</v>
      </c>
      <c r="D120" s="104">
        <v>2</v>
      </c>
      <c r="E120" s="104">
        <v>3</v>
      </c>
      <c r="F120" s="104">
        <v>4</v>
      </c>
      <c r="G120" s="104">
        <v>5</v>
      </c>
      <c r="H120" s="104">
        <v>6</v>
      </c>
      <c r="I120" s="104">
        <v>7</v>
      </c>
      <c r="J120" s="104">
        <v>8</v>
      </c>
      <c r="K120" s="104">
        <v>9</v>
      </c>
      <c r="L120" s="104">
        <v>10</v>
      </c>
      <c r="M120" s="104">
        <v>11</v>
      </c>
      <c r="N120" s="104">
        <v>12</v>
      </c>
      <c r="O120"/>
      <c r="P120"/>
    </row>
    <row r="121" spans="1:16" ht="26.1"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c r="O121"/>
      <c r="P121"/>
    </row>
    <row r="122" spans="1:16" ht="26.2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6" ht="20.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6" ht="20.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6" ht="24.9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6" ht="24.9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6" ht="24.9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6" ht="24.9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17.45" customHeight="1">
      <c r="A130"/>
      <c r="B130"/>
      <c r="C130"/>
      <c r="D130" s="107" t="s">
        <v>101</v>
      </c>
      <c r="E130" s="301" t="str">
        <f>IF($H$168&gt;0,CONCATENATE($H$168," cycles"),"___cycles")</f>
        <v>___cycles</v>
      </c>
      <c r="F130"/>
      <c r="G130"/>
      <c r="H130"/>
      <c r="I130"/>
      <c r="J130"/>
    </row>
    <row r="131" spans="1:16" ht="17.45" customHeight="1">
      <c r="A131"/>
      <c r="B131"/>
      <c r="C131"/>
      <c r="D131" s="107" t="s">
        <v>102</v>
      </c>
      <c r="E131" s="302"/>
      <c r="F131"/>
      <c r="G131"/>
      <c r="H131"/>
      <c r="I131"/>
      <c r="J131"/>
    </row>
    <row r="132" spans="1:16" ht="17.45" customHeight="1">
      <c r="A132"/>
      <c r="B132"/>
      <c r="C132"/>
      <c r="D132" s="107" t="s">
        <v>103</v>
      </c>
      <c r="E132" s="303"/>
      <c r="F132"/>
      <c r="G132"/>
      <c r="H132"/>
      <c r="I132"/>
      <c r="J132"/>
    </row>
    <row r="133" spans="1:16" ht="17.45" customHeight="1" thickBot="1">
      <c r="A133"/>
      <c r="B133"/>
      <c r="C133"/>
      <c r="D133" s="94" t="s">
        <v>104</v>
      </c>
      <c r="E133"/>
      <c r="F133"/>
      <c r="G133"/>
      <c r="H133"/>
      <c r="I133"/>
      <c r="J133"/>
    </row>
    <row r="134" spans="1:16" ht="17.45" customHeight="1" thickBot="1">
      <c r="A134" s="150"/>
      <c r="B134" s="96" t="s">
        <v>385</v>
      </c>
      <c r="C134"/>
      <c r="D134"/>
      <c r="E134"/>
      <c r="F134"/>
      <c r="G134"/>
      <c r="H134"/>
      <c r="I134"/>
      <c r="J134"/>
    </row>
    <row r="135" spans="1:16" ht="17.45" customHeight="1" thickBot="1">
      <c r="A135"/>
      <c r="B135" s="317" t="s">
        <v>386</v>
      </c>
      <c r="C135" s="318"/>
      <c r="D135" s="318"/>
      <c r="E135" s="318"/>
      <c r="F135" s="318"/>
      <c r="G135" s="318"/>
      <c r="H135" s="318"/>
      <c r="I135" s="318"/>
      <c r="J135" s="318"/>
      <c r="K135" s="318"/>
      <c r="L135" s="318"/>
      <c r="M135" s="319"/>
      <c r="N135"/>
    </row>
    <row r="136" spans="1:16" ht="17.45" customHeight="1" thickBot="1">
      <c r="A136" s="150"/>
      <c r="B136" s="96" t="s">
        <v>239</v>
      </c>
      <c r="C136"/>
      <c r="D136"/>
      <c r="E136"/>
      <c r="F136"/>
      <c r="G136"/>
      <c r="H136"/>
      <c r="I136"/>
      <c r="J136"/>
    </row>
    <row r="137" spans="1:16" ht="17.45" customHeight="1" thickBot="1">
      <c r="A137" s="150"/>
      <c r="B137" s="96" t="s">
        <v>240</v>
      </c>
      <c r="C137"/>
      <c r="D137"/>
      <c r="E137"/>
      <c r="F137"/>
      <c r="G137"/>
      <c r="H137"/>
      <c r="I137"/>
      <c r="J137"/>
    </row>
    <row r="138" spans="1:16" ht="24.95" customHeight="1" thickBot="1">
      <c r="A138"/>
      <c r="B138"/>
      <c r="C138"/>
      <c r="D138"/>
      <c r="E138" s="176" t="s">
        <v>72</v>
      </c>
      <c r="F138" s="98" t="str">
        <f>CONCATENATE(" Volume for ",$E$12," samples")</f>
        <v xml:space="preserve"> Volume for  samples</v>
      </c>
      <c r="J138"/>
      <c r="K138"/>
      <c r="L138"/>
      <c r="M138"/>
      <c r="N138"/>
    </row>
    <row r="139" spans="1:16" ht="24.95" customHeight="1" thickBot="1">
      <c r="A139" s="150"/>
      <c r="B139" s="151" t="s">
        <v>73</v>
      </c>
      <c r="C139" s="186"/>
      <c r="D139" s="133" t="s">
        <v>241</v>
      </c>
      <c r="E139" s="155">
        <v>5</v>
      </c>
      <c r="F139" s="156">
        <f>E139*$E$12*1.1</f>
        <v>0</v>
      </c>
      <c r="G139" s="143" t="s">
        <v>74</v>
      </c>
      <c r="J139"/>
      <c r="K139"/>
      <c r="L139"/>
      <c r="M139"/>
      <c r="N139"/>
    </row>
    <row r="140" spans="1:16" ht="24.95" customHeight="1" thickBot="1">
      <c r="A140"/>
      <c r="B140"/>
      <c r="C140" s="187"/>
      <c r="D140" s="181" t="s">
        <v>242</v>
      </c>
      <c r="E140" s="178">
        <v>10</v>
      </c>
      <c r="F140" s="163">
        <f>E140*$E$12*1.1</f>
        <v>0</v>
      </c>
      <c r="G140" s="164" t="s">
        <v>74</v>
      </c>
      <c r="J140"/>
      <c r="K140"/>
      <c r="L140"/>
      <c r="M140"/>
      <c r="N140"/>
    </row>
    <row r="141" spans="1:16" ht="24.95" customHeight="1" thickBot="1">
      <c r="A141"/>
      <c r="B141"/>
      <c r="C141"/>
      <c r="D141"/>
      <c r="E141" s="172">
        <f>SUM(E139:E140)</f>
        <v>15</v>
      </c>
      <c r="F141" s="172">
        <f>SUM(F139:F140)</f>
        <v>0</v>
      </c>
      <c r="G141" s="167" t="s">
        <v>74</v>
      </c>
      <c r="H141" s="179" t="s">
        <v>76</v>
      </c>
      <c r="I141" s="179"/>
      <c r="J141"/>
      <c r="K141"/>
      <c r="L141"/>
      <c r="M141"/>
      <c r="N141"/>
    </row>
    <row r="142" spans="1:16" ht="24.95" customHeight="1" thickBot="1">
      <c r="A142" s="150"/>
      <c r="B142" s="96" t="s">
        <v>84</v>
      </c>
      <c r="C142"/>
      <c r="D142" s="94" t="s">
        <v>243</v>
      </c>
      <c r="E142"/>
      <c r="F142"/>
      <c r="G142"/>
      <c r="H142"/>
      <c r="I142"/>
      <c r="J142"/>
      <c r="K142"/>
      <c r="L142"/>
      <c r="M142"/>
      <c r="N142"/>
    </row>
    <row r="143" spans="1:16" ht="24.95" customHeight="1">
      <c r="A143"/>
      <c r="B143"/>
      <c r="C143"/>
      <c r="D143" s="94" t="s">
        <v>244</v>
      </c>
      <c r="E143"/>
      <c r="F143"/>
      <c r="G143"/>
      <c r="H143"/>
      <c r="I143"/>
      <c r="J143"/>
      <c r="K143"/>
      <c r="L143"/>
      <c r="M143"/>
      <c r="N143"/>
    </row>
    <row r="144" spans="1:16" ht="26.1" customHeight="1">
      <c r="A144"/>
      <c r="B144"/>
      <c r="C144"/>
      <c r="D144" s="94" t="s">
        <v>245</v>
      </c>
      <c r="E144"/>
      <c r="F144"/>
      <c r="G144"/>
      <c r="H144"/>
      <c r="I144"/>
      <c r="J144"/>
      <c r="K144"/>
      <c r="L144"/>
      <c r="M144"/>
      <c r="N144"/>
      <c r="O144"/>
      <c r="P144"/>
    </row>
    <row r="145" spans="1:16" ht="24.95" customHeight="1" thickBot="1">
      <c r="A145"/>
      <c r="B145"/>
      <c r="C145"/>
      <c r="D145" s="94" t="s">
        <v>246</v>
      </c>
      <c r="E145"/>
      <c r="F145"/>
      <c r="G145"/>
      <c r="H145"/>
      <c r="I145"/>
      <c r="J145"/>
      <c r="K145"/>
      <c r="L145"/>
      <c r="M145"/>
      <c r="N145"/>
    </row>
    <row r="146" spans="1:16" ht="24.95" customHeight="1" thickBot="1">
      <c r="A146" s="150"/>
      <c r="B146" s="375" t="s">
        <v>247</v>
      </c>
      <c r="C146" s="375"/>
      <c r="D146" s="375"/>
      <c r="E146" s="375"/>
      <c r="F146" s="375"/>
      <c r="G146" s="375"/>
      <c r="H146" s="375"/>
      <c r="I146" s="375"/>
      <c r="J146"/>
      <c r="K146" s="103" t="s">
        <v>248</v>
      </c>
    </row>
    <row r="147" spans="1:16" ht="36" customHeight="1" thickBot="1">
      <c r="A147"/>
      <c r="B147" s="375"/>
      <c r="C147" s="375"/>
      <c r="D147" s="375"/>
      <c r="E147" s="375"/>
      <c r="F147" s="375"/>
      <c r="G147" s="375"/>
      <c r="H147" s="375"/>
      <c r="I147" s="375"/>
      <c r="J147"/>
      <c r="K147"/>
      <c r="L147"/>
      <c r="M147"/>
      <c r="N147"/>
      <c r="O147"/>
      <c r="P147"/>
    </row>
    <row r="148" spans="1:16" ht="26.1" customHeight="1" thickBot="1">
      <c r="A148" s="150"/>
      <c r="B148" s="96" t="s">
        <v>249</v>
      </c>
      <c r="C148"/>
      <c r="D148"/>
      <c r="E148"/>
      <c r="F148"/>
      <c r="G148"/>
      <c r="H148"/>
      <c r="I148"/>
      <c r="J148"/>
      <c r="O148"/>
      <c r="P148"/>
    </row>
    <row r="149" spans="1:16" ht="26.1" customHeight="1" thickBot="1">
      <c r="A149"/>
      <c r="B149"/>
      <c r="C149"/>
      <c r="D149"/>
      <c r="E149" s="176" t="s">
        <v>72</v>
      </c>
      <c r="F149" s="98" t="str">
        <f>CONCATENATE(" Volume for ",$E$12," samples")</f>
        <v xml:space="preserve"> Volume for  samples</v>
      </c>
      <c r="I149"/>
      <c r="J149"/>
      <c r="K149"/>
      <c r="L149"/>
      <c r="M149"/>
      <c r="N149"/>
      <c r="O149"/>
      <c r="P149"/>
    </row>
    <row r="150" spans="1:16" ht="21.6" customHeight="1" thickBot="1">
      <c r="A150" s="150"/>
      <c r="B150" s="96" t="s">
        <v>250</v>
      </c>
      <c r="C150" s="186"/>
      <c r="D150" s="133" t="s">
        <v>345</v>
      </c>
      <c r="E150" s="155">
        <v>40</v>
      </c>
      <c r="F150" s="156">
        <f>E150*$E$12*1.1</f>
        <v>0</v>
      </c>
      <c r="G150" s="143" t="s">
        <v>74</v>
      </c>
      <c r="I150"/>
      <c r="J150"/>
      <c r="K150"/>
      <c r="L150"/>
      <c r="M150"/>
      <c r="N150"/>
      <c r="O150"/>
      <c r="P150"/>
    </row>
    <row r="151" spans="1:16" ht="21.6" customHeight="1">
      <c r="A151" s="149"/>
      <c r="B151" s="151"/>
      <c r="C151" s="186"/>
      <c r="D151" s="133" t="s">
        <v>251</v>
      </c>
      <c r="E151" s="159">
        <v>10</v>
      </c>
      <c r="F151" s="156">
        <f>E151*$E$12*1.1</f>
        <v>0</v>
      </c>
      <c r="G151" s="143" t="s">
        <v>74</v>
      </c>
      <c r="I151"/>
      <c r="J151"/>
      <c r="K151"/>
      <c r="L151"/>
      <c r="M151"/>
      <c r="N151"/>
      <c r="O151"/>
      <c r="P151"/>
    </row>
    <row r="152" spans="1:16" ht="21.6" customHeight="1" thickBot="1">
      <c r="A152"/>
      <c r="B152"/>
      <c r="C152"/>
      <c r="D152"/>
      <c r="E152" s="172">
        <f>SUM(E150:E151)</f>
        <v>50</v>
      </c>
      <c r="F152" s="172">
        <f>SUM(F150:F151)</f>
        <v>0</v>
      </c>
      <c r="G152" s="167" t="s">
        <v>74</v>
      </c>
      <c r="H152" s="179" t="s">
        <v>76</v>
      </c>
      <c r="O152"/>
      <c r="P152"/>
    </row>
    <row r="153" spans="1:16" ht="21.6" customHeight="1" thickBot="1">
      <c r="A153" s="150"/>
      <c r="B153" s="96" t="s">
        <v>84</v>
      </c>
      <c r="C153"/>
      <c r="D153" s="94" t="s">
        <v>252</v>
      </c>
      <c r="G153" s="146"/>
      <c r="H153" s="179"/>
      <c r="O153"/>
      <c r="P153"/>
    </row>
    <row r="154" spans="1:16" ht="21.6" customHeight="1" thickBot="1">
      <c r="A154"/>
      <c r="B154"/>
      <c r="C154"/>
      <c r="D154" s="94" t="s">
        <v>243</v>
      </c>
      <c r="G154" s="146"/>
      <c r="H154" s="179"/>
      <c r="O154"/>
      <c r="P154"/>
    </row>
    <row r="155" spans="1:16" ht="24.95" customHeight="1" thickBot="1">
      <c r="A155" s="150"/>
      <c r="B155" s="96" t="s">
        <v>253</v>
      </c>
      <c r="C155"/>
      <c r="D155"/>
      <c r="E155"/>
      <c r="F155"/>
      <c r="G155"/>
      <c r="H155"/>
      <c r="I155"/>
      <c r="J155"/>
    </row>
    <row r="156" spans="1:16" ht="17.45" customHeight="1" thickBot="1">
      <c r="A156" s="150"/>
      <c r="B156" s="96" t="s">
        <v>254</v>
      </c>
      <c r="C156"/>
      <c r="D156"/>
      <c r="E156"/>
      <c r="F156"/>
      <c r="G156"/>
      <c r="H156"/>
      <c r="I156"/>
      <c r="J156"/>
      <c r="O156"/>
      <c r="P156"/>
    </row>
    <row r="157" spans="1:16" ht="24.95" customHeight="1" thickBot="1">
      <c r="A157" s="150"/>
      <c r="B157" s="96" t="str">
        <f>CONCATENATE("Add 20 µL of indexes of the plate ", L2)</f>
        <v xml:space="preserve">Add 20 µL of indexes of the plate </v>
      </c>
      <c r="C157"/>
      <c r="D157"/>
      <c r="E157"/>
      <c r="F157"/>
      <c r="G157"/>
      <c r="H157"/>
      <c r="I157"/>
      <c r="J157"/>
    </row>
    <row r="158" spans="1:16" ht="33" customHeight="1" thickBot="1">
      <c r="A158" s="188"/>
      <c r="B158" s="179" t="s">
        <v>90</v>
      </c>
      <c r="G158" s="141" t="s">
        <v>91</v>
      </c>
      <c r="H158" s="185"/>
      <c r="O158"/>
      <c r="P158"/>
    </row>
    <row r="159" spans="1:16" ht="26.1" customHeight="1">
      <c r="A159" s="149"/>
      <c r="B159" s="189"/>
      <c r="C159" s="104">
        <v>1</v>
      </c>
      <c r="D159" s="104">
        <v>2</v>
      </c>
      <c r="E159" s="104">
        <v>3</v>
      </c>
      <c r="F159" s="104">
        <v>4</v>
      </c>
      <c r="G159" s="104">
        <v>5</v>
      </c>
      <c r="H159" s="104">
        <v>6</v>
      </c>
      <c r="I159" s="104">
        <v>7</v>
      </c>
      <c r="J159" s="104">
        <v>8</v>
      </c>
      <c r="K159" s="104">
        <v>9</v>
      </c>
      <c r="L159" s="104">
        <v>10</v>
      </c>
      <c r="M159" s="104">
        <v>11</v>
      </c>
      <c r="N159" s="104">
        <v>12</v>
      </c>
      <c r="O159"/>
      <c r="P159"/>
    </row>
    <row r="160" spans="1:16" ht="26.1"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c r="O160"/>
      <c r="P160"/>
    </row>
    <row r="161" spans="1:14" ht="26.2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20.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20.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24.9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24.9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24.9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24.9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17.45" customHeight="1">
      <c r="A169"/>
      <c r="B169"/>
      <c r="C169"/>
      <c r="D169" s="107" t="s">
        <v>101</v>
      </c>
      <c r="E169" s="301" t="str">
        <f>IF($H$168&gt;0,CONCATENATE($H$168," cycles"),"___cycles")</f>
        <v>___cycles</v>
      </c>
      <c r="F169"/>
      <c r="G169"/>
      <c r="H169"/>
      <c r="I169"/>
      <c r="J169"/>
    </row>
    <row r="170" spans="1:14" ht="17.45" customHeight="1">
      <c r="A170"/>
      <c r="B170"/>
      <c r="C170"/>
      <c r="D170" s="107" t="s">
        <v>102</v>
      </c>
      <c r="E170" s="302"/>
      <c r="F170"/>
      <c r="G170"/>
      <c r="H170"/>
      <c r="I170"/>
      <c r="J170"/>
    </row>
    <row r="171" spans="1:14" ht="17.45" customHeight="1">
      <c r="A171"/>
      <c r="B171"/>
      <c r="C171"/>
      <c r="D171" s="107" t="s">
        <v>103</v>
      </c>
      <c r="E171" s="303"/>
      <c r="F171"/>
      <c r="G171"/>
      <c r="H171"/>
      <c r="I171"/>
      <c r="J171"/>
    </row>
    <row r="172" spans="1:14" ht="17.45" customHeight="1" thickBot="1">
      <c r="A172"/>
      <c r="B172"/>
      <c r="C172"/>
      <c r="D172" s="94" t="s">
        <v>104</v>
      </c>
      <c r="E172"/>
      <c r="F172"/>
      <c r="G172"/>
      <c r="H172"/>
      <c r="I172"/>
      <c r="J172"/>
    </row>
    <row r="173" spans="1:14" ht="17.45" customHeight="1" thickBot="1">
      <c r="A173" s="150"/>
      <c r="B173" s="376" t="s">
        <v>255</v>
      </c>
      <c r="C173" s="375"/>
      <c r="D173" s="375"/>
      <c r="E173" s="375"/>
      <c r="F173" s="375"/>
      <c r="G173" s="375"/>
      <c r="H173" s="375"/>
      <c r="I173" s="375"/>
      <c r="J173"/>
      <c r="K173" s="103" t="s">
        <v>248</v>
      </c>
    </row>
    <row r="174" spans="1:14" ht="17.45" customHeight="1" thickBot="1">
      <c r="A174"/>
      <c r="B174" s="375"/>
      <c r="C174" s="375"/>
      <c r="D174" s="375"/>
      <c r="E174" s="375"/>
      <c r="F174" s="375"/>
      <c r="G174" s="375"/>
      <c r="H174" s="375"/>
      <c r="I174" s="375"/>
      <c r="J174"/>
      <c r="K174" s="103"/>
    </row>
    <row r="175" spans="1:14" ht="23.25" customHeight="1" thickBot="1">
      <c r="A175" s="150"/>
      <c r="B175" s="96" t="s">
        <v>256</v>
      </c>
      <c r="C175"/>
      <c r="D175"/>
      <c r="E175"/>
      <c r="F175"/>
      <c r="G175"/>
      <c r="H175"/>
      <c r="I175"/>
      <c r="J175"/>
    </row>
    <row r="176" spans="1:14" ht="17.45" customHeight="1" thickBot="1">
      <c r="A176"/>
      <c r="B176" s="424" t="s">
        <v>387</v>
      </c>
      <c r="C176" s="425"/>
      <c r="D176" s="425"/>
      <c r="E176" s="425"/>
      <c r="F176" s="425"/>
      <c r="G176" s="425"/>
      <c r="H176" s="425"/>
      <c r="I176" s="425"/>
      <c r="J176" s="425"/>
      <c r="K176" s="425"/>
      <c r="L176" s="425"/>
      <c r="M176" s="425"/>
      <c r="N176" s="426"/>
    </row>
    <row r="177" spans="1:14" ht="24.95" customHeight="1" thickBot="1">
      <c r="A177" s="150"/>
      <c r="B177" s="96" t="s">
        <v>280</v>
      </c>
      <c r="C177"/>
      <c r="D177"/>
      <c r="E177"/>
      <c r="F177"/>
      <c r="G177"/>
      <c r="H177"/>
      <c r="I177"/>
      <c r="J177"/>
    </row>
    <row r="178" spans="1:14" ht="24.9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369</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95" customHeight="1" thickBot="1">
      <c r="A181"/>
      <c r="B181"/>
      <c r="C181"/>
      <c r="D181" s="102" t="s">
        <v>105</v>
      </c>
      <c r="E181" s="102">
        <f>+SUM(E179:E180)</f>
        <v>75</v>
      </c>
      <c r="F181" s="102">
        <f>SUM(F179:F180)</f>
        <v>0</v>
      </c>
      <c r="G181" s="102" t="s">
        <v>74</v>
      </c>
      <c r="H181"/>
      <c r="I181"/>
      <c r="J181"/>
    </row>
    <row r="182" spans="1:14" ht="24.95" customHeight="1" thickBot="1">
      <c r="A182" s="150"/>
      <c r="B182" s="96" t="s">
        <v>388</v>
      </c>
      <c r="C182"/>
      <c r="D182"/>
      <c r="E182"/>
      <c r="F182" s="99"/>
      <c r="G182" s="99"/>
      <c r="H182"/>
      <c r="I182"/>
      <c r="J182"/>
    </row>
    <row r="183" spans="1:14" ht="23.2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24.9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24.9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29.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24.9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24.9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24.6"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24.6"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24.9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17.45" customHeight="1">
      <c r="A194"/>
      <c r="B194"/>
      <c r="C194"/>
      <c r="D194" s="101" t="s">
        <v>101</v>
      </c>
      <c r="E194" s="301" t="s">
        <v>281</v>
      </c>
      <c r="F194"/>
      <c r="G194"/>
      <c r="H194"/>
      <c r="I194"/>
      <c r="J194"/>
    </row>
    <row r="195" spans="1:13" ht="17.45" customHeight="1">
      <c r="A195"/>
      <c r="B195"/>
      <c r="C195"/>
      <c r="D195" s="101" t="s">
        <v>102</v>
      </c>
      <c r="E195" s="302"/>
      <c r="F195"/>
      <c r="G195"/>
      <c r="H195"/>
      <c r="I195"/>
      <c r="J195"/>
    </row>
    <row r="196" spans="1:13" ht="17.45" customHeight="1">
      <c r="A196"/>
      <c r="B196"/>
      <c r="C196"/>
      <c r="D196" s="211" t="s">
        <v>103</v>
      </c>
      <c r="E196" s="303"/>
      <c r="F196"/>
      <c r="G196" s="125"/>
      <c r="H196"/>
      <c r="I196"/>
      <c r="J196"/>
    </row>
    <row r="197" spans="1:13" ht="17.45" customHeight="1" thickBot="1">
      <c r="A197"/>
      <c r="B197"/>
      <c r="C197"/>
      <c r="D197" s="100" t="s">
        <v>88</v>
      </c>
      <c r="E197"/>
      <c r="F197"/>
      <c r="G197"/>
      <c r="H197"/>
      <c r="I197"/>
      <c r="J197"/>
    </row>
    <row r="198" spans="1:13" ht="30" customHeight="1" thickBot="1">
      <c r="A198" s="150"/>
      <c r="B198" s="96" t="s">
        <v>389</v>
      </c>
      <c r="C198"/>
      <c r="D198"/>
      <c r="E198"/>
      <c r="F198"/>
      <c r="G198"/>
      <c r="H198"/>
      <c r="I198"/>
      <c r="J198"/>
    </row>
    <row r="199" spans="1:13" ht="17.45" customHeight="1" thickBot="1">
      <c r="A199" s="188"/>
      <c r="B199" s="414" t="s">
        <v>257</v>
      </c>
      <c r="C199" s="412"/>
      <c r="D199" s="412"/>
      <c r="E199" s="412"/>
      <c r="F199" s="412"/>
      <c r="G199" s="412"/>
      <c r="H199" s="412"/>
      <c r="I199" s="412"/>
      <c r="J199" s="412"/>
      <c r="K199" s="412"/>
      <c r="L199" s="412"/>
      <c r="M199" s="413"/>
    </row>
    <row r="200" spans="1:13" ht="28.5" customHeight="1" thickBot="1">
      <c r="A200" s="175"/>
      <c r="B200" s="96" t="s">
        <v>258</v>
      </c>
      <c r="C200" s="151"/>
      <c r="E200" s="192"/>
    </row>
    <row r="201" spans="1:13" ht="24.75" customHeight="1" thickBot="1">
      <c r="A201" s="175"/>
      <c r="B201" s="151" t="s">
        <v>259</v>
      </c>
    </row>
    <row r="202" spans="1:13" ht="24.95" customHeight="1">
      <c r="A202" s="179"/>
      <c r="C202" s="96" t="s">
        <v>111</v>
      </c>
      <c r="D202" s="96"/>
      <c r="E202" s="96"/>
      <c r="F202" s="96" t="s">
        <v>444</v>
      </c>
      <c r="G202" s="151"/>
    </row>
    <row r="203" spans="1:13" ht="24.95" customHeight="1">
      <c r="A203" s="179"/>
      <c r="C203" s="242" t="s">
        <v>429</v>
      </c>
      <c r="D203" s="96"/>
      <c r="E203" s="96"/>
      <c r="G203" s="242" t="s">
        <v>428</v>
      </c>
    </row>
    <row r="204" spans="1:13" ht="24.95" customHeight="1">
      <c r="A204" s="179"/>
      <c r="C204" s="242" t="s">
        <v>430</v>
      </c>
      <c r="E204" s="96"/>
      <c r="G204" s="242" t="s">
        <v>426</v>
      </c>
    </row>
    <row r="205" spans="1:13" ht="24.95" customHeight="1">
      <c r="A205" s="179"/>
      <c r="C205" s="242" t="s">
        <v>431</v>
      </c>
      <c r="E205" s="96"/>
      <c r="G205" s="242" t="s">
        <v>427</v>
      </c>
    </row>
    <row r="206" spans="1:13" ht="24.95" customHeight="1"/>
    <row r="207" spans="1:13" ht="24.95" customHeight="1"/>
    <row r="208" spans="1:13" ht="26.25" customHeight="1">
      <c r="C208" s="373" t="s">
        <v>114</v>
      </c>
      <c r="D208" s="402"/>
      <c r="E208" s="403"/>
      <c r="F208" s="374" t="s">
        <v>524</v>
      </c>
      <c r="G208" s="402"/>
      <c r="H208" s="402"/>
      <c r="I208" s="403"/>
    </row>
    <row r="209" spans="3:9" ht="26.25" customHeight="1">
      <c r="C209" s="374" t="s">
        <v>115</v>
      </c>
      <c r="D209" s="402"/>
      <c r="E209" s="403"/>
      <c r="F209" s="374" t="s">
        <v>116</v>
      </c>
      <c r="G209" s="402"/>
      <c r="H209" s="402"/>
      <c r="I209" s="403"/>
    </row>
    <row r="210" spans="3:9" ht="26.25" customHeight="1">
      <c r="C210" s="374" t="s">
        <v>117</v>
      </c>
      <c r="D210" s="402"/>
      <c r="E210" s="403"/>
      <c r="F210" s="374" t="s">
        <v>118</v>
      </c>
      <c r="G210" s="402"/>
      <c r="H210" s="402"/>
      <c r="I210" s="403"/>
    </row>
    <row r="211" spans="3:9" ht="26.25" customHeight="1">
      <c r="C211" s="374" t="s">
        <v>119</v>
      </c>
      <c r="D211" s="402"/>
      <c r="E211" s="403"/>
      <c r="F211" s="374" t="s">
        <v>445</v>
      </c>
      <c r="G211" s="402"/>
      <c r="H211" s="402"/>
      <c r="I211" s="403"/>
    </row>
    <row r="212" spans="3:9" ht="26.25" customHeight="1">
      <c r="C212" s="374" t="s">
        <v>120</v>
      </c>
      <c r="D212" s="402"/>
      <c r="E212" s="403"/>
      <c r="F212" s="374" t="s">
        <v>121</v>
      </c>
      <c r="G212" s="402"/>
      <c r="H212" s="402"/>
      <c r="I212" s="403"/>
    </row>
    <row r="213" spans="3:9" ht="26.25" customHeight="1">
      <c r="C213" s="374" t="s">
        <v>122</v>
      </c>
      <c r="D213" s="402"/>
      <c r="E213" s="403"/>
      <c r="F213" s="374"/>
      <c r="G213" s="402"/>
      <c r="H213" s="402"/>
      <c r="I213" s="403"/>
    </row>
    <row r="214" spans="3:9" ht="26.25" customHeight="1">
      <c r="C214" s="374" t="s">
        <v>123</v>
      </c>
      <c r="D214" s="402"/>
      <c r="E214" s="403"/>
      <c r="F214" s="404"/>
      <c r="G214" s="402"/>
      <c r="H214" s="402"/>
      <c r="I214" s="403"/>
    </row>
    <row r="215" spans="3:9" ht="26.25" customHeight="1">
      <c r="C215" s="374" t="s">
        <v>124</v>
      </c>
      <c r="D215" s="402"/>
      <c r="E215" s="403"/>
      <c r="F215" s="405">
        <v>20260318</v>
      </c>
      <c r="G215" s="402"/>
      <c r="H215" s="402"/>
      <c r="I215" s="403"/>
    </row>
    <row r="220" spans="3:9" ht="30.6" customHeight="1"/>
  </sheetData>
  <mergeCells count="93">
    <mergeCell ref="A4:D4"/>
    <mergeCell ref="E4:G4"/>
    <mergeCell ref="J4:K4"/>
    <mergeCell ref="C1:J1"/>
    <mergeCell ref="A2:D2"/>
    <mergeCell ref="E2:G2"/>
    <mergeCell ref="A3:D3"/>
    <mergeCell ref="E3:G3"/>
    <mergeCell ref="A5:D5"/>
    <mergeCell ref="E5:G5"/>
    <mergeCell ref="A6:D6"/>
    <mergeCell ref="E6:G6"/>
    <mergeCell ref="A7:D7"/>
    <mergeCell ref="E7:G7"/>
    <mergeCell ref="A8:D8"/>
    <mergeCell ref="E8:G8"/>
    <mergeCell ref="A9:D9"/>
    <mergeCell ref="E9:G9"/>
    <mergeCell ref="A10:D10"/>
    <mergeCell ref="E10:G10"/>
    <mergeCell ref="G31:H31"/>
    <mergeCell ref="A11:D11"/>
    <mergeCell ref="B12:M12"/>
    <mergeCell ref="G23:H23"/>
    <mergeCell ref="J23:L23"/>
    <mergeCell ref="G24:H24"/>
    <mergeCell ref="G25:H25"/>
    <mergeCell ref="G26:H26"/>
    <mergeCell ref="G27:H27"/>
    <mergeCell ref="G28:H28"/>
    <mergeCell ref="G29:H29"/>
    <mergeCell ref="G30:H30"/>
    <mergeCell ref="B38:M38"/>
    <mergeCell ref="B41:F41"/>
    <mergeCell ref="G42:I42"/>
    <mergeCell ref="C43:E44"/>
    <mergeCell ref="G43:I43"/>
    <mergeCell ref="G44:I44"/>
    <mergeCell ref="E58:E60"/>
    <mergeCell ref="B63:M63"/>
    <mergeCell ref="B199:M199"/>
    <mergeCell ref="G45:I45"/>
    <mergeCell ref="C48:D48"/>
    <mergeCell ref="C49:D49"/>
    <mergeCell ref="C50:D50"/>
    <mergeCell ref="G54:I54"/>
    <mergeCell ref="G55:I55"/>
    <mergeCell ref="B67:F67"/>
    <mergeCell ref="H67:M67"/>
    <mergeCell ref="B68:F68"/>
    <mergeCell ref="B98:M98"/>
    <mergeCell ref="E130:E132"/>
    <mergeCell ref="B72:N72"/>
    <mergeCell ref="E80:E82"/>
    <mergeCell ref="C214:E214"/>
    <mergeCell ref="F214:I214"/>
    <mergeCell ref="C215:E215"/>
    <mergeCell ref="F215:I215"/>
    <mergeCell ref="C16:D16"/>
    <mergeCell ref="C17:D17"/>
    <mergeCell ref="C18:D18"/>
    <mergeCell ref="C19:D19"/>
    <mergeCell ref="C211:E211"/>
    <mergeCell ref="F211:I211"/>
    <mergeCell ref="C212:E212"/>
    <mergeCell ref="C213:E213"/>
    <mergeCell ref="F212:I212"/>
    <mergeCell ref="C208:E208"/>
    <mergeCell ref="F208:I208"/>
    <mergeCell ref="C209:E209"/>
    <mergeCell ref="B85:N85"/>
    <mergeCell ref="E93:E95"/>
    <mergeCell ref="H68:M68"/>
    <mergeCell ref="B69:F69"/>
    <mergeCell ref="H69:M69"/>
    <mergeCell ref="B70:F70"/>
    <mergeCell ref="H70:M70"/>
    <mergeCell ref="H71:M71"/>
    <mergeCell ref="B64:M64"/>
    <mergeCell ref="B65:F65"/>
    <mergeCell ref="H65:M65"/>
    <mergeCell ref="B66:F66"/>
    <mergeCell ref="H66:M66"/>
    <mergeCell ref="F213:I213"/>
    <mergeCell ref="B176:N176"/>
    <mergeCell ref="E194:E196"/>
    <mergeCell ref="B135:M135"/>
    <mergeCell ref="B146:I147"/>
    <mergeCell ref="E169:E171"/>
    <mergeCell ref="B173:I174"/>
    <mergeCell ref="F209:I209"/>
    <mergeCell ref="C210:E210"/>
    <mergeCell ref="F210:I210"/>
  </mergeCells>
  <conditionalFormatting sqref="C16:C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25610" r:id="rId3" name="Check Box 10">
              <controlPr defaultSize="0" autoFill="0" autoLine="0" autoPict="0">
                <anchor moveWithCells="1">
                  <from>
                    <xdr:col>0</xdr:col>
                    <xdr:colOff>28575</xdr:colOff>
                    <xdr:row>135</xdr:row>
                    <xdr:rowOff>47625</xdr:rowOff>
                  </from>
                  <to>
                    <xdr:col>1</xdr:col>
                    <xdr:colOff>85725</xdr:colOff>
                    <xdr:row>136</xdr:row>
                    <xdr:rowOff>57150</xdr:rowOff>
                  </to>
                </anchor>
              </controlPr>
            </control>
          </mc:Choice>
        </mc:AlternateContent>
        <mc:AlternateContent xmlns:mc="http://schemas.openxmlformats.org/markup-compatibility/2006">
          <mc:Choice Requires="x14">
            <control shapeId="25611" r:id="rId4" name="Check Box 11">
              <controlPr defaultSize="0" autoFill="0" autoLine="0" autoPict="0">
                <anchor moveWithCells="1">
                  <from>
                    <xdr:col>0</xdr:col>
                    <xdr:colOff>28575</xdr:colOff>
                    <xdr:row>136</xdr:row>
                    <xdr:rowOff>47625</xdr:rowOff>
                  </from>
                  <to>
                    <xdr:col>1</xdr:col>
                    <xdr:colOff>85725</xdr:colOff>
                    <xdr:row>137</xdr:row>
                    <xdr:rowOff>57150</xdr:rowOff>
                  </to>
                </anchor>
              </controlPr>
            </control>
          </mc:Choice>
        </mc:AlternateContent>
        <mc:AlternateContent xmlns:mc="http://schemas.openxmlformats.org/markup-compatibility/2006">
          <mc:Choice Requires="x14">
            <control shapeId="25612" r:id="rId5" name="Check Box 12">
              <controlPr defaultSize="0" autoFill="0" autoLine="0" autoPict="0">
                <anchor moveWithCells="1">
                  <from>
                    <xdr:col>0</xdr:col>
                    <xdr:colOff>28575</xdr:colOff>
                    <xdr:row>138</xdr:row>
                    <xdr:rowOff>47625</xdr:rowOff>
                  </from>
                  <to>
                    <xdr:col>1</xdr:col>
                    <xdr:colOff>85725</xdr:colOff>
                    <xdr:row>138</xdr:row>
                    <xdr:rowOff>276225</xdr:rowOff>
                  </to>
                </anchor>
              </controlPr>
            </control>
          </mc:Choice>
        </mc:AlternateContent>
        <mc:AlternateContent xmlns:mc="http://schemas.openxmlformats.org/markup-compatibility/2006">
          <mc:Choice Requires="x14">
            <control shapeId="25613" r:id="rId6" name="Check Box 13">
              <controlPr defaultSize="0" autoFill="0" autoLine="0" autoPict="0">
                <anchor moveWithCells="1">
                  <from>
                    <xdr:col>0</xdr:col>
                    <xdr:colOff>28575</xdr:colOff>
                    <xdr:row>141</xdr:row>
                    <xdr:rowOff>47625</xdr:rowOff>
                  </from>
                  <to>
                    <xdr:col>1</xdr:col>
                    <xdr:colOff>85725</xdr:colOff>
                    <xdr:row>141</xdr:row>
                    <xdr:rowOff>276225</xdr:rowOff>
                  </to>
                </anchor>
              </controlPr>
            </control>
          </mc:Choice>
        </mc:AlternateContent>
        <mc:AlternateContent xmlns:mc="http://schemas.openxmlformats.org/markup-compatibility/2006">
          <mc:Choice Requires="x14">
            <control shapeId="25614" r:id="rId7" name="Check Box 14">
              <controlPr defaultSize="0" autoFill="0" autoLine="0" autoPict="0">
                <anchor moveWithCells="1">
                  <from>
                    <xdr:col>0</xdr:col>
                    <xdr:colOff>28575</xdr:colOff>
                    <xdr:row>145</xdr:row>
                    <xdr:rowOff>47625</xdr:rowOff>
                  </from>
                  <to>
                    <xdr:col>1</xdr:col>
                    <xdr:colOff>85725</xdr:colOff>
                    <xdr:row>145</xdr:row>
                    <xdr:rowOff>276225</xdr:rowOff>
                  </to>
                </anchor>
              </controlPr>
            </control>
          </mc:Choice>
        </mc:AlternateContent>
        <mc:AlternateContent xmlns:mc="http://schemas.openxmlformats.org/markup-compatibility/2006">
          <mc:Choice Requires="x14">
            <control shapeId="25615" r:id="rId8" name="Check Box 15">
              <controlPr defaultSize="0" autoFill="0" autoLine="0" autoPict="0">
                <anchor moveWithCells="1">
                  <from>
                    <xdr:col>0</xdr:col>
                    <xdr:colOff>28575</xdr:colOff>
                    <xdr:row>147</xdr:row>
                    <xdr:rowOff>47625</xdr:rowOff>
                  </from>
                  <to>
                    <xdr:col>1</xdr:col>
                    <xdr:colOff>85725</xdr:colOff>
                    <xdr:row>147</xdr:row>
                    <xdr:rowOff>276225</xdr:rowOff>
                  </to>
                </anchor>
              </controlPr>
            </control>
          </mc:Choice>
        </mc:AlternateContent>
        <mc:AlternateContent xmlns:mc="http://schemas.openxmlformats.org/markup-compatibility/2006">
          <mc:Choice Requires="x14">
            <control shapeId="25616" r:id="rId9" name="Check Box 16">
              <controlPr defaultSize="0" autoFill="0" autoLine="0" autoPict="0">
                <anchor moveWithCells="1">
                  <from>
                    <xdr:col>0</xdr:col>
                    <xdr:colOff>28575</xdr:colOff>
                    <xdr:row>149</xdr:row>
                    <xdr:rowOff>47625</xdr:rowOff>
                  </from>
                  <to>
                    <xdr:col>1</xdr:col>
                    <xdr:colOff>85725</xdr:colOff>
                    <xdr:row>150</xdr:row>
                    <xdr:rowOff>9525</xdr:rowOff>
                  </to>
                </anchor>
              </controlPr>
            </control>
          </mc:Choice>
        </mc:AlternateContent>
        <mc:AlternateContent xmlns:mc="http://schemas.openxmlformats.org/markup-compatibility/2006">
          <mc:Choice Requires="x14">
            <control shapeId="25617" r:id="rId10" name="Check Box 17">
              <controlPr defaultSize="0" autoFill="0" autoLine="0" autoPict="0">
                <anchor moveWithCells="1">
                  <from>
                    <xdr:col>0</xdr:col>
                    <xdr:colOff>28575</xdr:colOff>
                    <xdr:row>152</xdr:row>
                    <xdr:rowOff>47625</xdr:rowOff>
                  </from>
                  <to>
                    <xdr:col>1</xdr:col>
                    <xdr:colOff>85725</xdr:colOff>
                    <xdr:row>153</xdr:row>
                    <xdr:rowOff>19050</xdr:rowOff>
                  </to>
                </anchor>
              </controlPr>
            </control>
          </mc:Choice>
        </mc:AlternateContent>
        <mc:AlternateContent xmlns:mc="http://schemas.openxmlformats.org/markup-compatibility/2006">
          <mc:Choice Requires="x14">
            <control shapeId="25618" r:id="rId11" name="Check Box 18">
              <controlPr defaultSize="0" autoFill="0" autoLine="0" autoPict="0">
                <anchor moveWithCells="1">
                  <from>
                    <xdr:col>0</xdr:col>
                    <xdr:colOff>28575</xdr:colOff>
                    <xdr:row>154</xdr:row>
                    <xdr:rowOff>47625</xdr:rowOff>
                  </from>
                  <to>
                    <xdr:col>1</xdr:col>
                    <xdr:colOff>85725</xdr:colOff>
                    <xdr:row>154</xdr:row>
                    <xdr:rowOff>276225</xdr:rowOff>
                  </to>
                </anchor>
              </controlPr>
            </control>
          </mc:Choice>
        </mc:AlternateContent>
        <mc:AlternateContent xmlns:mc="http://schemas.openxmlformats.org/markup-compatibility/2006">
          <mc:Choice Requires="x14">
            <control shapeId="25619" r:id="rId12" name="Check Box 19">
              <controlPr defaultSize="0" autoFill="0" autoLine="0" autoPict="0">
                <anchor moveWithCells="1">
                  <from>
                    <xdr:col>0</xdr:col>
                    <xdr:colOff>28575</xdr:colOff>
                    <xdr:row>156</xdr:row>
                    <xdr:rowOff>47625</xdr:rowOff>
                  </from>
                  <to>
                    <xdr:col>1</xdr:col>
                    <xdr:colOff>85725</xdr:colOff>
                    <xdr:row>156</xdr:row>
                    <xdr:rowOff>276225</xdr:rowOff>
                  </to>
                </anchor>
              </controlPr>
            </control>
          </mc:Choice>
        </mc:AlternateContent>
        <mc:AlternateContent xmlns:mc="http://schemas.openxmlformats.org/markup-compatibility/2006">
          <mc:Choice Requires="x14">
            <control shapeId="25620" r:id="rId13" name="Check Box 20">
              <controlPr defaultSize="0" autoFill="0" autoLine="0" autoPict="0">
                <anchor moveWithCells="1">
                  <from>
                    <xdr:col>0</xdr:col>
                    <xdr:colOff>28575</xdr:colOff>
                    <xdr:row>155</xdr:row>
                    <xdr:rowOff>47625</xdr:rowOff>
                  </from>
                  <to>
                    <xdr:col>1</xdr:col>
                    <xdr:colOff>85725</xdr:colOff>
                    <xdr:row>156</xdr:row>
                    <xdr:rowOff>57150</xdr:rowOff>
                  </to>
                </anchor>
              </controlPr>
            </control>
          </mc:Choice>
        </mc:AlternateContent>
        <mc:AlternateContent xmlns:mc="http://schemas.openxmlformats.org/markup-compatibility/2006">
          <mc:Choice Requires="x14">
            <control shapeId="25625" r:id="rId14" name="Check Box 25">
              <controlPr defaultSize="0" autoFill="0" autoLine="0" autoPict="0">
                <anchor moveWithCells="1">
                  <from>
                    <xdr:col>0</xdr:col>
                    <xdr:colOff>28575</xdr:colOff>
                    <xdr:row>157</xdr:row>
                    <xdr:rowOff>47625</xdr:rowOff>
                  </from>
                  <to>
                    <xdr:col>1</xdr:col>
                    <xdr:colOff>85725</xdr:colOff>
                    <xdr:row>157</xdr:row>
                    <xdr:rowOff>295275</xdr:rowOff>
                  </to>
                </anchor>
              </controlPr>
            </control>
          </mc:Choice>
        </mc:AlternateContent>
        <mc:AlternateContent xmlns:mc="http://schemas.openxmlformats.org/markup-compatibility/2006">
          <mc:Choice Requires="x14">
            <control shapeId="25629" r:id="rId15" name="Check Box 29">
              <controlPr defaultSize="0" autoFill="0" autoLine="0" autoPict="0">
                <anchor moveWithCells="1">
                  <from>
                    <xdr:col>0</xdr:col>
                    <xdr:colOff>28575</xdr:colOff>
                    <xdr:row>72</xdr:row>
                    <xdr:rowOff>47625</xdr:rowOff>
                  </from>
                  <to>
                    <xdr:col>1</xdr:col>
                    <xdr:colOff>85725</xdr:colOff>
                    <xdr:row>72</xdr:row>
                    <xdr:rowOff>276225</xdr:rowOff>
                  </to>
                </anchor>
              </controlPr>
            </control>
          </mc:Choice>
        </mc:AlternateContent>
        <mc:AlternateContent xmlns:mc="http://schemas.openxmlformats.org/markup-compatibility/2006">
          <mc:Choice Requires="x14">
            <control shapeId="25630" r:id="rId16" name="Check Box 30">
              <controlPr defaultSize="0" autoFill="0" autoLine="0" autoPict="0">
                <anchor moveWithCells="1">
                  <from>
                    <xdr:col>0</xdr:col>
                    <xdr:colOff>28575</xdr:colOff>
                    <xdr:row>78</xdr:row>
                    <xdr:rowOff>47625</xdr:rowOff>
                  </from>
                  <to>
                    <xdr:col>1</xdr:col>
                    <xdr:colOff>85725</xdr:colOff>
                    <xdr:row>79</xdr:row>
                    <xdr:rowOff>19050</xdr:rowOff>
                  </to>
                </anchor>
              </controlPr>
            </control>
          </mc:Choice>
        </mc:AlternateContent>
        <mc:AlternateContent xmlns:mc="http://schemas.openxmlformats.org/markup-compatibility/2006">
          <mc:Choice Requires="x14">
            <control shapeId="25631" r:id="rId17" name="Check Box 31">
              <controlPr defaultSize="0" autoFill="0" autoLine="0" autoPict="0">
                <anchor moveWithCells="1">
                  <from>
                    <xdr:col>0</xdr:col>
                    <xdr:colOff>28575</xdr:colOff>
                    <xdr:row>83</xdr:row>
                    <xdr:rowOff>47625</xdr:rowOff>
                  </from>
                  <to>
                    <xdr:col>1</xdr:col>
                    <xdr:colOff>85725</xdr:colOff>
                    <xdr:row>83</xdr:row>
                    <xdr:rowOff>276225</xdr:rowOff>
                  </to>
                </anchor>
              </controlPr>
            </control>
          </mc:Choice>
        </mc:AlternateContent>
        <mc:AlternateContent xmlns:mc="http://schemas.openxmlformats.org/markup-compatibility/2006">
          <mc:Choice Requires="x14">
            <control shapeId="25632" r:id="rId18" name="Check Box 32">
              <controlPr defaultSize="0" autoFill="0" autoLine="0" autoPict="0">
                <anchor moveWithCells="1">
                  <from>
                    <xdr:col>0</xdr:col>
                    <xdr:colOff>28575</xdr:colOff>
                    <xdr:row>77</xdr:row>
                    <xdr:rowOff>47625</xdr:rowOff>
                  </from>
                  <to>
                    <xdr:col>1</xdr:col>
                    <xdr:colOff>85725</xdr:colOff>
                    <xdr:row>78</xdr:row>
                    <xdr:rowOff>9525</xdr:rowOff>
                  </to>
                </anchor>
              </controlPr>
            </control>
          </mc:Choice>
        </mc:AlternateContent>
        <mc:AlternateContent xmlns:mc="http://schemas.openxmlformats.org/markup-compatibility/2006">
          <mc:Choice Requires="x14">
            <control shapeId="25633" r:id="rId19" name="Check Box 33">
              <controlPr defaultSize="0" autoFill="0" autoLine="0" autoPict="0">
                <anchor moveWithCells="1">
                  <from>
                    <xdr:col>0</xdr:col>
                    <xdr:colOff>28575</xdr:colOff>
                    <xdr:row>85</xdr:row>
                    <xdr:rowOff>47625</xdr:rowOff>
                  </from>
                  <to>
                    <xdr:col>1</xdr:col>
                    <xdr:colOff>85725</xdr:colOff>
                    <xdr:row>85</xdr:row>
                    <xdr:rowOff>276225</xdr:rowOff>
                  </to>
                </anchor>
              </controlPr>
            </control>
          </mc:Choice>
        </mc:AlternateContent>
        <mc:AlternateContent xmlns:mc="http://schemas.openxmlformats.org/markup-compatibility/2006">
          <mc:Choice Requires="x14">
            <control shapeId="25634" r:id="rId20" name="Check Box 34">
              <controlPr defaultSize="0" autoFill="0" autoLine="0" autoPict="0">
                <anchor moveWithCells="1">
                  <from>
                    <xdr:col>0</xdr:col>
                    <xdr:colOff>28575</xdr:colOff>
                    <xdr:row>91</xdr:row>
                    <xdr:rowOff>47625</xdr:rowOff>
                  </from>
                  <to>
                    <xdr:col>1</xdr:col>
                    <xdr:colOff>85725</xdr:colOff>
                    <xdr:row>91</xdr:row>
                    <xdr:rowOff>285750</xdr:rowOff>
                  </to>
                </anchor>
              </controlPr>
            </control>
          </mc:Choice>
        </mc:AlternateContent>
        <mc:AlternateContent xmlns:mc="http://schemas.openxmlformats.org/markup-compatibility/2006">
          <mc:Choice Requires="x14">
            <control shapeId="25635" r:id="rId21" name="Check Box 35">
              <controlPr defaultSize="0" autoFill="0" autoLine="0" autoPict="0">
                <anchor moveWithCells="1">
                  <from>
                    <xdr:col>0</xdr:col>
                    <xdr:colOff>28575</xdr:colOff>
                    <xdr:row>96</xdr:row>
                    <xdr:rowOff>47625</xdr:rowOff>
                  </from>
                  <to>
                    <xdr:col>1</xdr:col>
                    <xdr:colOff>85725</xdr:colOff>
                    <xdr:row>96</xdr:row>
                    <xdr:rowOff>276225</xdr:rowOff>
                  </to>
                </anchor>
              </controlPr>
            </control>
          </mc:Choice>
        </mc:AlternateContent>
        <mc:AlternateContent xmlns:mc="http://schemas.openxmlformats.org/markup-compatibility/2006">
          <mc:Choice Requires="x14">
            <control shapeId="25636" r:id="rId22" name="Check Box 36">
              <controlPr defaultSize="0" autoFill="0" autoLine="0" autoPict="0">
                <anchor moveWithCells="1">
                  <from>
                    <xdr:col>0</xdr:col>
                    <xdr:colOff>28575</xdr:colOff>
                    <xdr:row>90</xdr:row>
                    <xdr:rowOff>47625</xdr:rowOff>
                  </from>
                  <to>
                    <xdr:col>1</xdr:col>
                    <xdr:colOff>85725</xdr:colOff>
                    <xdr:row>90</xdr:row>
                    <xdr:rowOff>276225</xdr:rowOff>
                  </to>
                </anchor>
              </controlPr>
            </control>
          </mc:Choice>
        </mc:AlternateContent>
        <mc:AlternateContent xmlns:mc="http://schemas.openxmlformats.org/markup-compatibility/2006">
          <mc:Choice Requires="x14">
            <control shapeId="25637" r:id="rId23" name="Check Box 37">
              <controlPr defaultSize="0" autoFill="0" autoLine="0" autoPict="0">
                <anchor moveWithCells="1">
                  <from>
                    <xdr:col>0</xdr:col>
                    <xdr:colOff>28575</xdr:colOff>
                    <xdr:row>98</xdr:row>
                    <xdr:rowOff>47625</xdr:rowOff>
                  </from>
                  <to>
                    <xdr:col>1</xdr:col>
                    <xdr:colOff>85725</xdr:colOff>
                    <xdr:row>98</xdr:row>
                    <xdr:rowOff>276225</xdr:rowOff>
                  </to>
                </anchor>
              </controlPr>
            </control>
          </mc:Choice>
        </mc:AlternateContent>
        <mc:AlternateContent xmlns:mc="http://schemas.openxmlformats.org/markup-compatibility/2006">
          <mc:Choice Requires="x14">
            <control shapeId="25638" r:id="rId24" name="Check Box 38">
              <controlPr defaultSize="0" autoFill="0" autoLine="0" autoPict="0">
                <anchor moveWithCells="1">
                  <from>
                    <xdr:col>0</xdr:col>
                    <xdr:colOff>28575</xdr:colOff>
                    <xdr:row>99</xdr:row>
                    <xdr:rowOff>47625</xdr:rowOff>
                  </from>
                  <to>
                    <xdr:col>1</xdr:col>
                    <xdr:colOff>85725</xdr:colOff>
                    <xdr:row>99</xdr:row>
                    <xdr:rowOff>276225</xdr:rowOff>
                  </to>
                </anchor>
              </controlPr>
            </control>
          </mc:Choice>
        </mc:AlternateContent>
        <mc:AlternateContent xmlns:mc="http://schemas.openxmlformats.org/markup-compatibility/2006">
          <mc:Choice Requires="x14">
            <control shapeId="25639" r:id="rId25" name="Check Box 39">
              <controlPr defaultSize="0" autoFill="0" autoLine="0" autoPict="0">
                <anchor moveWithCells="1">
                  <from>
                    <xdr:col>0</xdr:col>
                    <xdr:colOff>28575</xdr:colOff>
                    <xdr:row>101</xdr:row>
                    <xdr:rowOff>47625</xdr:rowOff>
                  </from>
                  <to>
                    <xdr:col>1</xdr:col>
                    <xdr:colOff>85725</xdr:colOff>
                    <xdr:row>101</xdr:row>
                    <xdr:rowOff>276225</xdr:rowOff>
                  </to>
                </anchor>
              </controlPr>
            </control>
          </mc:Choice>
        </mc:AlternateContent>
        <mc:AlternateContent xmlns:mc="http://schemas.openxmlformats.org/markup-compatibility/2006">
          <mc:Choice Requires="x14">
            <control shapeId="25640" r:id="rId26" name="Check Box 40">
              <controlPr defaultSize="0" autoFill="0" autoLine="0" autoPict="0">
                <anchor moveWithCells="1">
                  <from>
                    <xdr:col>0</xdr:col>
                    <xdr:colOff>28575</xdr:colOff>
                    <xdr:row>104</xdr:row>
                    <xdr:rowOff>47625</xdr:rowOff>
                  </from>
                  <to>
                    <xdr:col>1</xdr:col>
                    <xdr:colOff>85725</xdr:colOff>
                    <xdr:row>104</xdr:row>
                    <xdr:rowOff>266700</xdr:rowOff>
                  </to>
                </anchor>
              </controlPr>
            </control>
          </mc:Choice>
        </mc:AlternateContent>
        <mc:AlternateContent xmlns:mc="http://schemas.openxmlformats.org/markup-compatibility/2006">
          <mc:Choice Requires="x14">
            <control shapeId="25641" r:id="rId27" name="Check Box 41">
              <controlPr defaultSize="0" autoFill="0" autoLine="0" autoPict="0">
                <anchor moveWithCells="1">
                  <from>
                    <xdr:col>0</xdr:col>
                    <xdr:colOff>28575</xdr:colOff>
                    <xdr:row>108</xdr:row>
                    <xdr:rowOff>0</xdr:rowOff>
                  </from>
                  <to>
                    <xdr:col>1</xdr:col>
                    <xdr:colOff>85725</xdr:colOff>
                    <xdr:row>108</xdr:row>
                    <xdr:rowOff>228600</xdr:rowOff>
                  </to>
                </anchor>
              </controlPr>
            </control>
          </mc:Choice>
        </mc:AlternateContent>
        <mc:AlternateContent xmlns:mc="http://schemas.openxmlformats.org/markup-compatibility/2006">
          <mc:Choice Requires="x14">
            <control shapeId="25642" r:id="rId28" name="Check Box 42">
              <controlPr defaultSize="0" autoFill="0" autoLine="0" autoPict="0">
                <anchor moveWithCells="1">
                  <from>
                    <xdr:col>0</xdr:col>
                    <xdr:colOff>28575</xdr:colOff>
                    <xdr:row>108</xdr:row>
                    <xdr:rowOff>47625</xdr:rowOff>
                  </from>
                  <to>
                    <xdr:col>1</xdr:col>
                    <xdr:colOff>85725</xdr:colOff>
                    <xdr:row>108</xdr:row>
                    <xdr:rowOff>276225</xdr:rowOff>
                  </to>
                </anchor>
              </controlPr>
            </control>
          </mc:Choice>
        </mc:AlternateContent>
        <mc:AlternateContent xmlns:mc="http://schemas.openxmlformats.org/markup-compatibility/2006">
          <mc:Choice Requires="x14">
            <control shapeId="25643" r:id="rId29" name="Check Box 43">
              <controlPr defaultSize="0" autoFill="0" autoLine="0" autoPict="0">
                <anchor moveWithCells="1">
                  <from>
                    <xdr:col>0</xdr:col>
                    <xdr:colOff>28575</xdr:colOff>
                    <xdr:row>110</xdr:row>
                    <xdr:rowOff>47625</xdr:rowOff>
                  </from>
                  <to>
                    <xdr:col>1</xdr:col>
                    <xdr:colOff>85725</xdr:colOff>
                    <xdr:row>110</xdr:row>
                    <xdr:rowOff>276225</xdr:rowOff>
                  </to>
                </anchor>
              </controlPr>
            </control>
          </mc:Choice>
        </mc:AlternateContent>
        <mc:AlternateContent xmlns:mc="http://schemas.openxmlformats.org/markup-compatibility/2006">
          <mc:Choice Requires="x14">
            <control shapeId="25644" r:id="rId30" name="Check Box 44">
              <controlPr defaultSize="0" autoFill="0" autoLine="0" autoPict="0">
                <anchor moveWithCells="1">
                  <from>
                    <xdr:col>0</xdr:col>
                    <xdr:colOff>28575</xdr:colOff>
                    <xdr:row>113</xdr:row>
                    <xdr:rowOff>47625</xdr:rowOff>
                  </from>
                  <to>
                    <xdr:col>1</xdr:col>
                    <xdr:colOff>85725</xdr:colOff>
                    <xdr:row>114</xdr:row>
                    <xdr:rowOff>19050</xdr:rowOff>
                  </to>
                </anchor>
              </controlPr>
            </control>
          </mc:Choice>
        </mc:AlternateContent>
        <mc:AlternateContent xmlns:mc="http://schemas.openxmlformats.org/markup-compatibility/2006">
          <mc:Choice Requires="x14">
            <control shapeId="25645" r:id="rId31" name="Check Box 45">
              <controlPr defaultSize="0" autoFill="0" autoLine="0" autoPict="0">
                <anchor moveWithCells="1">
                  <from>
                    <xdr:col>0</xdr:col>
                    <xdr:colOff>28575</xdr:colOff>
                    <xdr:row>115</xdr:row>
                    <xdr:rowOff>47625</xdr:rowOff>
                  </from>
                  <to>
                    <xdr:col>1</xdr:col>
                    <xdr:colOff>85725</xdr:colOff>
                    <xdr:row>116</xdr:row>
                    <xdr:rowOff>9525</xdr:rowOff>
                  </to>
                </anchor>
              </controlPr>
            </control>
          </mc:Choice>
        </mc:AlternateContent>
        <mc:AlternateContent xmlns:mc="http://schemas.openxmlformats.org/markup-compatibility/2006">
          <mc:Choice Requires="x14">
            <control shapeId="25646" r:id="rId32" name="Check Box 46">
              <controlPr defaultSize="0" autoFill="0" autoLine="0" autoPict="0">
                <anchor moveWithCells="1">
                  <from>
                    <xdr:col>0</xdr:col>
                    <xdr:colOff>28575</xdr:colOff>
                    <xdr:row>117</xdr:row>
                    <xdr:rowOff>47625</xdr:rowOff>
                  </from>
                  <to>
                    <xdr:col>1</xdr:col>
                    <xdr:colOff>85725</xdr:colOff>
                    <xdr:row>117</xdr:row>
                    <xdr:rowOff>276225</xdr:rowOff>
                  </to>
                </anchor>
              </controlPr>
            </control>
          </mc:Choice>
        </mc:AlternateContent>
        <mc:AlternateContent xmlns:mc="http://schemas.openxmlformats.org/markup-compatibility/2006">
          <mc:Choice Requires="x14">
            <control shapeId="25647" r:id="rId33" name="Check Box 47">
              <controlPr defaultSize="0" autoFill="0" autoLine="0" autoPict="0">
                <anchor moveWithCells="1">
                  <from>
                    <xdr:col>0</xdr:col>
                    <xdr:colOff>28575</xdr:colOff>
                    <xdr:row>116</xdr:row>
                    <xdr:rowOff>47625</xdr:rowOff>
                  </from>
                  <to>
                    <xdr:col>1</xdr:col>
                    <xdr:colOff>85725</xdr:colOff>
                    <xdr:row>117</xdr:row>
                    <xdr:rowOff>9525</xdr:rowOff>
                  </to>
                </anchor>
              </controlPr>
            </control>
          </mc:Choice>
        </mc:AlternateContent>
        <mc:AlternateContent xmlns:mc="http://schemas.openxmlformats.org/markup-compatibility/2006">
          <mc:Choice Requires="x14">
            <control shapeId="25648" r:id="rId34" name="Check Box 48">
              <controlPr defaultSize="0" autoFill="0" autoLine="0" autoPict="0">
                <anchor moveWithCells="1">
                  <from>
                    <xdr:col>0</xdr:col>
                    <xdr:colOff>28575</xdr:colOff>
                    <xdr:row>128</xdr:row>
                    <xdr:rowOff>47625</xdr:rowOff>
                  </from>
                  <to>
                    <xdr:col>1</xdr:col>
                    <xdr:colOff>85725</xdr:colOff>
                    <xdr:row>128</xdr:row>
                    <xdr:rowOff>276225</xdr:rowOff>
                  </to>
                </anchor>
              </controlPr>
            </control>
          </mc:Choice>
        </mc:AlternateContent>
        <mc:AlternateContent xmlns:mc="http://schemas.openxmlformats.org/markup-compatibility/2006">
          <mc:Choice Requires="x14">
            <control shapeId="25649" r:id="rId35" name="Check Box 49">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0" r:id="rId36" name="Check Box 50">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1" r:id="rId37" name="Check Box 51">
              <controlPr defaultSize="0" autoFill="0" autoLine="0" autoPict="0">
                <anchor moveWithCells="1">
                  <from>
                    <xdr:col>0</xdr:col>
                    <xdr:colOff>28575</xdr:colOff>
                    <xdr:row>118</xdr:row>
                    <xdr:rowOff>47625</xdr:rowOff>
                  </from>
                  <to>
                    <xdr:col>1</xdr:col>
                    <xdr:colOff>85725</xdr:colOff>
                    <xdr:row>118</xdr:row>
                    <xdr:rowOff>295275</xdr:rowOff>
                  </to>
                </anchor>
              </controlPr>
            </control>
          </mc:Choice>
        </mc:AlternateContent>
        <mc:AlternateContent xmlns:mc="http://schemas.openxmlformats.org/markup-compatibility/2006">
          <mc:Choice Requires="x14">
            <control shapeId="25654" r:id="rId38" name="Check Box 54">
              <controlPr defaultSize="0" autoFill="0" autoLine="0" autoPict="0">
                <anchor moveWithCells="1">
                  <from>
                    <xdr:col>0</xdr:col>
                    <xdr:colOff>38100</xdr:colOff>
                    <xdr:row>63</xdr:row>
                    <xdr:rowOff>9525</xdr:rowOff>
                  </from>
                  <to>
                    <xdr:col>1</xdr:col>
                    <xdr:colOff>85725</xdr:colOff>
                    <xdr:row>63</xdr:row>
                    <xdr:rowOff>238125</xdr:rowOff>
                  </to>
                </anchor>
              </controlPr>
            </control>
          </mc:Choice>
        </mc:AlternateContent>
        <mc:AlternateContent xmlns:mc="http://schemas.openxmlformats.org/markup-compatibility/2006">
          <mc:Choice Requires="x14">
            <control shapeId="25655" r:id="rId39" name="Check Box 55">
              <controlPr defaultSize="0" autoFill="0" autoLine="0" autoPict="0">
                <anchor moveWithCells="1">
                  <from>
                    <xdr:col>6</xdr:col>
                    <xdr:colOff>95250</xdr:colOff>
                    <xdr:row>65</xdr:row>
                    <xdr:rowOff>9525</xdr:rowOff>
                  </from>
                  <to>
                    <xdr:col>6</xdr:col>
                    <xdr:colOff>428625</xdr:colOff>
                    <xdr:row>65</xdr:row>
                    <xdr:rowOff>238125</xdr:rowOff>
                  </to>
                </anchor>
              </controlPr>
            </control>
          </mc:Choice>
        </mc:AlternateContent>
        <mc:AlternateContent xmlns:mc="http://schemas.openxmlformats.org/markup-compatibility/2006">
          <mc:Choice Requires="x14">
            <control shapeId="25656" r:id="rId40" name="Check Box 56">
              <controlPr defaultSize="0" autoFill="0" autoLine="0" autoPict="0">
                <anchor moveWithCells="1">
                  <from>
                    <xdr:col>6</xdr:col>
                    <xdr:colOff>95250</xdr:colOff>
                    <xdr:row>66</xdr:row>
                    <xdr:rowOff>9525</xdr:rowOff>
                  </from>
                  <to>
                    <xdr:col>6</xdr:col>
                    <xdr:colOff>428625</xdr:colOff>
                    <xdr:row>66</xdr:row>
                    <xdr:rowOff>238125</xdr:rowOff>
                  </to>
                </anchor>
              </controlPr>
            </control>
          </mc:Choice>
        </mc:AlternateContent>
        <mc:AlternateContent xmlns:mc="http://schemas.openxmlformats.org/markup-compatibility/2006">
          <mc:Choice Requires="x14">
            <control shapeId="25657" r:id="rId41" name="Check Box 57">
              <controlPr defaultSize="0" autoFill="0" autoLine="0" autoPict="0">
                <anchor moveWithCells="1">
                  <from>
                    <xdr:col>6</xdr:col>
                    <xdr:colOff>95250</xdr:colOff>
                    <xdr:row>67</xdr:row>
                    <xdr:rowOff>9525</xdr:rowOff>
                  </from>
                  <to>
                    <xdr:col>6</xdr:col>
                    <xdr:colOff>428625</xdr:colOff>
                    <xdr:row>67</xdr:row>
                    <xdr:rowOff>238125</xdr:rowOff>
                  </to>
                </anchor>
              </controlPr>
            </control>
          </mc:Choice>
        </mc:AlternateContent>
        <mc:AlternateContent xmlns:mc="http://schemas.openxmlformats.org/markup-compatibility/2006">
          <mc:Choice Requires="x14">
            <control shapeId="25658" r:id="rId42" name="Check Box 58">
              <controlPr defaultSize="0" autoFill="0" autoLine="0" autoPict="0">
                <anchor moveWithCells="1">
                  <from>
                    <xdr:col>6</xdr:col>
                    <xdr:colOff>95250</xdr:colOff>
                    <xdr:row>68</xdr:row>
                    <xdr:rowOff>9525</xdr:rowOff>
                  </from>
                  <to>
                    <xdr:col>6</xdr:col>
                    <xdr:colOff>428625</xdr:colOff>
                    <xdr:row>68</xdr:row>
                    <xdr:rowOff>238125</xdr:rowOff>
                  </to>
                </anchor>
              </controlPr>
            </control>
          </mc:Choice>
        </mc:AlternateContent>
        <mc:AlternateContent xmlns:mc="http://schemas.openxmlformats.org/markup-compatibility/2006">
          <mc:Choice Requires="x14">
            <control shapeId="25659" r:id="rId43" name="Check Box 59">
              <controlPr defaultSize="0" autoFill="0" autoLine="0" autoPict="0">
                <anchor moveWithCells="1">
                  <from>
                    <xdr:col>6</xdr:col>
                    <xdr:colOff>95250</xdr:colOff>
                    <xdr:row>69</xdr:row>
                    <xdr:rowOff>9525</xdr:rowOff>
                  </from>
                  <to>
                    <xdr:col>6</xdr:col>
                    <xdr:colOff>428625</xdr:colOff>
                    <xdr:row>69</xdr:row>
                    <xdr:rowOff>238125</xdr:rowOff>
                  </to>
                </anchor>
              </controlPr>
            </control>
          </mc:Choice>
        </mc:AlternateContent>
        <mc:AlternateContent xmlns:mc="http://schemas.openxmlformats.org/markup-compatibility/2006">
          <mc:Choice Requires="x14">
            <control shapeId="25660" r:id="rId44" name="Check Box 60">
              <controlPr defaultSize="0" autoFill="0" autoLine="0" autoPict="0">
                <anchor moveWithCells="1">
                  <from>
                    <xdr:col>0</xdr:col>
                    <xdr:colOff>38100</xdr:colOff>
                    <xdr:row>65</xdr:row>
                    <xdr:rowOff>9525</xdr:rowOff>
                  </from>
                  <to>
                    <xdr:col>1</xdr:col>
                    <xdr:colOff>85725</xdr:colOff>
                    <xdr:row>65</xdr:row>
                    <xdr:rowOff>238125</xdr:rowOff>
                  </to>
                </anchor>
              </controlPr>
            </control>
          </mc:Choice>
        </mc:AlternateContent>
        <mc:AlternateContent xmlns:mc="http://schemas.openxmlformats.org/markup-compatibility/2006">
          <mc:Choice Requires="x14">
            <control shapeId="25661" r:id="rId45" name="Check Box 61">
              <controlPr defaultSize="0" autoFill="0" autoLine="0" autoPict="0">
                <anchor moveWithCells="1">
                  <from>
                    <xdr:col>0</xdr:col>
                    <xdr:colOff>38100</xdr:colOff>
                    <xdr:row>66</xdr:row>
                    <xdr:rowOff>9525</xdr:rowOff>
                  </from>
                  <to>
                    <xdr:col>1</xdr:col>
                    <xdr:colOff>85725</xdr:colOff>
                    <xdr:row>66</xdr:row>
                    <xdr:rowOff>238125</xdr:rowOff>
                  </to>
                </anchor>
              </controlPr>
            </control>
          </mc:Choice>
        </mc:AlternateContent>
        <mc:AlternateContent xmlns:mc="http://schemas.openxmlformats.org/markup-compatibility/2006">
          <mc:Choice Requires="x14">
            <control shapeId="25662" r:id="rId46" name="Check Box 62">
              <controlPr defaultSize="0" autoFill="0" autoLine="0" autoPict="0">
                <anchor moveWithCells="1">
                  <from>
                    <xdr:col>0</xdr:col>
                    <xdr:colOff>38100</xdr:colOff>
                    <xdr:row>67</xdr:row>
                    <xdr:rowOff>9525</xdr:rowOff>
                  </from>
                  <to>
                    <xdr:col>1</xdr:col>
                    <xdr:colOff>85725</xdr:colOff>
                    <xdr:row>67</xdr:row>
                    <xdr:rowOff>238125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codeName="Sheet9">
    <outlinePr summaryBelow="0" summaryRight="0"/>
    <pageSetUpPr fitToPage="1"/>
  </sheetPr>
  <dimension ref="A1:AB1007"/>
  <sheetViews>
    <sheetView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459"/>
      <c r="B1" s="460" t="s">
        <v>12</v>
      </c>
      <c r="C1" s="460"/>
      <c r="D1" s="460"/>
      <c r="E1" s="460"/>
      <c r="F1" s="460"/>
      <c r="G1" s="460"/>
      <c r="H1" s="460"/>
      <c r="I1" s="460"/>
      <c r="J1" s="460"/>
      <c r="K1" s="459"/>
    </row>
    <row r="2" spans="1:28" ht="26.25" customHeight="1">
      <c r="A2" s="459"/>
      <c r="B2" s="460" t="s">
        <v>13</v>
      </c>
      <c r="C2" s="460"/>
      <c r="D2" s="460"/>
      <c r="E2" s="460"/>
      <c r="F2" s="460"/>
      <c r="G2" s="460"/>
      <c r="H2" s="460"/>
      <c r="I2" s="460"/>
      <c r="J2" s="460"/>
      <c r="K2" s="459"/>
    </row>
    <row r="3" spans="1:28" ht="15" customHeight="1">
      <c r="A3" s="7"/>
      <c r="B3" s="8"/>
      <c r="C3" s="8"/>
      <c r="D3" s="8"/>
      <c r="E3" s="8"/>
      <c r="F3" s="8"/>
      <c r="G3" s="8"/>
      <c r="H3" s="8"/>
      <c r="I3" s="8"/>
      <c r="J3" s="8"/>
      <c r="K3" s="7"/>
    </row>
    <row r="4" spans="1:28" ht="42.75" customHeight="1">
      <c r="A4" s="7"/>
      <c r="B4" s="461" t="s">
        <v>14</v>
      </c>
      <c r="C4" s="461"/>
      <c r="D4" s="461"/>
      <c r="E4" s="461"/>
      <c r="F4" s="461"/>
      <c r="G4" s="461"/>
      <c r="H4" s="461"/>
      <c r="I4" s="461"/>
      <c r="J4" s="461"/>
      <c r="K4" s="7"/>
    </row>
    <row r="5" spans="1:28" ht="15" customHeight="1">
      <c r="A5" s="7"/>
      <c r="B5" s="8"/>
      <c r="C5" s="457"/>
      <c r="D5" s="458"/>
      <c r="E5" s="458"/>
      <c r="F5" s="458"/>
      <c r="G5" s="458"/>
      <c r="H5" s="458"/>
      <c r="I5" s="458"/>
      <c r="J5" s="458"/>
      <c r="K5" s="7"/>
    </row>
    <row r="6" spans="1:28" s="11" customFormat="1" ht="15" customHeight="1">
      <c r="A6" s="463"/>
      <c r="B6" s="464" t="s">
        <v>15</v>
      </c>
      <c r="C6" s="464"/>
      <c r="D6" s="464"/>
      <c r="E6" s="464"/>
      <c r="F6" s="464"/>
      <c r="G6" s="464"/>
      <c r="H6" s="464"/>
      <c r="I6" s="464"/>
      <c r="J6" s="464"/>
      <c r="K6" s="463"/>
      <c r="L6" s="465"/>
      <c r="M6" s="465"/>
      <c r="N6" s="465"/>
      <c r="O6" s="465"/>
      <c r="P6" s="465"/>
      <c r="Q6" s="465"/>
      <c r="R6" s="10"/>
      <c r="S6" s="10"/>
      <c r="T6" s="10"/>
      <c r="U6" s="10"/>
      <c r="V6" s="10"/>
      <c r="W6" s="10"/>
      <c r="X6" s="10"/>
      <c r="Y6" s="10"/>
      <c r="Z6" s="10"/>
      <c r="AA6" s="10"/>
      <c r="AB6" s="10"/>
    </row>
    <row r="7" spans="1:28" ht="15" customHeight="1">
      <c r="A7" s="463"/>
      <c r="B7" s="466" t="s">
        <v>16</v>
      </c>
      <c r="C7" s="466"/>
      <c r="D7" s="466"/>
      <c r="E7" s="466"/>
      <c r="F7" s="466"/>
      <c r="G7" s="466"/>
      <c r="H7" s="466"/>
      <c r="I7" s="466"/>
      <c r="J7" s="466"/>
      <c r="K7" s="463"/>
      <c r="L7" s="465"/>
      <c r="M7" s="465"/>
      <c r="N7" s="465"/>
      <c r="O7" s="465"/>
      <c r="P7" s="465"/>
      <c r="Q7" s="465"/>
      <c r="R7" s="12"/>
      <c r="S7" s="12"/>
      <c r="T7" s="12"/>
      <c r="U7" s="12"/>
      <c r="V7" s="12"/>
      <c r="W7" s="12"/>
      <c r="X7" s="12"/>
      <c r="Y7" s="12"/>
      <c r="Z7" s="12"/>
      <c r="AA7" s="12"/>
      <c r="AB7" s="12"/>
    </row>
    <row r="8" spans="1:28" ht="15" customHeight="1">
      <c r="A8" s="463"/>
      <c r="B8" s="466"/>
      <c r="C8" s="466"/>
      <c r="D8" s="466"/>
      <c r="E8" s="466"/>
      <c r="F8" s="466"/>
      <c r="G8" s="466"/>
      <c r="H8" s="466"/>
      <c r="I8" s="466"/>
      <c r="J8" s="466"/>
      <c r="K8" s="463"/>
      <c r="L8" s="467"/>
      <c r="M8" s="467"/>
      <c r="N8" s="467"/>
      <c r="O8" s="467"/>
      <c r="P8" s="467"/>
      <c r="Q8" s="467"/>
      <c r="R8" s="12"/>
      <c r="S8" s="12"/>
      <c r="T8" s="12"/>
      <c r="U8" s="12"/>
      <c r="V8" s="12"/>
      <c r="W8" s="12"/>
      <c r="X8" s="12"/>
      <c r="Y8" s="12"/>
      <c r="Z8" s="12"/>
      <c r="AA8" s="12"/>
      <c r="AB8" s="12"/>
    </row>
    <row r="9" spans="1:28" s="15" customFormat="1">
      <c r="A9" s="463"/>
      <c r="B9" s="13" t="s">
        <v>17</v>
      </c>
      <c r="C9" s="468" t="s">
        <v>18</v>
      </c>
      <c r="D9" s="469"/>
      <c r="E9" s="469"/>
      <c r="F9" s="469"/>
      <c r="G9" s="469"/>
      <c r="H9" s="469"/>
      <c r="I9" s="469"/>
      <c r="J9" s="469"/>
      <c r="K9" s="463"/>
      <c r="L9" s="470"/>
      <c r="M9" s="470"/>
      <c r="N9" s="470"/>
      <c r="O9" s="470"/>
      <c r="P9" s="470"/>
      <c r="Q9" s="470"/>
      <c r="R9" s="14"/>
      <c r="S9" s="14"/>
      <c r="T9" s="14"/>
      <c r="U9" s="14"/>
      <c r="V9" s="14"/>
      <c r="W9" s="14"/>
      <c r="X9" s="14"/>
      <c r="Y9" s="14"/>
      <c r="Z9" s="14"/>
      <c r="AA9" s="14"/>
      <c r="AB9" s="14"/>
    </row>
    <row r="10" spans="1:28" s="15" customFormat="1" ht="39.950000000000003" customHeight="1">
      <c r="A10" s="463"/>
      <c r="B10" s="16" t="s">
        <v>19</v>
      </c>
      <c r="C10" s="471" t="s">
        <v>20</v>
      </c>
      <c r="D10" s="471"/>
      <c r="E10" s="471"/>
      <c r="F10" s="471"/>
      <c r="G10" s="471"/>
      <c r="H10" s="471"/>
      <c r="I10" s="471"/>
      <c r="J10" s="471"/>
      <c r="K10" s="463"/>
      <c r="L10" s="14"/>
      <c r="M10" s="14"/>
      <c r="N10" s="14"/>
      <c r="O10" s="14"/>
      <c r="P10" s="14"/>
      <c r="Q10" s="14"/>
      <c r="R10" s="14"/>
      <c r="S10" s="14"/>
      <c r="T10" s="14"/>
      <c r="U10" s="14"/>
      <c r="V10" s="14"/>
      <c r="W10" s="14"/>
      <c r="X10" s="14"/>
      <c r="Y10" s="14"/>
      <c r="Z10" s="14"/>
      <c r="AA10" s="14"/>
      <c r="AB10" s="14"/>
    </row>
    <row r="11" spans="1:28" s="15" customFormat="1" ht="15" customHeight="1">
      <c r="A11" s="463"/>
      <c r="B11" s="13" t="s">
        <v>21</v>
      </c>
      <c r="C11" s="468" t="s">
        <v>22</v>
      </c>
      <c r="D11" s="469"/>
      <c r="E11" s="469"/>
      <c r="F11" s="469"/>
      <c r="G11" s="469"/>
      <c r="H11" s="469"/>
      <c r="I11" s="469"/>
      <c r="J11" s="469"/>
      <c r="K11" s="463"/>
      <c r="L11" s="14"/>
      <c r="M11" s="14"/>
      <c r="N11" s="14"/>
      <c r="O11" s="14"/>
      <c r="P11" s="14"/>
      <c r="Q11" s="14"/>
      <c r="R11" s="14"/>
      <c r="S11" s="14"/>
      <c r="T11" s="14"/>
      <c r="U11" s="14"/>
      <c r="V11" s="14"/>
      <c r="W11" s="14"/>
      <c r="X11" s="14"/>
      <c r="Y11" s="14"/>
      <c r="Z11" s="14"/>
      <c r="AA11" s="14"/>
      <c r="AB11" s="14"/>
    </row>
    <row r="12" spans="1:28" ht="15" customHeight="1">
      <c r="A12" s="463"/>
      <c r="B12" s="17"/>
      <c r="C12" s="472"/>
      <c r="D12" s="472"/>
      <c r="E12" s="472"/>
      <c r="F12" s="472"/>
      <c r="G12" s="472"/>
      <c r="H12" s="472"/>
      <c r="I12" s="472"/>
      <c r="J12" s="472"/>
      <c r="K12" s="463"/>
      <c r="L12" s="9"/>
      <c r="M12" s="9"/>
      <c r="N12" s="9"/>
      <c r="O12" s="9"/>
      <c r="P12" s="9"/>
      <c r="Q12" s="9"/>
      <c r="R12" s="9"/>
      <c r="S12" s="9"/>
      <c r="T12" s="9"/>
      <c r="U12" s="9"/>
      <c r="V12" s="9"/>
      <c r="W12" s="9"/>
      <c r="X12" s="9"/>
      <c r="Y12" s="9"/>
      <c r="Z12" s="9"/>
      <c r="AA12" s="9"/>
      <c r="AB12" s="9"/>
    </row>
    <row r="13" spans="1:28" ht="15" customHeight="1" thickBot="1">
      <c r="A13" s="463"/>
      <c r="B13" s="473" t="s">
        <v>23</v>
      </c>
      <c r="C13" s="473"/>
      <c r="D13" s="473"/>
      <c r="E13" s="473"/>
      <c r="F13" s="473"/>
      <c r="G13" s="473"/>
      <c r="H13" s="473"/>
      <c r="I13" s="473"/>
      <c r="J13" s="18"/>
      <c r="K13" s="463"/>
      <c r="L13" s="12"/>
      <c r="M13" s="12"/>
      <c r="N13" s="12"/>
      <c r="O13" s="12"/>
      <c r="P13" s="12"/>
      <c r="Q13" s="12"/>
      <c r="R13" s="12"/>
      <c r="S13" s="12"/>
      <c r="T13" s="12"/>
      <c r="U13" s="12"/>
      <c r="V13" s="12"/>
      <c r="W13" s="12"/>
      <c r="X13" s="12"/>
      <c r="Y13" s="12"/>
      <c r="Z13" s="12"/>
      <c r="AA13" s="12"/>
      <c r="AB13" s="12"/>
    </row>
    <row r="14" spans="1:28" ht="79.5" customHeight="1">
      <c r="A14" s="463"/>
      <c r="B14" s="19" t="s">
        <v>24</v>
      </c>
      <c r="C14" s="20" t="s">
        <v>25</v>
      </c>
      <c r="D14" s="21" t="s">
        <v>26</v>
      </c>
      <c r="E14" s="22" t="s">
        <v>27</v>
      </c>
      <c r="F14" s="23" t="s">
        <v>28</v>
      </c>
      <c r="G14" s="24" t="s">
        <v>29</v>
      </c>
      <c r="H14" s="25" t="s">
        <v>30</v>
      </c>
      <c r="I14" s="26" t="s">
        <v>31</v>
      </c>
      <c r="J14" s="27" t="s">
        <v>32</v>
      </c>
      <c r="K14" s="463"/>
      <c r="L14" s="12"/>
      <c r="M14" s="12"/>
      <c r="N14" s="12"/>
      <c r="O14" s="12"/>
      <c r="P14" s="12"/>
      <c r="Q14" s="12"/>
      <c r="R14" s="12"/>
      <c r="S14" s="12"/>
      <c r="T14" s="12"/>
      <c r="U14" s="12"/>
      <c r="V14" s="12"/>
      <c r="W14" s="12"/>
      <c r="X14" s="12"/>
      <c r="Y14" s="12"/>
      <c r="Z14" s="12"/>
      <c r="AA14" s="12"/>
      <c r="AB14" s="12"/>
    </row>
    <row r="15" spans="1:28" ht="15" customHeight="1">
      <c r="A15" s="463"/>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463"/>
    </row>
    <row r="16" spans="1:28" ht="15" customHeight="1">
      <c r="A16" s="463"/>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463"/>
    </row>
    <row r="17" spans="1:12" ht="15" customHeight="1">
      <c r="A17" s="463"/>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463"/>
    </row>
    <row r="18" spans="1:12" ht="15" customHeight="1">
      <c r="A18" s="463"/>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463"/>
    </row>
    <row r="19" spans="1:12" ht="15" customHeight="1">
      <c r="A19" s="463"/>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463"/>
    </row>
    <row r="20" spans="1:12" ht="15" customHeight="1">
      <c r="A20" s="463"/>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463"/>
    </row>
    <row r="21" spans="1:12" ht="15" customHeight="1">
      <c r="A21" s="463"/>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463"/>
    </row>
    <row r="22" spans="1:12" ht="15" customHeight="1">
      <c r="A22" s="463"/>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463"/>
    </row>
    <row r="23" spans="1:12" ht="15" customHeight="1">
      <c r="A23" s="463"/>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463"/>
    </row>
    <row r="24" spans="1:12" ht="15" customHeight="1">
      <c r="A24" s="463"/>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463"/>
    </row>
    <row r="25" spans="1:12" ht="15" customHeight="1">
      <c r="A25" s="463"/>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463"/>
    </row>
    <row r="26" spans="1:12" ht="15" customHeight="1">
      <c r="A26" s="463"/>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463"/>
    </row>
    <row r="27" spans="1:12" ht="15" customHeight="1">
      <c r="A27" s="463"/>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463"/>
    </row>
    <row r="28" spans="1:12" ht="15" customHeight="1">
      <c r="A28" s="463"/>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463"/>
    </row>
    <row r="29" spans="1:12" ht="15" customHeight="1">
      <c r="A29" s="463"/>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463"/>
    </row>
    <row r="30" spans="1:12" ht="15" customHeight="1" thickBot="1">
      <c r="A30" s="463"/>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463"/>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462" t="str">
        <f>IF(COUNTIF(D38:D52,"TRUE")&gt;=1,"WARNING:"&amp;CHAR(10)&amp;_xlfn.TEXTJOIN(CHAR(10),TRUE,E38:E52),"")</f>
        <v>WARNING:
•  Total Cells Pooled for wash is below the recommended minimum of 200,000 cells. Consider an alternative pooling strategy.</v>
      </c>
      <c r="F33" s="462"/>
      <c r="G33" s="462"/>
      <c r="H33" s="462"/>
      <c r="I33" s="462"/>
      <c r="J33" s="462"/>
      <c r="K33" s="52"/>
    </row>
    <row r="34" spans="1:11" ht="64.5" customHeight="1" thickBot="1">
      <c r="A34" s="52"/>
      <c r="B34" s="58">
        <f>COUNTIF(E15:E30,"&gt;0")</f>
        <v>0</v>
      </c>
      <c r="C34" s="59">
        <f>SUM(G15:G30)</f>
        <v>0</v>
      </c>
      <c r="D34" s="60">
        <f>IF(C34&gt;SUM(I15:I30)*1.65/0.8,SUM(I15:I30), SUM(J15:J30))</f>
        <v>0</v>
      </c>
      <c r="E34" s="462"/>
      <c r="F34" s="462"/>
      <c r="G34" s="462"/>
      <c r="H34" s="462"/>
      <c r="I34" s="462"/>
      <c r="J34" s="462"/>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E33:J34"/>
    <mergeCell ref="A6:A30"/>
    <mergeCell ref="B6:J6"/>
    <mergeCell ref="K6:K30"/>
    <mergeCell ref="L6:Q7"/>
    <mergeCell ref="B7:J7"/>
    <mergeCell ref="B8:J8"/>
    <mergeCell ref="L8:Q8"/>
    <mergeCell ref="C9:J9"/>
    <mergeCell ref="L9:Q9"/>
    <mergeCell ref="C10:J10"/>
    <mergeCell ref="C11:J11"/>
    <mergeCell ref="C12:J12"/>
    <mergeCell ref="B13:I13"/>
    <mergeCell ref="C5:J5"/>
    <mergeCell ref="A1:A2"/>
    <mergeCell ref="B1:J1"/>
    <mergeCell ref="K1:K2"/>
    <mergeCell ref="B2:J2"/>
    <mergeCell ref="B4:J4"/>
  </mergeCells>
  <conditionalFormatting sqref="C34">
    <cfRule type="cellIs" dxfId="4" priority="5" operator="lessThan">
      <formula>200000</formula>
    </cfRule>
  </conditionalFormatting>
  <conditionalFormatting sqref="E15:E30">
    <cfRule type="cellIs" dxfId="3" priority="3" operator="greaterThanOrEqual">
      <formula>5000000</formula>
    </cfRule>
  </conditionalFormatting>
  <conditionalFormatting sqref="E33">
    <cfRule type="notContainsBlanks" dxfId="2" priority="4">
      <formula>LEN(TRIM(E33))&gt;0</formula>
    </cfRule>
  </conditionalFormatting>
  <conditionalFormatting sqref="H15:H30">
    <cfRule type="cellIs" dxfId="1" priority="2" operator="lessThan">
      <formula>2</formula>
    </cfRule>
  </conditionalFormatting>
  <conditionalFormatting sqref="J14:J30">
    <cfRule type="expression" dxfId="0"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codeName="Sheet10">
    <pageSetUpPr fitToPage="1"/>
  </sheetPr>
  <dimension ref="A1:K38"/>
  <sheetViews>
    <sheetView zoomScale="85" zoomScaleNormal="85" workbookViewId="0">
      <selection activeCell="I20" sqref="I20"/>
    </sheetView>
  </sheetViews>
  <sheetFormatPr defaultColWidth="9.140625" defaultRowHeight="15"/>
  <cols>
    <col min="1" max="1" width="23.140625" style="99" customWidth="1"/>
    <col min="2" max="2" width="11.7109375" style="232" customWidth="1"/>
    <col min="3" max="3" width="9.42578125" style="99" customWidth="1"/>
    <col min="4" max="4" width="15.42578125" style="99" bestFit="1" customWidth="1"/>
    <col min="5" max="5" width="15.85546875" style="99" customWidth="1"/>
    <col min="6" max="6" width="12.140625" style="99" customWidth="1"/>
    <col min="7" max="7" width="21" style="99" customWidth="1"/>
    <col min="8" max="8" width="23" style="99" bestFit="1" customWidth="1"/>
    <col min="9" max="9" width="17.85546875" style="232" customWidth="1"/>
    <col min="10" max="10" width="12.140625" style="99" customWidth="1"/>
    <col min="11" max="11" width="12.85546875" style="99" customWidth="1"/>
    <col min="12" max="14" width="9.140625" style="99"/>
    <col min="15" max="15" width="12" style="99" bestFit="1" customWidth="1"/>
    <col min="16" max="16384" width="9.140625" style="99"/>
  </cols>
  <sheetData>
    <row r="1" spans="1:11" ht="40.5" customHeight="1">
      <c r="A1" s="220" t="s">
        <v>135</v>
      </c>
      <c r="B1" s="221" t="s">
        <v>301</v>
      </c>
      <c r="C1" s="220" t="s">
        <v>317</v>
      </c>
      <c r="D1" s="220"/>
      <c r="E1" s="220" t="s">
        <v>302</v>
      </c>
      <c r="F1" s="220" t="s">
        <v>303</v>
      </c>
      <c r="G1" s="220" t="s">
        <v>304</v>
      </c>
      <c r="H1" s="221" t="s">
        <v>305</v>
      </c>
      <c r="I1" s="220" t="s">
        <v>306</v>
      </c>
      <c r="K1" s="220" t="s">
        <v>307</v>
      </c>
    </row>
    <row r="2" spans="1:11" ht="15.75" customHeight="1">
      <c r="A2" s="222"/>
      <c r="B2" s="223"/>
      <c r="C2" s="222"/>
      <c r="D2" s="224" t="s">
        <v>308</v>
      </c>
      <c r="E2" s="225" t="e">
        <f t="shared" ref="E2:E11" si="0">(C2/(660*B2))*1000000</f>
        <v>#DIV/0!</v>
      </c>
      <c r="F2" s="222"/>
      <c r="G2" s="225" t="e">
        <f t="shared" ref="G2:G11" si="1">(E2*F2/3)-F2</f>
        <v>#DIV/0!</v>
      </c>
      <c r="H2" s="222"/>
      <c r="I2" s="225" t="e">
        <f t="shared" ref="I2:I11" si="2">(H2/(660*B2))*1000000</f>
        <v>#DIV/0!</v>
      </c>
      <c r="K2" s="226" t="s">
        <v>309</v>
      </c>
    </row>
    <row r="3" spans="1:11" ht="15.75" customHeight="1">
      <c r="A3" s="222"/>
      <c r="B3" s="223"/>
      <c r="C3" s="222"/>
      <c r="D3" s="224" t="s">
        <v>308</v>
      </c>
      <c r="E3" s="225" t="e">
        <f t="shared" si="0"/>
        <v>#DIV/0!</v>
      </c>
      <c r="F3" s="222"/>
      <c r="G3" s="225" t="e">
        <f t="shared" si="1"/>
        <v>#DIV/0!</v>
      </c>
      <c r="H3" s="222"/>
      <c r="I3" s="225" t="e">
        <f t="shared" si="2"/>
        <v>#DIV/0!</v>
      </c>
      <c r="K3" s="222" t="s">
        <v>310</v>
      </c>
    </row>
    <row r="4" spans="1:11" ht="15.75" customHeight="1">
      <c r="A4" s="222"/>
      <c r="B4" s="223"/>
      <c r="C4" s="222"/>
      <c r="D4" s="224" t="s">
        <v>308</v>
      </c>
      <c r="E4" s="225" t="e">
        <f t="shared" si="0"/>
        <v>#DIV/0!</v>
      </c>
      <c r="F4" s="222"/>
      <c r="G4" s="225" t="e">
        <f t="shared" si="1"/>
        <v>#DIV/0!</v>
      </c>
      <c r="H4" s="227"/>
      <c r="I4" s="225" t="e">
        <f t="shared" si="2"/>
        <v>#DIV/0!</v>
      </c>
    </row>
    <row r="5" spans="1:11" ht="15.75" customHeight="1">
      <c r="A5" s="222"/>
      <c r="B5" s="223"/>
      <c r="C5" s="222"/>
      <c r="D5" s="224" t="s">
        <v>308</v>
      </c>
      <c r="E5" s="225" t="e">
        <f t="shared" si="0"/>
        <v>#DIV/0!</v>
      </c>
      <c r="F5" s="222"/>
      <c r="G5" s="225" t="e">
        <f t="shared" si="1"/>
        <v>#DIV/0!</v>
      </c>
      <c r="H5" s="227"/>
      <c r="I5" s="225" t="e">
        <f t="shared" si="2"/>
        <v>#DIV/0!</v>
      </c>
    </row>
    <row r="6" spans="1:11" ht="15.75" customHeight="1">
      <c r="A6" s="222"/>
      <c r="B6" s="223"/>
      <c r="C6" s="222"/>
      <c r="D6" s="224" t="s">
        <v>308</v>
      </c>
      <c r="E6" s="225" t="e">
        <f t="shared" si="0"/>
        <v>#DIV/0!</v>
      </c>
      <c r="F6" s="222"/>
      <c r="G6" s="225" t="e">
        <f t="shared" si="1"/>
        <v>#DIV/0!</v>
      </c>
      <c r="H6" s="227"/>
      <c r="I6" s="225" t="e">
        <f t="shared" si="2"/>
        <v>#DIV/0!</v>
      </c>
    </row>
    <row r="7" spans="1:11" ht="15.75" customHeight="1">
      <c r="A7" s="222"/>
      <c r="B7" s="223"/>
      <c r="C7" s="222"/>
      <c r="D7" s="224" t="s">
        <v>308</v>
      </c>
      <c r="E7" s="225" t="e">
        <f t="shared" si="0"/>
        <v>#DIV/0!</v>
      </c>
      <c r="F7" s="222"/>
      <c r="G7" s="225" t="e">
        <f t="shared" si="1"/>
        <v>#DIV/0!</v>
      </c>
      <c r="H7" s="227"/>
      <c r="I7" s="225" t="e">
        <f t="shared" si="2"/>
        <v>#DIV/0!</v>
      </c>
    </row>
    <row r="8" spans="1:11" ht="15.75" customHeight="1">
      <c r="A8" s="222"/>
      <c r="B8" s="223"/>
      <c r="C8" s="222"/>
      <c r="D8" s="224" t="s">
        <v>308</v>
      </c>
      <c r="E8" s="225" t="e">
        <f t="shared" si="0"/>
        <v>#DIV/0!</v>
      </c>
      <c r="F8" s="222"/>
      <c r="G8" s="225" t="e">
        <f t="shared" si="1"/>
        <v>#DIV/0!</v>
      </c>
      <c r="H8" s="222"/>
      <c r="I8" s="225" t="e">
        <f t="shared" si="2"/>
        <v>#DIV/0!</v>
      </c>
    </row>
    <row r="9" spans="1:11">
      <c r="A9" s="222"/>
      <c r="B9" s="223"/>
      <c r="C9" s="222"/>
      <c r="D9" s="224" t="s">
        <v>308</v>
      </c>
      <c r="E9" s="225" t="e">
        <f t="shared" si="0"/>
        <v>#DIV/0!</v>
      </c>
      <c r="F9" s="222"/>
      <c r="G9" s="225" t="e">
        <f t="shared" si="1"/>
        <v>#DIV/0!</v>
      </c>
      <c r="H9" s="227"/>
      <c r="I9" s="225" t="e">
        <f t="shared" si="2"/>
        <v>#DIV/0!</v>
      </c>
    </row>
    <row r="10" spans="1:11">
      <c r="A10" s="222"/>
      <c r="B10" s="223"/>
      <c r="C10" s="222"/>
      <c r="D10" s="224" t="s">
        <v>308</v>
      </c>
      <c r="E10" s="225" t="e">
        <f t="shared" si="0"/>
        <v>#DIV/0!</v>
      </c>
      <c r="F10" s="222"/>
      <c r="G10" s="225" t="e">
        <f t="shared" si="1"/>
        <v>#DIV/0!</v>
      </c>
      <c r="H10" s="227"/>
      <c r="I10" s="225" t="e">
        <f t="shared" si="2"/>
        <v>#DIV/0!</v>
      </c>
    </row>
    <row r="11" spans="1:11">
      <c r="A11" s="222"/>
      <c r="B11" s="223"/>
      <c r="C11" s="222"/>
      <c r="D11" s="224" t="s">
        <v>308</v>
      </c>
      <c r="E11" s="225" t="e">
        <f t="shared" si="0"/>
        <v>#DIV/0!</v>
      </c>
      <c r="F11" s="222"/>
      <c r="G11" s="225" t="e">
        <f t="shared" si="1"/>
        <v>#DIV/0!</v>
      </c>
      <c r="H11" s="227"/>
      <c r="I11" s="225" t="e">
        <f t="shared" si="2"/>
        <v>#DIV/0!</v>
      </c>
    </row>
    <row r="14" spans="1:11" ht="15.75">
      <c r="A14" s="228" t="s">
        <v>311</v>
      </c>
      <c r="B14" s="229"/>
      <c r="C14" s="228"/>
      <c r="D14" s="228"/>
      <c r="E14" s="228"/>
      <c r="F14" s="228"/>
      <c r="G14" s="228"/>
      <c r="H14" s="229"/>
      <c r="I14" s="229"/>
      <c r="J14" s="229"/>
    </row>
    <row r="15" spans="1:11" ht="31.5">
      <c r="A15" s="220" t="s">
        <v>135</v>
      </c>
      <c r="B15" s="221" t="s">
        <v>306</v>
      </c>
      <c r="C15" s="220"/>
      <c r="D15" s="220" t="s">
        <v>312</v>
      </c>
      <c r="E15" s="220" t="s">
        <v>313</v>
      </c>
      <c r="F15" s="220" t="s">
        <v>314</v>
      </c>
      <c r="G15" s="220" t="s">
        <v>315</v>
      </c>
      <c r="H15" s="220" t="s">
        <v>188</v>
      </c>
      <c r="I15" s="220" t="s">
        <v>316</v>
      </c>
      <c r="J15" s="220" t="s">
        <v>317</v>
      </c>
    </row>
    <row r="16" spans="1:11" ht="15.75">
      <c r="A16" s="224">
        <f t="shared" ref="A16:A21" si="3">A2</f>
        <v>0</v>
      </c>
      <c r="B16" s="230" t="e">
        <f>E2</f>
        <v>#DIV/0!</v>
      </c>
      <c r="C16" s="226" t="s">
        <v>318</v>
      </c>
      <c r="D16" s="225" t="e">
        <f>C29</f>
        <v>#DIV/0!</v>
      </c>
      <c r="E16" s="225" t="e">
        <f>3/B16*D16*50</f>
        <v>#DIV/0!</v>
      </c>
      <c r="F16" s="231"/>
      <c r="G16" s="226">
        <v>1</v>
      </c>
      <c r="H16" s="227" t="e">
        <f>SUM(E16:E24)</f>
        <v>#DIV/0!</v>
      </c>
      <c r="I16" s="227" t="e">
        <f>50-H16</f>
        <v>#DIV/0!</v>
      </c>
      <c r="J16" s="222"/>
    </row>
    <row r="17" spans="1:9" ht="15.75">
      <c r="A17" s="224">
        <f t="shared" si="3"/>
        <v>0</v>
      </c>
      <c r="B17" s="230" t="e">
        <f t="shared" ref="B17:B24" si="4">E3</f>
        <v>#DIV/0!</v>
      </c>
      <c r="C17" s="226" t="s">
        <v>318</v>
      </c>
      <c r="D17" s="225" t="e">
        <f t="shared" ref="D17:D24" si="5">C30</f>
        <v>#DIV/0!</v>
      </c>
      <c r="E17" s="225" t="e">
        <f>3/B17*D17*50</f>
        <v>#DIV/0!</v>
      </c>
      <c r="F17" s="231"/>
      <c r="G17" s="226">
        <v>2</v>
      </c>
      <c r="I17" s="99"/>
    </row>
    <row r="18" spans="1:9" ht="15.75">
      <c r="A18" s="224">
        <f t="shared" si="3"/>
        <v>0</v>
      </c>
      <c r="B18" s="230" t="e">
        <f t="shared" si="4"/>
        <v>#DIV/0!</v>
      </c>
      <c r="C18" s="226" t="s">
        <v>318</v>
      </c>
      <c r="D18" s="225" t="e">
        <f t="shared" si="5"/>
        <v>#DIV/0!</v>
      </c>
      <c r="E18" s="225" t="e">
        <f t="shared" ref="E18:E24" si="6">3/B18*D18*50</f>
        <v>#DIV/0!</v>
      </c>
      <c r="F18" s="231"/>
      <c r="G18" s="226">
        <v>3</v>
      </c>
      <c r="I18" s="99"/>
    </row>
    <row r="19" spans="1:9" ht="15.75">
      <c r="A19" s="224">
        <f t="shared" si="3"/>
        <v>0</v>
      </c>
      <c r="B19" s="230" t="e">
        <f t="shared" si="4"/>
        <v>#DIV/0!</v>
      </c>
      <c r="C19" s="226" t="s">
        <v>318</v>
      </c>
      <c r="D19" s="225" t="e">
        <f t="shared" si="5"/>
        <v>#DIV/0!</v>
      </c>
      <c r="E19" s="225" t="e">
        <f t="shared" si="6"/>
        <v>#DIV/0!</v>
      </c>
      <c r="F19" s="231"/>
      <c r="G19" s="226">
        <v>4</v>
      </c>
      <c r="I19" s="99"/>
    </row>
    <row r="20" spans="1:9" ht="15.75">
      <c r="A20" s="224">
        <f t="shared" si="3"/>
        <v>0</v>
      </c>
      <c r="B20" s="230" t="e">
        <f t="shared" si="4"/>
        <v>#DIV/0!</v>
      </c>
      <c r="C20" s="226" t="s">
        <v>318</v>
      </c>
      <c r="D20" s="225" t="e">
        <f t="shared" si="5"/>
        <v>#DIV/0!</v>
      </c>
      <c r="E20" s="225" t="e">
        <f t="shared" si="6"/>
        <v>#DIV/0!</v>
      </c>
      <c r="F20" s="231"/>
      <c r="G20" s="226">
        <v>5</v>
      </c>
      <c r="I20" s="99"/>
    </row>
    <row r="21" spans="1:9" ht="15.75">
      <c r="A21" s="224">
        <f t="shared" si="3"/>
        <v>0</v>
      </c>
      <c r="B21" s="230" t="e">
        <f t="shared" si="4"/>
        <v>#DIV/0!</v>
      </c>
      <c r="C21" s="226" t="s">
        <v>318</v>
      </c>
      <c r="D21" s="225" t="e">
        <f t="shared" si="5"/>
        <v>#DIV/0!</v>
      </c>
      <c r="E21" s="225" t="e">
        <f t="shared" si="6"/>
        <v>#DIV/0!</v>
      </c>
      <c r="F21" s="231"/>
      <c r="G21" s="226">
        <v>6</v>
      </c>
      <c r="I21" s="99"/>
    </row>
    <row r="22" spans="1:9" ht="15.75">
      <c r="A22" s="224">
        <f>A10</f>
        <v>0</v>
      </c>
      <c r="B22" s="230" t="e">
        <f t="shared" si="4"/>
        <v>#DIV/0!</v>
      </c>
      <c r="C22" s="226" t="s">
        <v>318</v>
      </c>
      <c r="D22" s="225" t="e">
        <f t="shared" si="5"/>
        <v>#DIV/0!</v>
      </c>
      <c r="E22" s="225" t="e">
        <f t="shared" si="6"/>
        <v>#DIV/0!</v>
      </c>
      <c r="F22" s="231"/>
      <c r="G22" s="226">
        <v>7</v>
      </c>
      <c r="I22" s="99"/>
    </row>
    <row r="23" spans="1:9" ht="15.75">
      <c r="A23" s="224">
        <f>A12</f>
        <v>0</v>
      </c>
      <c r="B23" s="230" t="e">
        <f t="shared" si="4"/>
        <v>#DIV/0!</v>
      </c>
      <c r="C23" s="226" t="s">
        <v>318</v>
      </c>
      <c r="D23" s="225" t="e">
        <f t="shared" si="5"/>
        <v>#DIV/0!</v>
      </c>
      <c r="E23" s="225" t="e">
        <f t="shared" si="6"/>
        <v>#DIV/0!</v>
      </c>
      <c r="F23" s="231"/>
      <c r="G23" s="226">
        <v>8</v>
      </c>
      <c r="I23" s="99"/>
    </row>
    <row r="24" spans="1:9" ht="15.75">
      <c r="A24" s="224">
        <f>A13</f>
        <v>0</v>
      </c>
      <c r="B24" s="230" t="e">
        <f t="shared" si="4"/>
        <v>#DIV/0!</v>
      </c>
      <c r="C24" s="226" t="s">
        <v>318</v>
      </c>
      <c r="D24" s="225" t="e">
        <f t="shared" si="5"/>
        <v>#DIV/0!</v>
      </c>
      <c r="E24" s="225" t="e">
        <f t="shared" si="6"/>
        <v>#DIV/0!</v>
      </c>
      <c r="F24" s="231"/>
      <c r="G24" s="226">
        <v>9</v>
      </c>
      <c r="I24" s="99"/>
    </row>
    <row r="25" spans="1:9">
      <c r="D25" s="99" t="e">
        <f>SUM(D16:D20)</f>
        <v>#DIV/0!</v>
      </c>
      <c r="E25" s="232"/>
    </row>
    <row r="26" spans="1:9">
      <c r="E26" s="232"/>
    </row>
    <row r="27" spans="1:9">
      <c r="E27" s="232"/>
    </row>
    <row r="28" spans="1:9" ht="15.75">
      <c r="A28" s="220" t="s">
        <v>135</v>
      </c>
      <c r="B28" s="220" t="s">
        <v>319</v>
      </c>
      <c r="C28" s="220" t="s">
        <v>320</v>
      </c>
    </row>
    <row r="29" spans="1:9">
      <c r="A29" s="224">
        <f t="shared" ref="A29:A37" si="7">A2</f>
        <v>0</v>
      </c>
      <c r="B29" s="227"/>
      <c r="C29" s="233" t="e">
        <f>B29/B$38</f>
        <v>#DIV/0!</v>
      </c>
    </row>
    <row r="30" spans="1:9">
      <c r="A30" s="224">
        <f t="shared" si="7"/>
        <v>0</v>
      </c>
      <c r="B30" s="227"/>
      <c r="C30" s="233" t="e">
        <f t="shared" ref="C30:C37" si="8">B30/B$38</f>
        <v>#DIV/0!</v>
      </c>
    </row>
    <row r="31" spans="1:9">
      <c r="A31" s="224">
        <f t="shared" si="7"/>
        <v>0</v>
      </c>
      <c r="B31" s="227"/>
      <c r="C31" s="233" t="e">
        <f t="shared" si="8"/>
        <v>#DIV/0!</v>
      </c>
    </row>
    <row r="32" spans="1:9">
      <c r="A32" s="224">
        <f t="shared" si="7"/>
        <v>0</v>
      </c>
      <c r="B32" s="227"/>
      <c r="C32" s="233" t="e">
        <f t="shared" si="8"/>
        <v>#DIV/0!</v>
      </c>
    </row>
    <row r="33" spans="1:3">
      <c r="A33" s="224">
        <f t="shared" si="7"/>
        <v>0</v>
      </c>
      <c r="B33" s="227"/>
      <c r="C33" s="233" t="e">
        <f t="shared" si="8"/>
        <v>#DIV/0!</v>
      </c>
    </row>
    <row r="34" spans="1:3">
      <c r="A34" s="224">
        <f t="shared" si="7"/>
        <v>0</v>
      </c>
      <c r="B34" s="227"/>
      <c r="C34" s="233" t="e">
        <f t="shared" si="8"/>
        <v>#DIV/0!</v>
      </c>
    </row>
    <row r="35" spans="1:3">
      <c r="A35" s="224">
        <f t="shared" si="7"/>
        <v>0</v>
      </c>
      <c r="B35" s="227"/>
      <c r="C35" s="233" t="e">
        <f t="shared" si="8"/>
        <v>#DIV/0!</v>
      </c>
    </row>
    <row r="36" spans="1:3">
      <c r="A36" s="224">
        <f t="shared" si="7"/>
        <v>0</v>
      </c>
      <c r="B36" s="227"/>
      <c r="C36" s="233" t="e">
        <f t="shared" si="8"/>
        <v>#DIV/0!</v>
      </c>
    </row>
    <row r="37" spans="1:3">
      <c r="A37" s="224">
        <f t="shared" si="7"/>
        <v>0</v>
      </c>
      <c r="B37" s="227"/>
      <c r="C37" s="233" t="e">
        <f t="shared" si="8"/>
        <v>#DIV/0!</v>
      </c>
    </row>
    <row r="38" spans="1:3">
      <c r="A38" s="232" t="s">
        <v>105</v>
      </c>
      <c r="B38" s="232">
        <f>SUM(B29:B37)</f>
        <v>0</v>
      </c>
      <c r="C38" s="140"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AC9D8-2B2B-421E-B3B0-C7547F4B99E1}">
  <dimension ref="A1:D385"/>
  <sheetViews>
    <sheetView workbookViewId="0">
      <selection activeCell="C14" sqref="C14:C17"/>
    </sheetView>
  </sheetViews>
  <sheetFormatPr defaultRowHeight="15"/>
  <cols>
    <col min="1" max="1" width="27.5703125" customWidth="1"/>
    <col min="2" max="2" width="27.42578125" customWidth="1"/>
  </cols>
  <sheetData>
    <row r="1" spans="1:4">
      <c r="A1" t="s">
        <v>531</v>
      </c>
      <c r="B1" t="s">
        <v>532</v>
      </c>
      <c r="C1" t="s">
        <v>533</v>
      </c>
      <c r="D1" t="s">
        <v>1302</v>
      </c>
    </row>
    <row r="2" spans="1:4">
      <c r="A2" s="278" t="s">
        <v>534</v>
      </c>
      <c r="B2" t="s">
        <v>534</v>
      </c>
      <c r="C2" t="s">
        <v>535</v>
      </c>
      <c r="D2">
        <v>1</v>
      </c>
    </row>
    <row r="3" spans="1:4">
      <c r="A3" s="278" t="s">
        <v>558</v>
      </c>
      <c r="B3" t="s">
        <v>558</v>
      </c>
      <c r="C3" t="s">
        <v>559</v>
      </c>
      <c r="D3">
        <v>2</v>
      </c>
    </row>
    <row r="4" spans="1:4">
      <c r="A4" s="278" t="s">
        <v>582</v>
      </c>
      <c r="B4" t="s">
        <v>582</v>
      </c>
      <c r="C4" t="s">
        <v>583</v>
      </c>
      <c r="D4">
        <v>3</v>
      </c>
    </row>
    <row r="5" spans="1:4">
      <c r="A5" s="278" t="s">
        <v>606</v>
      </c>
      <c r="B5" t="s">
        <v>606</v>
      </c>
      <c r="C5" t="s">
        <v>607</v>
      </c>
      <c r="D5">
        <v>4</v>
      </c>
    </row>
    <row r="6" spans="1:4">
      <c r="A6" s="278" t="s">
        <v>630</v>
      </c>
      <c r="B6" t="s">
        <v>630</v>
      </c>
      <c r="C6" t="s">
        <v>631</v>
      </c>
      <c r="D6">
        <v>5</v>
      </c>
    </row>
    <row r="7" spans="1:4">
      <c r="A7" s="278" t="s">
        <v>654</v>
      </c>
      <c r="B7" t="s">
        <v>654</v>
      </c>
      <c r="C7" t="s">
        <v>655</v>
      </c>
      <c r="D7">
        <v>6</v>
      </c>
    </row>
    <row r="8" spans="1:4">
      <c r="A8" s="278" t="s">
        <v>678</v>
      </c>
      <c r="B8" t="s">
        <v>678</v>
      </c>
      <c r="C8" t="s">
        <v>679</v>
      </c>
      <c r="D8">
        <v>7</v>
      </c>
    </row>
    <row r="9" spans="1:4">
      <c r="A9" s="278" t="s">
        <v>702</v>
      </c>
      <c r="B9" t="s">
        <v>702</v>
      </c>
      <c r="C9" t="s">
        <v>703</v>
      </c>
      <c r="D9">
        <v>8</v>
      </c>
    </row>
    <row r="10" spans="1:4">
      <c r="A10" s="278" t="s">
        <v>536</v>
      </c>
      <c r="B10" t="s">
        <v>536</v>
      </c>
      <c r="C10" t="s">
        <v>537</v>
      </c>
      <c r="D10">
        <v>9</v>
      </c>
    </row>
    <row r="11" spans="1:4">
      <c r="A11" s="278" t="s">
        <v>560</v>
      </c>
      <c r="B11" t="s">
        <v>560</v>
      </c>
      <c r="C11" t="s">
        <v>561</v>
      </c>
      <c r="D11">
        <v>10</v>
      </c>
    </row>
    <row r="12" spans="1:4">
      <c r="A12" s="278" t="s">
        <v>584</v>
      </c>
      <c r="B12" t="s">
        <v>584</v>
      </c>
      <c r="C12" t="s">
        <v>585</v>
      </c>
      <c r="D12">
        <v>11</v>
      </c>
    </row>
    <row r="13" spans="1:4">
      <c r="A13" s="278" t="s">
        <v>608</v>
      </c>
      <c r="B13" t="s">
        <v>608</v>
      </c>
      <c r="C13" t="s">
        <v>609</v>
      </c>
      <c r="D13">
        <v>12</v>
      </c>
    </row>
    <row r="14" spans="1:4">
      <c r="A14" s="278" t="s">
        <v>632</v>
      </c>
      <c r="B14" t="s">
        <v>632</v>
      </c>
      <c r="C14" t="s">
        <v>633</v>
      </c>
      <c r="D14">
        <v>13</v>
      </c>
    </row>
    <row r="15" spans="1:4">
      <c r="A15" s="278" t="s">
        <v>656</v>
      </c>
      <c r="B15" t="s">
        <v>656</v>
      </c>
      <c r="C15" t="s">
        <v>657</v>
      </c>
      <c r="D15">
        <v>14</v>
      </c>
    </row>
    <row r="16" spans="1:4">
      <c r="A16" s="278" t="s">
        <v>680</v>
      </c>
      <c r="B16" t="s">
        <v>680</v>
      </c>
      <c r="C16" t="s">
        <v>681</v>
      </c>
      <c r="D16">
        <v>15</v>
      </c>
    </row>
    <row r="17" spans="1:4">
      <c r="A17" s="278" t="s">
        <v>704</v>
      </c>
      <c r="B17" t="s">
        <v>704</v>
      </c>
      <c r="C17" t="s">
        <v>705</v>
      </c>
      <c r="D17">
        <v>16</v>
      </c>
    </row>
    <row r="18" spans="1:4">
      <c r="A18" s="278" t="s">
        <v>538</v>
      </c>
      <c r="B18" t="s">
        <v>538</v>
      </c>
      <c r="C18" t="s">
        <v>539</v>
      </c>
      <c r="D18">
        <v>17</v>
      </c>
    </row>
    <row r="19" spans="1:4">
      <c r="A19" s="278" t="s">
        <v>562</v>
      </c>
      <c r="B19" t="s">
        <v>562</v>
      </c>
      <c r="C19" t="s">
        <v>563</v>
      </c>
      <c r="D19">
        <v>18</v>
      </c>
    </row>
    <row r="20" spans="1:4">
      <c r="A20" s="278" t="s">
        <v>586</v>
      </c>
      <c r="B20" t="s">
        <v>586</v>
      </c>
      <c r="C20" t="s">
        <v>587</v>
      </c>
      <c r="D20">
        <v>19</v>
      </c>
    </row>
    <row r="21" spans="1:4">
      <c r="A21" s="278" t="s">
        <v>610</v>
      </c>
      <c r="B21" t="s">
        <v>610</v>
      </c>
      <c r="C21" t="s">
        <v>611</v>
      </c>
      <c r="D21">
        <v>20</v>
      </c>
    </row>
    <row r="22" spans="1:4">
      <c r="A22" s="278" t="s">
        <v>634</v>
      </c>
      <c r="B22" t="s">
        <v>634</v>
      </c>
      <c r="C22" t="s">
        <v>635</v>
      </c>
      <c r="D22">
        <v>21</v>
      </c>
    </row>
    <row r="23" spans="1:4">
      <c r="A23" s="278" t="s">
        <v>658</v>
      </c>
      <c r="B23" t="s">
        <v>658</v>
      </c>
      <c r="C23" t="s">
        <v>659</v>
      </c>
      <c r="D23">
        <v>22</v>
      </c>
    </row>
    <row r="24" spans="1:4">
      <c r="A24" s="278" t="s">
        <v>682</v>
      </c>
      <c r="B24" t="s">
        <v>682</v>
      </c>
      <c r="C24" t="s">
        <v>683</v>
      </c>
      <c r="D24">
        <v>23</v>
      </c>
    </row>
    <row r="25" spans="1:4">
      <c r="A25" s="278" t="s">
        <v>706</v>
      </c>
      <c r="B25" t="s">
        <v>706</v>
      </c>
      <c r="C25" t="s">
        <v>707</v>
      </c>
      <c r="D25">
        <v>24</v>
      </c>
    </row>
    <row r="26" spans="1:4">
      <c r="A26" s="278" t="s">
        <v>540</v>
      </c>
      <c r="B26" t="s">
        <v>540</v>
      </c>
      <c r="C26" t="s">
        <v>541</v>
      </c>
      <c r="D26">
        <v>25</v>
      </c>
    </row>
    <row r="27" spans="1:4">
      <c r="A27" s="278" t="s">
        <v>564</v>
      </c>
      <c r="B27" t="s">
        <v>564</v>
      </c>
      <c r="C27" t="s">
        <v>565</v>
      </c>
      <c r="D27">
        <v>26</v>
      </c>
    </row>
    <row r="28" spans="1:4">
      <c r="A28" s="278" t="s">
        <v>588</v>
      </c>
      <c r="B28" t="s">
        <v>588</v>
      </c>
      <c r="C28" t="s">
        <v>589</v>
      </c>
      <c r="D28">
        <v>27</v>
      </c>
    </row>
    <row r="29" spans="1:4">
      <c r="A29" s="278" t="s">
        <v>612</v>
      </c>
      <c r="B29" t="s">
        <v>612</v>
      </c>
      <c r="C29" t="s">
        <v>613</v>
      </c>
      <c r="D29">
        <v>28</v>
      </c>
    </row>
    <row r="30" spans="1:4">
      <c r="A30" s="278" t="s">
        <v>636</v>
      </c>
      <c r="B30" t="s">
        <v>636</v>
      </c>
      <c r="C30" t="s">
        <v>637</v>
      </c>
      <c r="D30">
        <v>29</v>
      </c>
    </row>
    <row r="31" spans="1:4">
      <c r="A31" s="278" t="s">
        <v>660</v>
      </c>
      <c r="B31" t="s">
        <v>660</v>
      </c>
      <c r="C31" t="s">
        <v>661</v>
      </c>
      <c r="D31">
        <v>30</v>
      </c>
    </row>
    <row r="32" spans="1:4">
      <c r="A32" s="278" t="s">
        <v>684</v>
      </c>
      <c r="B32" t="s">
        <v>684</v>
      </c>
      <c r="C32" t="s">
        <v>685</v>
      </c>
      <c r="D32">
        <v>31</v>
      </c>
    </row>
    <row r="33" spans="1:4">
      <c r="A33" s="278" t="s">
        <v>708</v>
      </c>
      <c r="B33" t="s">
        <v>708</v>
      </c>
      <c r="C33" t="s">
        <v>709</v>
      </c>
      <c r="D33">
        <v>32</v>
      </c>
    </row>
    <row r="34" spans="1:4">
      <c r="A34" s="278" t="s">
        <v>542</v>
      </c>
      <c r="B34" t="s">
        <v>542</v>
      </c>
      <c r="C34" t="s">
        <v>543</v>
      </c>
      <c r="D34">
        <v>33</v>
      </c>
    </row>
    <row r="35" spans="1:4">
      <c r="A35" s="278" t="s">
        <v>566</v>
      </c>
      <c r="B35" t="s">
        <v>566</v>
      </c>
      <c r="C35" t="s">
        <v>567</v>
      </c>
      <c r="D35">
        <v>34</v>
      </c>
    </row>
    <row r="36" spans="1:4">
      <c r="A36" s="278" t="s">
        <v>590</v>
      </c>
      <c r="B36" t="s">
        <v>590</v>
      </c>
      <c r="C36" t="s">
        <v>591</v>
      </c>
      <c r="D36">
        <v>35</v>
      </c>
    </row>
    <row r="37" spans="1:4">
      <c r="A37" s="278" t="s">
        <v>614</v>
      </c>
      <c r="B37" t="s">
        <v>614</v>
      </c>
      <c r="C37" t="s">
        <v>615</v>
      </c>
      <c r="D37">
        <v>36</v>
      </c>
    </row>
    <row r="38" spans="1:4">
      <c r="A38" s="278" t="s">
        <v>638</v>
      </c>
      <c r="B38" t="s">
        <v>638</v>
      </c>
      <c r="C38" t="s">
        <v>639</v>
      </c>
      <c r="D38">
        <v>37</v>
      </c>
    </row>
    <row r="39" spans="1:4">
      <c r="A39" s="278" t="s">
        <v>662</v>
      </c>
      <c r="B39" t="s">
        <v>662</v>
      </c>
      <c r="C39" t="s">
        <v>663</v>
      </c>
      <c r="D39">
        <v>38</v>
      </c>
    </row>
    <row r="40" spans="1:4">
      <c r="A40" s="278" t="s">
        <v>686</v>
      </c>
      <c r="B40" t="s">
        <v>686</v>
      </c>
      <c r="C40" t="s">
        <v>687</v>
      </c>
      <c r="D40">
        <v>39</v>
      </c>
    </row>
    <row r="41" spans="1:4">
      <c r="A41" s="278" t="s">
        <v>710</v>
      </c>
      <c r="B41" t="s">
        <v>710</v>
      </c>
      <c r="C41" t="s">
        <v>711</v>
      </c>
      <c r="D41">
        <v>40</v>
      </c>
    </row>
    <row r="42" spans="1:4">
      <c r="A42" s="278" t="s">
        <v>544</v>
      </c>
      <c r="B42" t="s">
        <v>544</v>
      </c>
      <c r="C42" t="s">
        <v>545</v>
      </c>
      <c r="D42">
        <v>41</v>
      </c>
    </row>
    <row r="43" spans="1:4">
      <c r="A43" s="278" t="s">
        <v>568</v>
      </c>
      <c r="B43" t="s">
        <v>568</v>
      </c>
      <c r="C43" t="s">
        <v>569</v>
      </c>
      <c r="D43">
        <v>42</v>
      </c>
    </row>
    <row r="44" spans="1:4">
      <c r="A44" s="278" t="s">
        <v>592</v>
      </c>
      <c r="B44" t="s">
        <v>592</v>
      </c>
      <c r="C44" t="s">
        <v>593</v>
      </c>
      <c r="D44">
        <v>43</v>
      </c>
    </row>
    <row r="45" spans="1:4">
      <c r="A45" s="278" t="s">
        <v>616</v>
      </c>
      <c r="B45" t="s">
        <v>616</v>
      </c>
      <c r="C45" t="s">
        <v>617</v>
      </c>
      <c r="D45">
        <v>44</v>
      </c>
    </row>
    <row r="46" spans="1:4">
      <c r="A46" s="278" t="s">
        <v>640</v>
      </c>
      <c r="B46" t="s">
        <v>640</v>
      </c>
      <c r="C46" t="s">
        <v>641</v>
      </c>
      <c r="D46">
        <v>45</v>
      </c>
    </row>
    <row r="47" spans="1:4">
      <c r="A47" s="278" t="s">
        <v>664</v>
      </c>
      <c r="B47" t="s">
        <v>664</v>
      </c>
      <c r="C47" t="s">
        <v>665</v>
      </c>
      <c r="D47">
        <v>46</v>
      </c>
    </row>
    <row r="48" spans="1:4">
      <c r="A48" s="278" t="s">
        <v>688</v>
      </c>
      <c r="B48" t="s">
        <v>688</v>
      </c>
      <c r="C48" t="s">
        <v>689</v>
      </c>
      <c r="D48">
        <v>47</v>
      </c>
    </row>
    <row r="49" spans="1:4">
      <c r="A49" s="278" t="s">
        <v>712</v>
      </c>
      <c r="B49" t="s">
        <v>712</v>
      </c>
      <c r="C49" t="s">
        <v>713</v>
      </c>
      <c r="D49">
        <v>48</v>
      </c>
    </row>
    <row r="50" spans="1:4">
      <c r="A50" s="278" t="s">
        <v>546</v>
      </c>
      <c r="B50" t="s">
        <v>546</v>
      </c>
      <c r="C50" t="s">
        <v>547</v>
      </c>
      <c r="D50">
        <v>49</v>
      </c>
    </row>
    <row r="51" spans="1:4">
      <c r="A51" s="278" t="s">
        <v>570</v>
      </c>
      <c r="B51" t="s">
        <v>570</v>
      </c>
      <c r="C51" t="s">
        <v>571</v>
      </c>
      <c r="D51">
        <v>50</v>
      </c>
    </row>
    <row r="52" spans="1:4">
      <c r="A52" s="278" t="s">
        <v>594</v>
      </c>
      <c r="B52" t="s">
        <v>594</v>
      </c>
      <c r="C52" t="s">
        <v>595</v>
      </c>
      <c r="D52">
        <v>52</v>
      </c>
    </row>
    <row r="53" spans="1:4">
      <c r="A53" s="278" t="s">
        <v>618</v>
      </c>
      <c r="B53" t="s">
        <v>618</v>
      </c>
      <c r="C53" t="s">
        <v>619</v>
      </c>
      <c r="D53">
        <v>52</v>
      </c>
    </row>
    <row r="54" spans="1:4">
      <c r="A54" s="278" t="s">
        <v>642</v>
      </c>
      <c r="B54" t="s">
        <v>642</v>
      </c>
      <c r="C54" t="s">
        <v>643</v>
      </c>
      <c r="D54">
        <v>53</v>
      </c>
    </row>
    <row r="55" spans="1:4">
      <c r="A55" s="278" t="s">
        <v>666</v>
      </c>
      <c r="B55" t="s">
        <v>666</v>
      </c>
      <c r="C55" t="s">
        <v>667</v>
      </c>
      <c r="D55">
        <v>54</v>
      </c>
    </row>
    <row r="56" spans="1:4">
      <c r="A56" s="278" t="s">
        <v>690</v>
      </c>
      <c r="B56" t="s">
        <v>690</v>
      </c>
      <c r="C56" t="s">
        <v>691</v>
      </c>
      <c r="D56">
        <v>55</v>
      </c>
    </row>
    <row r="57" spans="1:4">
      <c r="A57" s="278" t="s">
        <v>714</v>
      </c>
      <c r="B57" t="s">
        <v>714</v>
      </c>
      <c r="C57" t="s">
        <v>715</v>
      </c>
      <c r="D57">
        <v>56</v>
      </c>
    </row>
    <row r="58" spans="1:4">
      <c r="A58" s="278" t="s">
        <v>548</v>
      </c>
      <c r="B58" t="s">
        <v>548</v>
      </c>
      <c r="C58" t="s">
        <v>549</v>
      </c>
      <c r="D58">
        <v>57</v>
      </c>
    </row>
    <row r="59" spans="1:4">
      <c r="A59" s="278" t="s">
        <v>572</v>
      </c>
      <c r="B59" t="s">
        <v>572</v>
      </c>
      <c r="C59" t="s">
        <v>573</v>
      </c>
      <c r="D59">
        <v>58</v>
      </c>
    </row>
    <row r="60" spans="1:4">
      <c r="A60" s="278" t="s">
        <v>596</v>
      </c>
      <c r="B60" t="s">
        <v>596</v>
      </c>
      <c r="C60" t="s">
        <v>597</v>
      </c>
      <c r="D60">
        <v>59</v>
      </c>
    </row>
    <row r="61" spans="1:4">
      <c r="A61" s="278" t="s">
        <v>620</v>
      </c>
      <c r="B61" t="s">
        <v>620</v>
      </c>
      <c r="C61" t="s">
        <v>621</v>
      </c>
      <c r="D61">
        <v>60</v>
      </c>
    </row>
    <row r="62" spans="1:4">
      <c r="A62" s="278" t="s">
        <v>644</v>
      </c>
      <c r="B62" t="s">
        <v>644</v>
      </c>
      <c r="C62" t="s">
        <v>645</v>
      </c>
      <c r="D62">
        <v>61</v>
      </c>
    </row>
    <row r="63" spans="1:4">
      <c r="A63" s="278" t="s">
        <v>668</v>
      </c>
      <c r="B63" t="s">
        <v>668</v>
      </c>
      <c r="C63" t="s">
        <v>669</v>
      </c>
      <c r="D63">
        <v>62</v>
      </c>
    </row>
    <row r="64" spans="1:4">
      <c r="A64" s="278" t="s">
        <v>692</v>
      </c>
      <c r="B64" t="s">
        <v>692</v>
      </c>
      <c r="C64" t="s">
        <v>693</v>
      </c>
      <c r="D64">
        <v>63</v>
      </c>
    </row>
    <row r="65" spans="1:4">
      <c r="A65" s="278" t="s">
        <v>716</v>
      </c>
      <c r="B65" t="s">
        <v>716</v>
      </c>
      <c r="C65" t="s">
        <v>717</v>
      </c>
      <c r="D65">
        <v>64</v>
      </c>
    </row>
    <row r="66" spans="1:4">
      <c r="A66" s="278" t="s">
        <v>550</v>
      </c>
      <c r="B66" t="s">
        <v>550</v>
      </c>
      <c r="C66" t="s">
        <v>551</v>
      </c>
      <c r="D66">
        <v>65</v>
      </c>
    </row>
    <row r="67" spans="1:4">
      <c r="A67" s="278" t="s">
        <v>574</v>
      </c>
      <c r="B67" t="s">
        <v>574</v>
      </c>
      <c r="C67" t="s">
        <v>575</v>
      </c>
      <c r="D67">
        <v>66</v>
      </c>
    </row>
    <row r="68" spans="1:4">
      <c r="A68" s="278" t="s">
        <v>598</v>
      </c>
      <c r="B68" t="s">
        <v>598</v>
      </c>
      <c r="C68" t="s">
        <v>599</v>
      </c>
      <c r="D68">
        <v>67</v>
      </c>
    </row>
    <row r="69" spans="1:4">
      <c r="A69" s="278" t="s">
        <v>622</v>
      </c>
      <c r="B69" t="s">
        <v>622</v>
      </c>
      <c r="C69" t="s">
        <v>623</v>
      </c>
      <c r="D69">
        <v>68</v>
      </c>
    </row>
    <row r="70" spans="1:4">
      <c r="A70" s="278" t="s">
        <v>646</v>
      </c>
      <c r="B70" t="s">
        <v>646</v>
      </c>
      <c r="C70" t="s">
        <v>647</v>
      </c>
      <c r="D70">
        <v>69</v>
      </c>
    </row>
    <row r="71" spans="1:4">
      <c r="A71" s="278" t="s">
        <v>670</v>
      </c>
      <c r="B71" t="s">
        <v>670</v>
      </c>
      <c r="C71" t="s">
        <v>671</v>
      </c>
      <c r="D71">
        <v>70</v>
      </c>
    </row>
    <row r="72" spans="1:4">
      <c r="A72" s="278" t="s">
        <v>694</v>
      </c>
      <c r="B72" t="s">
        <v>694</v>
      </c>
      <c r="C72" t="s">
        <v>695</v>
      </c>
      <c r="D72">
        <v>71</v>
      </c>
    </row>
    <row r="73" spans="1:4">
      <c r="A73" s="278" t="s">
        <v>718</v>
      </c>
      <c r="B73" t="s">
        <v>718</v>
      </c>
      <c r="C73" t="s">
        <v>719</v>
      </c>
      <c r="D73">
        <v>72</v>
      </c>
    </row>
    <row r="74" spans="1:4">
      <c r="A74" s="278" t="s">
        <v>552</v>
      </c>
      <c r="B74" t="s">
        <v>552</v>
      </c>
      <c r="C74" t="s">
        <v>553</v>
      </c>
      <c r="D74">
        <v>73</v>
      </c>
    </row>
    <row r="75" spans="1:4">
      <c r="A75" s="278" t="s">
        <v>576</v>
      </c>
      <c r="B75" t="s">
        <v>576</v>
      </c>
      <c r="C75" t="s">
        <v>577</v>
      </c>
      <c r="D75">
        <v>74</v>
      </c>
    </row>
    <row r="76" spans="1:4">
      <c r="A76" s="278" t="s">
        <v>600</v>
      </c>
      <c r="B76" t="s">
        <v>600</v>
      </c>
      <c r="C76" t="s">
        <v>601</v>
      </c>
      <c r="D76">
        <v>75</v>
      </c>
    </row>
    <row r="77" spans="1:4">
      <c r="A77" s="278" t="s">
        <v>624</v>
      </c>
      <c r="B77" t="s">
        <v>624</v>
      </c>
      <c r="C77" t="s">
        <v>625</v>
      </c>
      <c r="D77">
        <v>76</v>
      </c>
    </row>
    <row r="78" spans="1:4">
      <c r="A78" s="278" t="s">
        <v>648</v>
      </c>
      <c r="B78" t="s">
        <v>648</v>
      </c>
      <c r="C78" t="s">
        <v>649</v>
      </c>
      <c r="D78">
        <v>77</v>
      </c>
    </row>
    <row r="79" spans="1:4">
      <c r="A79" s="278" t="s">
        <v>672</v>
      </c>
      <c r="B79" t="s">
        <v>672</v>
      </c>
      <c r="C79" t="s">
        <v>673</v>
      </c>
      <c r="D79">
        <v>78</v>
      </c>
    </row>
    <row r="80" spans="1:4">
      <c r="A80" s="278" t="s">
        <v>696</v>
      </c>
      <c r="B80" t="s">
        <v>696</v>
      </c>
      <c r="C80" t="s">
        <v>697</v>
      </c>
      <c r="D80">
        <v>79</v>
      </c>
    </row>
    <row r="81" spans="1:4">
      <c r="A81" s="278" t="s">
        <v>720</v>
      </c>
      <c r="B81" t="s">
        <v>720</v>
      </c>
      <c r="C81" t="s">
        <v>721</v>
      </c>
      <c r="D81">
        <v>80</v>
      </c>
    </row>
    <row r="82" spans="1:4">
      <c r="A82" s="278" t="s">
        <v>554</v>
      </c>
      <c r="B82" t="s">
        <v>554</v>
      </c>
      <c r="C82" t="s">
        <v>555</v>
      </c>
      <c r="D82">
        <v>81</v>
      </c>
    </row>
    <row r="83" spans="1:4">
      <c r="A83" s="278" t="s">
        <v>578</v>
      </c>
      <c r="B83" t="s">
        <v>578</v>
      </c>
      <c r="C83" t="s">
        <v>579</v>
      </c>
      <c r="D83">
        <v>82</v>
      </c>
    </row>
    <row r="84" spans="1:4">
      <c r="A84" s="278" t="s">
        <v>602</v>
      </c>
      <c r="B84" t="s">
        <v>602</v>
      </c>
      <c r="C84" t="s">
        <v>603</v>
      </c>
      <c r="D84">
        <v>83</v>
      </c>
    </row>
    <row r="85" spans="1:4">
      <c r="A85" s="278" t="s">
        <v>626</v>
      </c>
      <c r="B85" t="s">
        <v>626</v>
      </c>
      <c r="C85" t="s">
        <v>627</v>
      </c>
      <c r="D85">
        <v>84</v>
      </c>
    </row>
    <row r="86" spans="1:4">
      <c r="A86" s="278" t="s">
        <v>650</v>
      </c>
      <c r="B86" t="s">
        <v>650</v>
      </c>
      <c r="C86" t="s">
        <v>651</v>
      </c>
      <c r="D86">
        <v>85</v>
      </c>
    </row>
    <row r="87" spans="1:4">
      <c r="A87" s="278" t="s">
        <v>674</v>
      </c>
      <c r="B87" t="s">
        <v>674</v>
      </c>
      <c r="C87" t="s">
        <v>675</v>
      </c>
      <c r="D87">
        <v>86</v>
      </c>
    </row>
    <row r="88" spans="1:4">
      <c r="A88" s="278" t="s">
        <v>698</v>
      </c>
      <c r="B88" t="s">
        <v>698</v>
      </c>
      <c r="C88" t="s">
        <v>699</v>
      </c>
      <c r="D88">
        <v>87</v>
      </c>
    </row>
    <row r="89" spans="1:4">
      <c r="A89" s="278" t="s">
        <v>722</v>
      </c>
      <c r="B89" t="s">
        <v>722</v>
      </c>
      <c r="C89" t="s">
        <v>723</v>
      </c>
      <c r="D89">
        <v>88</v>
      </c>
    </row>
    <row r="90" spans="1:4">
      <c r="A90" s="278" t="s">
        <v>556</v>
      </c>
      <c r="B90" t="s">
        <v>556</v>
      </c>
      <c r="C90" t="s">
        <v>557</v>
      </c>
      <c r="D90">
        <v>89</v>
      </c>
    </row>
    <row r="91" spans="1:4">
      <c r="A91" s="278" t="s">
        <v>580</v>
      </c>
      <c r="B91" t="s">
        <v>580</v>
      </c>
      <c r="C91" t="s">
        <v>581</v>
      </c>
      <c r="D91">
        <v>90</v>
      </c>
    </row>
    <row r="92" spans="1:4">
      <c r="A92" s="278" t="s">
        <v>604</v>
      </c>
      <c r="B92" t="s">
        <v>604</v>
      </c>
      <c r="C92" t="s">
        <v>605</v>
      </c>
      <c r="D92">
        <v>91</v>
      </c>
    </row>
    <row r="93" spans="1:4">
      <c r="A93" s="278" t="s">
        <v>628</v>
      </c>
      <c r="B93" t="s">
        <v>628</v>
      </c>
      <c r="C93" t="s">
        <v>629</v>
      </c>
      <c r="D93">
        <v>92</v>
      </c>
    </row>
    <row r="94" spans="1:4">
      <c r="A94" s="278" t="s">
        <v>652</v>
      </c>
      <c r="B94" t="s">
        <v>652</v>
      </c>
      <c r="C94" t="s">
        <v>653</v>
      </c>
      <c r="D94">
        <v>93</v>
      </c>
    </row>
    <row r="95" spans="1:4">
      <c r="A95" s="278" t="s">
        <v>676</v>
      </c>
      <c r="B95" t="s">
        <v>676</v>
      </c>
      <c r="C95" t="s">
        <v>677</v>
      </c>
      <c r="D95">
        <v>94</v>
      </c>
    </row>
    <row r="96" spans="1:4">
      <c r="A96" s="278" t="s">
        <v>700</v>
      </c>
      <c r="B96" t="s">
        <v>700</v>
      </c>
      <c r="C96" t="s">
        <v>701</v>
      </c>
      <c r="D96">
        <v>95</v>
      </c>
    </row>
    <row r="97" spans="1:4">
      <c r="A97" s="278" t="s">
        <v>724</v>
      </c>
      <c r="B97" t="s">
        <v>724</v>
      </c>
      <c r="C97" t="s">
        <v>725</v>
      </c>
      <c r="D97">
        <v>96</v>
      </c>
    </row>
    <row r="98" spans="1:4">
      <c r="A98" s="278" t="s">
        <v>726</v>
      </c>
      <c r="B98" t="s">
        <v>726</v>
      </c>
      <c r="C98" t="s">
        <v>727</v>
      </c>
    </row>
    <row r="99" spans="1:4">
      <c r="A99" s="278" t="s">
        <v>728</v>
      </c>
      <c r="B99" t="s">
        <v>728</v>
      </c>
      <c r="C99" t="s">
        <v>729</v>
      </c>
    </row>
    <row r="100" spans="1:4">
      <c r="A100" s="278" t="s">
        <v>730</v>
      </c>
      <c r="B100" t="s">
        <v>730</v>
      </c>
      <c r="C100" t="s">
        <v>731</v>
      </c>
    </row>
    <row r="101" spans="1:4">
      <c r="A101" s="278" t="s">
        <v>732</v>
      </c>
      <c r="B101" t="s">
        <v>732</v>
      </c>
      <c r="C101" t="s">
        <v>733</v>
      </c>
    </row>
    <row r="102" spans="1:4">
      <c r="A102" s="278" t="s">
        <v>734</v>
      </c>
      <c r="B102" t="s">
        <v>734</v>
      </c>
      <c r="C102" t="s">
        <v>735</v>
      </c>
    </row>
    <row r="103" spans="1:4">
      <c r="A103" s="278" t="s">
        <v>736</v>
      </c>
      <c r="B103" t="s">
        <v>736</v>
      </c>
      <c r="C103" t="s">
        <v>737</v>
      </c>
    </row>
    <row r="104" spans="1:4">
      <c r="A104" s="278" t="s">
        <v>738</v>
      </c>
      <c r="B104" t="s">
        <v>738</v>
      </c>
      <c r="C104" t="s">
        <v>739</v>
      </c>
    </row>
    <row r="105" spans="1:4">
      <c r="A105" s="278" t="s">
        <v>740</v>
      </c>
      <c r="B105" t="s">
        <v>740</v>
      </c>
      <c r="C105" t="s">
        <v>741</v>
      </c>
    </row>
    <row r="106" spans="1:4">
      <c r="A106" s="278" t="s">
        <v>742</v>
      </c>
      <c r="B106" t="s">
        <v>742</v>
      </c>
      <c r="C106" t="s">
        <v>743</v>
      </c>
    </row>
    <row r="107" spans="1:4">
      <c r="A107" s="278" t="s">
        <v>744</v>
      </c>
      <c r="B107" t="s">
        <v>744</v>
      </c>
      <c r="C107" t="s">
        <v>745</v>
      </c>
    </row>
    <row r="108" spans="1:4">
      <c r="A108" s="278" t="s">
        <v>746</v>
      </c>
      <c r="B108" t="s">
        <v>746</v>
      </c>
      <c r="C108" t="s">
        <v>747</v>
      </c>
    </row>
    <row r="109" spans="1:4">
      <c r="A109" s="278" t="s">
        <v>748</v>
      </c>
      <c r="B109" t="s">
        <v>748</v>
      </c>
      <c r="C109" t="s">
        <v>749</v>
      </c>
    </row>
    <row r="110" spans="1:4">
      <c r="A110" s="278" t="s">
        <v>750</v>
      </c>
      <c r="B110" t="s">
        <v>750</v>
      </c>
      <c r="C110" t="s">
        <v>751</v>
      </c>
    </row>
    <row r="111" spans="1:4">
      <c r="A111" s="278" t="s">
        <v>752</v>
      </c>
      <c r="B111" t="s">
        <v>752</v>
      </c>
      <c r="C111" t="s">
        <v>753</v>
      </c>
    </row>
    <row r="112" spans="1:4">
      <c r="A112" s="278" t="s">
        <v>754</v>
      </c>
      <c r="B112" t="s">
        <v>754</v>
      </c>
      <c r="C112" t="s">
        <v>755</v>
      </c>
    </row>
    <row r="113" spans="1:3">
      <c r="A113" s="278" t="s">
        <v>756</v>
      </c>
      <c r="B113" t="s">
        <v>756</v>
      </c>
      <c r="C113" t="s">
        <v>757</v>
      </c>
    </row>
    <row r="114" spans="1:3">
      <c r="A114" s="278" t="s">
        <v>758</v>
      </c>
      <c r="B114" t="s">
        <v>758</v>
      </c>
      <c r="C114" t="s">
        <v>759</v>
      </c>
    </row>
    <row r="115" spans="1:3">
      <c r="A115" s="278" t="s">
        <v>760</v>
      </c>
      <c r="B115" t="s">
        <v>760</v>
      </c>
      <c r="C115" t="s">
        <v>761</v>
      </c>
    </row>
    <row r="116" spans="1:3">
      <c r="A116" s="278" t="s">
        <v>762</v>
      </c>
      <c r="B116" t="s">
        <v>762</v>
      </c>
      <c r="C116" t="s">
        <v>763</v>
      </c>
    </row>
    <row r="117" spans="1:3">
      <c r="A117" s="278" t="s">
        <v>764</v>
      </c>
      <c r="B117" t="s">
        <v>764</v>
      </c>
      <c r="C117" t="s">
        <v>765</v>
      </c>
    </row>
    <row r="118" spans="1:3">
      <c r="A118" s="278" t="s">
        <v>766</v>
      </c>
      <c r="B118" t="s">
        <v>766</v>
      </c>
      <c r="C118" t="s">
        <v>767</v>
      </c>
    </row>
    <row r="119" spans="1:3">
      <c r="A119" s="278" t="s">
        <v>768</v>
      </c>
      <c r="B119" t="s">
        <v>768</v>
      </c>
      <c r="C119" t="s">
        <v>769</v>
      </c>
    </row>
    <row r="120" spans="1:3">
      <c r="A120" s="278" t="s">
        <v>770</v>
      </c>
      <c r="B120" t="s">
        <v>770</v>
      </c>
      <c r="C120" t="s">
        <v>771</v>
      </c>
    </row>
    <row r="121" spans="1:3">
      <c r="A121" s="278" t="s">
        <v>772</v>
      </c>
      <c r="B121" t="s">
        <v>772</v>
      </c>
      <c r="C121" t="s">
        <v>773</v>
      </c>
    </row>
    <row r="122" spans="1:3">
      <c r="A122" s="278" t="s">
        <v>774</v>
      </c>
      <c r="B122" t="s">
        <v>774</v>
      </c>
      <c r="C122" t="s">
        <v>775</v>
      </c>
    </row>
    <row r="123" spans="1:3">
      <c r="A123" s="278" t="s">
        <v>776</v>
      </c>
      <c r="B123" t="s">
        <v>776</v>
      </c>
      <c r="C123" t="s">
        <v>777</v>
      </c>
    </row>
    <row r="124" spans="1:3">
      <c r="A124" s="278" t="s">
        <v>778</v>
      </c>
      <c r="B124" t="s">
        <v>778</v>
      </c>
      <c r="C124" t="s">
        <v>779</v>
      </c>
    </row>
    <row r="125" spans="1:3">
      <c r="A125" s="278" t="s">
        <v>780</v>
      </c>
      <c r="B125" t="s">
        <v>780</v>
      </c>
      <c r="C125" t="s">
        <v>781</v>
      </c>
    </row>
    <row r="126" spans="1:3">
      <c r="A126" s="278" t="s">
        <v>782</v>
      </c>
      <c r="B126" t="s">
        <v>782</v>
      </c>
      <c r="C126" t="s">
        <v>783</v>
      </c>
    </row>
    <row r="127" spans="1:3">
      <c r="A127" s="278" t="s">
        <v>784</v>
      </c>
      <c r="B127" t="s">
        <v>784</v>
      </c>
      <c r="C127" t="s">
        <v>785</v>
      </c>
    </row>
    <row r="128" spans="1:3">
      <c r="A128" s="278" t="s">
        <v>786</v>
      </c>
      <c r="B128" t="s">
        <v>786</v>
      </c>
      <c r="C128" t="s">
        <v>787</v>
      </c>
    </row>
    <row r="129" spans="1:3">
      <c r="A129" s="278" t="s">
        <v>788</v>
      </c>
      <c r="B129" t="s">
        <v>788</v>
      </c>
      <c r="C129" t="s">
        <v>789</v>
      </c>
    </row>
    <row r="130" spans="1:3">
      <c r="A130" s="278" t="s">
        <v>790</v>
      </c>
      <c r="B130" t="s">
        <v>790</v>
      </c>
      <c r="C130" t="s">
        <v>791</v>
      </c>
    </row>
    <row r="131" spans="1:3">
      <c r="A131" s="278" t="s">
        <v>792</v>
      </c>
      <c r="B131" t="s">
        <v>792</v>
      </c>
      <c r="C131" t="s">
        <v>793</v>
      </c>
    </row>
    <row r="132" spans="1:3">
      <c r="A132" s="278" t="s">
        <v>794</v>
      </c>
      <c r="B132" t="s">
        <v>794</v>
      </c>
      <c r="C132" t="s">
        <v>795</v>
      </c>
    </row>
    <row r="133" spans="1:3">
      <c r="A133" s="278" t="s">
        <v>796</v>
      </c>
      <c r="B133" t="s">
        <v>796</v>
      </c>
      <c r="C133" t="s">
        <v>797</v>
      </c>
    </row>
    <row r="134" spans="1:3">
      <c r="A134" s="278" t="s">
        <v>798</v>
      </c>
      <c r="B134" t="s">
        <v>798</v>
      </c>
      <c r="C134" t="s">
        <v>799</v>
      </c>
    </row>
    <row r="135" spans="1:3">
      <c r="A135" s="278" t="s">
        <v>800</v>
      </c>
      <c r="B135" t="s">
        <v>800</v>
      </c>
      <c r="C135" t="s">
        <v>801</v>
      </c>
    </row>
    <row r="136" spans="1:3">
      <c r="A136" s="278" t="s">
        <v>802</v>
      </c>
      <c r="B136" t="s">
        <v>802</v>
      </c>
      <c r="C136" t="s">
        <v>803</v>
      </c>
    </row>
    <row r="137" spans="1:3">
      <c r="A137" s="278" t="s">
        <v>804</v>
      </c>
      <c r="B137" t="s">
        <v>804</v>
      </c>
      <c r="C137" t="s">
        <v>805</v>
      </c>
    </row>
    <row r="138" spans="1:3">
      <c r="A138" s="278" t="s">
        <v>806</v>
      </c>
      <c r="B138" t="s">
        <v>806</v>
      </c>
      <c r="C138" t="s">
        <v>807</v>
      </c>
    </row>
    <row r="139" spans="1:3">
      <c r="A139" s="278" t="s">
        <v>808</v>
      </c>
      <c r="B139" t="s">
        <v>808</v>
      </c>
      <c r="C139" t="s">
        <v>809</v>
      </c>
    </row>
    <row r="140" spans="1:3">
      <c r="A140" s="278" t="s">
        <v>810</v>
      </c>
      <c r="B140" t="s">
        <v>810</v>
      </c>
      <c r="C140" t="s">
        <v>811</v>
      </c>
    </row>
    <row r="141" spans="1:3">
      <c r="A141" s="278" t="s">
        <v>812</v>
      </c>
      <c r="B141" t="s">
        <v>812</v>
      </c>
      <c r="C141" t="s">
        <v>813</v>
      </c>
    </row>
    <row r="142" spans="1:3">
      <c r="A142" s="278" t="s">
        <v>814</v>
      </c>
      <c r="B142" t="s">
        <v>814</v>
      </c>
      <c r="C142" t="s">
        <v>815</v>
      </c>
    </row>
    <row r="143" spans="1:3">
      <c r="A143" s="278" t="s">
        <v>816</v>
      </c>
      <c r="B143" t="s">
        <v>816</v>
      </c>
      <c r="C143" t="s">
        <v>817</v>
      </c>
    </row>
    <row r="144" spans="1:3">
      <c r="A144" s="278" t="s">
        <v>818</v>
      </c>
      <c r="B144" t="s">
        <v>818</v>
      </c>
      <c r="C144" t="s">
        <v>819</v>
      </c>
    </row>
    <row r="145" spans="1:3">
      <c r="A145" s="278" t="s">
        <v>820</v>
      </c>
      <c r="B145" t="s">
        <v>820</v>
      </c>
      <c r="C145" t="s">
        <v>821</v>
      </c>
    </row>
    <row r="146" spans="1:3">
      <c r="A146" s="278" t="s">
        <v>822</v>
      </c>
      <c r="B146" t="s">
        <v>822</v>
      </c>
      <c r="C146" t="s">
        <v>823</v>
      </c>
    </row>
    <row r="147" spans="1:3">
      <c r="A147" s="278" t="s">
        <v>824</v>
      </c>
      <c r="B147" t="s">
        <v>824</v>
      </c>
      <c r="C147" t="s">
        <v>825</v>
      </c>
    </row>
    <row r="148" spans="1:3">
      <c r="A148" s="278" t="s">
        <v>826</v>
      </c>
      <c r="B148" t="s">
        <v>826</v>
      </c>
      <c r="C148" t="s">
        <v>827</v>
      </c>
    </row>
    <row r="149" spans="1:3">
      <c r="A149" s="278" t="s">
        <v>828</v>
      </c>
      <c r="B149" t="s">
        <v>828</v>
      </c>
      <c r="C149" t="s">
        <v>829</v>
      </c>
    </row>
    <row r="150" spans="1:3">
      <c r="A150" s="278" t="s">
        <v>830</v>
      </c>
      <c r="B150" t="s">
        <v>830</v>
      </c>
      <c r="C150" t="s">
        <v>831</v>
      </c>
    </row>
    <row r="151" spans="1:3">
      <c r="A151" s="278" t="s">
        <v>832</v>
      </c>
      <c r="B151" t="s">
        <v>832</v>
      </c>
      <c r="C151" t="s">
        <v>833</v>
      </c>
    </row>
    <row r="152" spans="1:3">
      <c r="A152" s="278" t="s">
        <v>834</v>
      </c>
      <c r="B152" t="s">
        <v>834</v>
      </c>
      <c r="C152" t="s">
        <v>835</v>
      </c>
    </row>
    <row r="153" spans="1:3">
      <c r="A153" s="278" t="s">
        <v>836</v>
      </c>
      <c r="B153" t="s">
        <v>836</v>
      </c>
      <c r="C153" t="s">
        <v>837</v>
      </c>
    </row>
    <row r="154" spans="1:3">
      <c r="A154" s="278" t="s">
        <v>838</v>
      </c>
      <c r="B154" t="s">
        <v>838</v>
      </c>
      <c r="C154" t="s">
        <v>839</v>
      </c>
    </row>
    <row r="155" spans="1:3">
      <c r="A155" s="278" t="s">
        <v>840</v>
      </c>
      <c r="B155" t="s">
        <v>840</v>
      </c>
      <c r="C155" t="s">
        <v>841</v>
      </c>
    </row>
    <row r="156" spans="1:3">
      <c r="A156" s="278" t="s">
        <v>842</v>
      </c>
      <c r="B156" t="s">
        <v>842</v>
      </c>
      <c r="C156" t="s">
        <v>843</v>
      </c>
    </row>
    <row r="157" spans="1:3">
      <c r="A157" s="278" t="s">
        <v>844</v>
      </c>
      <c r="B157" t="s">
        <v>844</v>
      </c>
      <c r="C157" t="s">
        <v>845</v>
      </c>
    </row>
    <row r="158" spans="1:3">
      <c r="A158" s="278" t="s">
        <v>846</v>
      </c>
      <c r="B158" t="s">
        <v>846</v>
      </c>
      <c r="C158" t="s">
        <v>847</v>
      </c>
    </row>
    <row r="159" spans="1:3">
      <c r="A159" s="278" t="s">
        <v>848</v>
      </c>
      <c r="B159" t="s">
        <v>848</v>
      </c>
      <c r="C159" t="s">
        <v>849</v>
      </c>
    </row>
    <row r="160" spans="1:3">
      <c r="A160" s="278" t="s">
        <v>850</v>
      </c>
      <c r="B160" t="s">
        <v>850</v>
      </c>
      <c r="C160" t="s">
        <v>851</v>
      </c>
    </row>
    <row r="161" spans="1:3">
      <c r="A161" s="278" t="s">
        <v>852</v>
      </c>
      <c r="B161" t="s">
        <v>852</v>
      </c>
      <c r="C161" t="s">
        <v>853</v>
      </c>
    </row>
    <row r="162" spans="1:3">
      <c r="A162" s="278" t="s">
        <v>854</v>
      </c>
      <c r="B162" t="s">
        <v>854</v>
      </c>
      <c r="C162" t="s">
        <v>855</v>
      </c>
    </row>
    <row r="163" spans="1:3">
      <c r="A163" s="278" t="s">
        <v>856</v>
      </c>
      <c r="B163" t="s">
        <v>856</v>
      </c>
      <c r="C163" t="s">
        <v>857</v>
      </c>
    </row>
    <row r="164" spans="1:3">
      <c r="A164" s="278" t="s">
        <v>858</v>
      </c>
      <c r="B164" t="s">
        <v>858</v>
      </c>
      <c r="C164" t="s">
        <v>859</v>
      </c>
    </row>
    <row r="165" spans="1:3">
      <c r="A165" s="278" t="s">
        <v>860</v>
      </c>
      <c r="B165" t="s">
        <v>860</v>
      </c>
      <c r="C165" t="s">
        <v>861</v>
      </c>
    </row>
    <row r="166" spans="1:3">
      <c r="A166" s="278" t="s">
        <v>862</v>
      </c>
      <c r="B166" t="s">
        <v>862</v>
      </c>
      <c r="C166" t="s">
        <v>863</v>
      </c>
    </row>
    <row r="167" spans="1:3">
      <c r="A167" s="278" t="s">
        <v>864</v>
      </c>
      <c r="B167" t="s">
        <v>864</v>
      </c>
      <c r="C167" t="s">
        <v>865</v>
      </c>
    </row>
    <row r="168" spans="1:3">
      <c r="A168" s="278" t="s">
        <v>866</v>
      </c>
      <c r="B168" t="s">
        <v>866</v>
      </c>
      <c r="C168" t="s">
        <v>867</v>
      </c>
    </row>
    <row r="169" spans="1:3">
      <c r="A169" s="278" t="s">
        <v>868</v>
      </c>
      <c r="B169" t="s">
        <v>868</v>
      </c>
      <c r="C169" t="s">
        <v>869</v>
      </c>
    </row>
    <row r="170" spans="1:3">
      <c r="A170" s="278" t="s">
        <v>870</v>
      </c>
      <c r="B170" t="s">
        <v>870</v>
      </c>
      <c r="C170" t="s">
        <v>871</v>
      </c>
    </row>
    <row r="171" spans="1:3">
      <c r="A171" s="278" t="s">
        <v>872</v>
      </c>
      <c r="B171" t="s">
        <v>872</v>
      </c>
      <c r="C171" t="s">
        <v>873</v>
      </c>
    </row>
    <row r="172" spans="1:3">
      <c r="A172" s="278" t="s">
        <v>874</v>
      </c>
      <c r="B172" t="s">
        <v>874</v>
      </c>
      <c r="C172" t="s">
        <v>875</v>
      </c>
    </row>
    <row r="173" spans="1:3">
      <c r="A173" s="278" t="s">
        <v>876</v>
      </c>
      <c r="B173" t="s">
        <v>876</v>
      </c>
      <c r="C173" t="s">
        <v>877</v>
      </c>
    </row>
    <row r="174" spans="1:3">
      <c r="A174" s="278" t="s">
        <v>878</v>
      </c>
      <c r="B174" t="s">
        <v>878</v>
      </c>
      <c r="C174" t="s">
        <v>879</v>
      </c>
    </row>
    <row r="175" spans="1:3">
      <c r="A175" s="278" t="s">
        <v>880</v>
      </c>
      <c r="B175" t="s">
        <v>880</v>
      </c>
      <c r="C175" t="s">
        <v>881</v>
      </c>
    </row>
    <row r="176" spans="1:3">
      <c r="A176" s="278" t="s">
        <v>882</v>
      </c>
      <c r="B176" t="s">
        <v>882</v>
      </c>
      <c r="C176" t="s">
        <v>883</v>
      </c>
    </row>
    <row r="177" spans="1:3">
      <c r="A177" s="278" t="s">
        <v>884</v>
      </c>
      <c r="B177" t="s">
        <v>884</v>
      </c>
      <c r="C177" t="s">
        <v>885</v>
      </c>
    </row>
    <row r="178" spans="1:3">
      <c r="A178" s="278" t="s">
        <v>886</v>
      </c>
      <c r="B178" t="s">
        <v>886</v>
      </c>
      <c r="C178" t="s">
        <v>887</v>
      </c>
    </row>
    <row r="179" spans="1:3">
      <c r="A179" s="278" t="s">
        <v>888</v>
      </c>
      <c r="B179" t="s">
        <v>888</v>
      </c>
      <c r="C179" t="s">
        <v>889</v>
      </c>
    </row>
    <row r="180" spans="1:3">
      <c r="A180" s="278" t="s">
        <v>890</v>
      </c>
      <c r="B180" t="s">
        <v>890</v>
      </c>
      <c r="C180" t="s">
        <v>891</v>
      </c>
    </row>
    <row r="181" spans="1:3">
      <c r="A181" s="278" t="s">
        <v>892</v>
      </c>
      <c r="B181" t="s">
        <v>892</v>
      </c>
      <c r="C181" t="s">
        <v>893</v>
      </c>
    </row>
    <row r="182" spans="1:3">
      <c r="A182" s="278" t="s">
        <v>894</v>
      </c>
      <c r="B182" t="s">
        <v>894</v>
      </c>
      <c r="C182" t="s">
        <v>895</v>
      </c>
    </row>
    <row r="183" spans="1:3">
      <c r="A183" s="278" t="s">
        <v>896</v>
      </c>
      <c r="B183" t="s">
        <v>896</v>
      </c>
      <c r="C183" t="s">
        <v>897</v>
      </c>
    </row>
    <row r="184" spans="1:3">
      <c r="A184" s="278" t="s">
        <v>898</v>
      </c>
      <c r="B184" t="s">
        <v>898</v>
      </c>
      <c r="C184" t="s">
        <v>899</v>
      </c>
    </row>
    <row r="185" spans="1:3">
      <c r="A185" s="278" t="s">
        <v>900</v>
      </c>
      <c r="B185" t="s">
        <v>900</v>
      </c>
      <c r="C185" t="s">
        <v>901</v>
      </c>
    </row>
    <row r="186" spans="1:3">
      <c r="A186" s="278" t="s">
        <v>902</v>
      </c>
      <c r="B186" t="s">
        <v>902</v>
      </c>
      <c r="C186" t="s">
        <v>903</v>
      </c>
    </row>
    <row r="187" spans="1:3">
      <c r="A187" s="278" t="s">
        <v>904</v>
      </c>
      <c r="B187" t="s">
        <v>904</v>
      </c>
      <c r="C187" t="s">
        <v>905</v>
      </c>
    </row>
    <row r="188" spans="1:3">
      <c r="A188" s="278" t="s">
        <v>906</v>
      </c>
      <c r="B188" t="s">
        <v>906</v>
      </c>
      <c r="C188" t="s">
        <v>907</v>
      </c>
    </row>
    <row r="189" spans="1:3">
      <c r="A189" s="278" t="s">
        <v>908</v>
      </c>
      <c r="B189" t="s">
        <v>908</v>
      </c>
      <c r="C189" t="s">
        <v>909</v>
      </c>
    </row>
    <row r="190" spans="1:3">
      <c r="A190" s="278" t="s">
        <v>910</v>
      </c>
      <c r="B190" t="s">
        <v>910</v>
      </c>
      <c r="C190" t="s">
        <v>911</v>
      </c>
    </row>
    <row r="191" spans="1:3">
      <c r="A191" s="278" t="s">
        <v>912</v>
      </c>
      <c r="B191" t="s">
        <v>912</v>
      </c>
      <c r="C191" t="s">
        <v>913</v>
      </c>
    </row>
    <row r="192" spans="1:3">
      <c r="A192" s="278" t="s">
        <v>914</v>
      </c>
      <c r="B192" t="s">
        <v>914</v>
      </c>
      <c r="C192" t="s">
        <v>915</v>
      </c>
    </row>
    <row r="193" spans="1:3">
      <c r="A193" s="278" t="s">
        <v>916</v>
      </c>
      <c r="B193" t="s">
        <v>916</v>
      </c>
      <c r="C193" t="s">
        <v>917</v>
      </c>
    </row>
    <row r="194" spans="1:3">
      <c r="A194" s="278" t="s">
        <v>918</v>
      </c>
      <c r="B194" t="s">
        <v>918</v>
      </c>
      <c r="C194" t="s">
        <v>919</v>
      </c>
    </row>
    <row r="195" spans="1:3">
      <c r="A195" s="278" t="s">
        <v>920</v>
      </c>
      <c r="B195" t="s">
        <v>920</v>
      </c>
      <c r="C195" t="s">
        <v>921</v>
      </c>
    </row>
    <row r="196" spans="1:3">
      <c r="A196" s="278" t="s">
        <v>922</v>
      </c>
      <c r="B196" t="s">
        <v>922</v>
      </c>
      <c r="C196" t="s">
        <v>923</v>
      </c>
    </row>
    <row r="197" spans="1:3">
      <c r="A197" s="278" t="s">
        <v>924</v>
      </c>
      <c r="B197" t="s">
        <v>924</v>
      </c>
      <c r="C197" t="s">
        <v>925</v>
      </c>
    </row>
    <row r="198" spans="1:3">
      <c r="A198" s="278" t="s">
        <v>926</v>
      </c>
      <c r="B198" t="s">
        <v>926</v>
      </c>
      <c r="C198" t="s">
        <v>927</v>
      </c>
    </row>
    <row r="199" spans="1:3">
      <c r="A199" s="278" t="s">
        <v>928</v>
      </c>
      <c r="B199" t="s">
        <v>928</v>
      </c>
      <c r="C199" t="s">
        <v>929</v>
      </c>
    </row>
    <row r="200" spans="1:3">
      <c r="A200" s="278" t="s">
        <v>930</v>
      </c>
      <c r="B200" t="s">
        <v>930</v>
      </c>
      <c r="C200" t="s">
        <v>931</v>
      </c>
    </row>
    <row r="201" spans="1:3">
      <c r="A201" s="278" t="s">
        <v>932</v>
      </c>
      <c r="B201" t="s">
        <v>932</v>
      </c>
      <c r="C201" t="s">
        <v>933</v>
      </c>
    </row>
    <row r="202" spans="1:3">
      <c r="A202" s="278" t="s">
        <v>934</v>
      </c>
      <c r="B202" t="s">
        <v>934</v>
      </c>
      <c r="C202" t="s">
        <v>935</v>
      </c>
    </row>
    <row r="203" spans="1:3">
      <c r="A203" s="278" t="s">
        <v>936</v>
      </c>
      <c r="B203" t="s">
        <v>936</v>
      </c>
      <c r="C203" t="s">
        <v>937</v>
      </c>
    </row>
    <row r="204" spans="1:3">
      <c r="A204" s="278" t="s">
        <v>938</v>
      </c>
      <c r="B204" t="s">
        <v>938</v>
      </c>
      <c r="C204" t="s">
        <v>939</v>
      </c>
    </row>
    <row r="205" spans="1:3">
      <c r="A205" s="278" t="s">
        <v>940</v>
      </c>
      <c r="B205" t="s">
        <v>940</v>
      </c>
      <c r="C205" t="s">
        <v>941</v>
      </c>
    </row>
    <row r="206" spans="1:3">
      <c r="A206" s="278" t="s">
        <v>942</v>
      </c>
      <c r="B206" t="s">
        <v>942</v>
      </c>
      <c r="C206" t="s">
        <v>943</v>
      </c>
    </row>
    <row r="207" spans="1:3">
      <c r="A207" s="278" t="s">
        <v>944</v>
      </c>
      <c r="B207" t="s">
        <v>944</v>
      </c>
      <c r="C207" t="s">
        <v>945</v>
      </c>
    </row>
    <row r="208" spans="1:3">
      <c r="A208" s="278" t="s">
        <v>946</v>
      </c>
      <c r="B208" t="s">
        <v>946</v>
      </c>
      <c r="C208" t="s">
        <v>947</v>
      </c>
    </row>
    <row r="209" spans="1:3">
      <c r="A209" s="278" t="s">
        <v>948</v>
      </c>
      <c r="B209" t="s">
        <v>948</v>
      </c>
      <c r="C209" t="s">
        <v>949</v>
      </c>
    </row>
    <row r="210" spans="1:3">
      <c r="A210" s="278" t="s">
        <v>950</v>
      </c>
      <c r="B210" t="s">
        <v>950</v>
      </c>
      <c r="C210" t="s">
        <v>951</v>
      </c>
    </row>
    <row r="211" spans="1:3">
      <c r="A211" s="278" t="s">
        <v>952</v>
      </c>
      <c r="B211" t="s">
        <v>952</v>
      </c>
      <c r="C211" t="s">
        <v>953</v>
      </c>
    </row>
    <row r="212" spans="1:3">
      <c r="A212" s="278" t="s">
        <v>954</v>
      </c>
      <c r="B212" t="s">
        <v>954</v>
      </c>
      <c r="C212" t="s">
        <v>955</v>
      </c>
    </row>
    <row r="213" spans="1:3">
      <c r="A213" s="278" t="s">
        <v>956</v>
      </c>
      <c r="B213" t="s">
        <v>956</v>
      </c>
      <c r="C213" t="s">
        <v>957</v>
      </c>
    </row>
    <row r="214" spans="1:3">
      <c r="A214" s="278" t="s">
        <v>958</v>
      </c>
      <c r="B214" t="s">
        <v>958</v>
      </c>
      <c r="C214" t="s">
        <v>959</v>
      </c>
    </row>
    <row r="215" spans="1:3">
      <c r="A215" s="278" t="s">
        <v>960</v>
      </c>
      <c r="B215" t="s">
        <v>960</v>
      </c>
      <c r="C215" t="s">
        <v>961</v>
      </c>
    </row>
    <row r="216" spans="1:3">
      <c r="A216" s="278" t="s">
        <v>962</v>
      </c>
      <c r="B216" t="s">
        <v>962</v>
      </c>
      <c r="C216" t="s">
        <v>963</v>
      </c>
    </row>
    <row r="217" spans="1:3">
      <c r="A217" s="278" t="s">
        <v>964</v>
      </c>
      <c r="B217" t="s">
        <v>964</v>
      </c>
      <c r="C217" t="s">
        <v>965</v>
      </c>
    </row>
    <row r="218" spans="1:3">
      <c r="A218" s="278" t="s">
        <v>966</v>
      </c>
      <c r="B218" t="s">
        <v>966</v>
      </c>
      <c r="C218" t="s">
        <v>967</v>
      </c>
    </row>
    <row r="219" spans="1:3">
      <c r="A219" s="278" t="s">
        <v>968</v>
      </c>
      <c r="B219" t="s">
        <v>968</v>
      </c>
      <c r="C219" t="s">
        <v>969</v>
      </c>
    </row>
    <row r="220" spans="1:3">
      <c r="A220" s="278" t="s">
        <v>970</v>
      </c>
      <c r="B220" t="s">
        <v>970</v>
      </c>
      <c r="C220" t="s">
        <v>971</v>
      </c>
    </row>
    <row r="221" spans="1:3">
      <c r="A221" s="278" t="s">
        <v>972</v>
      </c>
      <c r="B221" t="s">
        <v>972</v>
      </c>
      <c r="C221" t="s">
        <v>973</v>
      </c>
    </row>
    <row r="222" spans="1:3">
      <c r="A222" s="278" t="s">
        <v>974</v>
      </c>
      <c r="B222" t="s">
        <v>974</v>
      </c>
      <c r="C222" t="s">
        <v>975</v>
      </c>
    </row>
    <row r="223" spans="1:3">
      <c r="A223" s="278" t="s">
        <v>976</v>
      </c>
      <c r="B223" t="s">
        <v>976</v>
      </c>
      <c r="C223" t="s">
        <v>977</v>
      </c>
    </row>
    <row r="224" spans="1:3">
      <c r="A224" s="278" t="s">
        <v>978</v>
      </c>
      <c r="B224" t="s">
        <v>978</v>
      </c>
      <c r="C224" t="s">
        <v>979</v>
      </c>
    </row>
    <row r="225" spans="1:3">
      <c r="A225" s="278" t="s">
        <v>980</v>
      </c>
      <c r="B225" t="s">
        <v>980</v>
      </c>
      <c r="C225" t="s">
        <v>981</v>
      </c>
    </row>
    <row r="226" spans="1:3">
      <c r="A226" s="278" t="s">
        <v>982</v>
      </c>
      <c r="B226" t="s">
        <v>982</v>
      </c>
      <c r="C226" t="s">
        <v>983</v>
      </c>
    </row>
    <row r="227" spans="1:3">
      <c r="A227" s="278" t="s">
        <v>984</v>
      </c>
      <c r="B227" t="s">
        <v>984</v>
      </c>
      <c r="C227" t="s">
        <v>985</v>
      </c>
    </row>
    <row r="228" spans="1:3">
      <c r="A228" s="278" t="s">
        <v>986</v>
      </c>
      <c r="B228" t="s">
        <v>986</v>
      </c>
      <c r="C228" t="s">
        <v>987</v>
      </c>
    </row>
    <row r="229" spans="1:3">
      <c r="A229" s="278" t="s">
        <v>988</v>
      </c>
      <c r="B229" t="s">
        <v>988</v>
      </c>
      <c r="C229" t="s">
        <v>989</v>
      </c>
    </row>
    <row r="230" spans="1:3">
      <c r="A230" s="278" t="s">
        <v>990</v>
      </c>
      <c r="B230" t="s">
        <v>990</v>
      </c>
      <c r="C230" t="s">
        <v>991</v>
      </c>
    </row>
    <row r="231" spans="1:3">
      <c r="A231" s="278" t="s">
        <v>992</v>
      </c>
      <c r="B231" t="s">
        <v>992</v>
      </c>
      <c r="C231" t="s">
        <v>993</v>
      </c>
    </row>
    <row r="232" spans="1:3">
      <c r="A232" s="278" t="s">
        <v>994</v>
      </c>
      <c r="B232" t="s">
        <v>994</v>
      </c>
      <c r="C232" t="s">
        <v>995</v>
      </c>
    </row>
    <row r="233" spans="1:3">
      <c r="A233" s="278" t="s">
        <v>996</v>
      </c>
      <c r="B233" t="s">
        <v>996</v>
      </c>
      <c r="C233" t="s">
        <v>997</v>
      </c>
    </row>
    <row r="234" spans="1:3">
      <c r="A234" s="278" t="s">
        <v>998</v>
      </c>
      <c r="B234" t="s">
        <v>998</v>
      </c>
      <c r="C234" t="s">
        <v>999</v>
      </c>
    </row>
    <row r="235" spans="1:3">
      <c r="A235" s="278" t="s">
        <v>1000</v>
      </c>
      <c r="B235" t="s">
        <v>1000</v>
      </c>
      <c r="C235" t="s">
        <v>1001</v>
      </c>
    </row>
    <row r="236" spans="1:3">
      <c r="A236" s="278" t="s">
        <v>1002</v>
      </c>
      <c r="B236" t="s">
        <v>1002</v>
      </c>
      <c r="C236" t="s">
        <v>1003</v>
      </c>
    </row>
    <row r="237" spans="1:3">
      <c r="A237" s="278" t="s">
        <v>1004</v>
      </c>
      <c r="B237" t="s">
        <v>1004</v>
      </c>
      <c r="C237" t="s">
        <v>1005</v>
      </c>
    </row>
    <row r="238" spans="1:3">
      <c r="A238" s="278" t="s">
        <v>1006</v>
      </c>
      <c r="B238" t="s">
        <v>1006</v>
      </c>
      <c r="C238" t="s">
        <v>1007</v>
      </c>
    </row>
    <row r="239" spans="1:3">
      <c r="A239" s="278" t="s">
        <v>1008</v>
      </c>
      <c r="B239" t="s">
        <v>1008</v>
      </c>
      <c r="C239" t="s">
        <v>1009</v>
      </c>
    </row>
    <row r="240" spans="1:3">
      <c r="A240" s="278" t="s">
        <v>1010</v>
      </c>
      <c r="B240" t="s">
        <v>1010</v>
      </c>
      <c r="C240" t="s">
        <v>1011</v>
      </c>
    </row>
    <row r="241" spans="1:3">
      <c r="A241" s="278" t="s">
        <v>1012</v>
      </c>
      <c r="B241" t="s">
        <v>1012</v>
      </c>
      <c r="C241" t="s">
        <v>1013</v>
      </c>
    </row>
    <row r="242" spans="1:3">
      <c r="A242" s="278" t="s">
        <v>1014</v>
      </c>
      <c r="B242" t="s">
        <v>1014</v>
      </c>
      <c r="C242" t="s">
        <v>1015</v>
      </c>
    </row>
    <row r="243" spans="1:3">
      <c r="A243" s="278" t="s">
        <v>1016</v>
      </c>
      <c r="B243" t="s">
        <v>1016</v>
      </c>
      <c r="C243" t="s">
        <v>1017</v>
      </c>
    </row>
    <row r="244" spans="1:3">
      <c r="A244" s="278" t="s">
        <v>1018</v>
      </c>
      <c r="B244" t="s">
        <v>1018</v>
      </c>
      <c r="C244" t="s">
        <v>1019</v>
      </c>
    </row>
    <row r="245" spans="1:3">
      <c r="A245" s="278" t="s">
        <v>1020</v>
      </c>
      <c r="B245" t="s">
        <v>1020</v>
      </c>
      <c r="C245" t="s">
        <v>1021</v>
      </c>
    </row>
    <row r="246" spans="1:3">
      <c r="A246" s="278" t="s">
        <v>1022</v>
      </c>
      <c r="B246" t="s">
        <v>1022</v>
      </c>
      <c r="C246" t="s">
        <v>1023</v>
      </c>
    </row>
    <row r="247" spans="1:3">
      <c r="A247" s="278" t="s">
        <v>1024</v>
      </c>
      <c r="B247" t="s">
        <v>1024</v>
      </c>
      <c r="C247" t="s">
        <v>1025</v>
      </c>
    </row>
    <row r="248" spans="1:3">
      <c r="A248" s="278" t="s">
        <v>1026</v>
      </c>
      <c r="B248" t="s">
        <v>1026</v>
      </c>
      <c r="C248" t="s">
        <v>1027</v>
      </c>
    </row>
    <row r="249" spans="1:3">
      <c r="A249" s="278" t="s">
        <v>1028</v>
      </c>
      <c r="B249" t="s">
        <v>1028</v>
      </c>
      <c r="C249" t="s">
        <v>1029</v>
      </c>
    </row>
    <row r="250" spans="1:3">
      <c r="A250" s="278" t="s">
        <v>1030</v>
      </c>
      <c r="B250" t="s">
        <v>1030</v>
      </c>
      <c r="C250" t="s">
        <v>1031</v>
      </c>
    </row>
    <row r="251" spans="1:3">
      <c r="A251" s="278" t="s">
        <v>1032</v>
      </c>
      <c r="B251" t="s">
        <v>1032</v>
      </c>
      <c r="C251" t="s">
        <v>1033</v>
      </c>
    </row>
    <row r="252" spans="1:3">
      <c r="A252" s="278" t="s">
        <v>1034</v>
      </c>
      <c r="B252" t="s">
        <v>1034</v>
      </c>
      <c r="C252" t="s">
        <v>1035</v>
      </c>
    </row>
    <row r="253" spans="1:3">
      <c r="A253" s="278" t="s">
        <v>1036</v>
      </c>
      <c r="B253" t="s">
        <v>1036</v>
      </c>
      <c r="C253" t="s">
        <v>1037</v>
      </c>
    </row>
    <row r="254" spans="1:3">
      <c r="A254" s="278" t="s">
        <v>1038</v>
      </c>
      <c r="B254" t="s">
        <v>1038</v>
      </c>
      <c r="C254" t="s">
        <v>1039</v>
      </c>
    </row>
    <row r="255" spans="1:3">
      <c r="A255" s="278" t="s">
        <v>1040</v>
      </c>
      <c r="B255" t="s">
        <v>1040</v>
      </c>
      <c r="C255" t="s">
        <v>1041</v>
      </c>
    </row>
    <row r="256" spans="1:3">
      <c r="A256" s="278" t="s">
        <v>1042</v>
      </c>
      <c r="B256" t="s">
        <v>1042</v>
      </c>
      <c r="C256" t="s">
        <v>1043</v>
      </c>
    </row>
    <row r="257" spans="1:3">
      <c r="A257" s="278" t="s">
        <v>1044</v>
      </c>
      <c r="B257" t="s">
        <v>1044</v>
      </c>
      <c r="C257" t="s">
        <v>1045</v>
      </c>
    </row>
    <row r="258" spans="1:3">
      <c r="A258" s="278" t="s">
        <v>1046</v>
      </c>
      <c r="B258" t="s">
        <v>1046</v>
      </c>
      <c r="C258" t="s">
        <v>1047</v>
      </c>
    </row>
    <row r="259" spans="1:3">
      <c r="A259" s="278" t="s">
        <v>1048</v>
      </c>
      <c r="B259" t="s">
        <v>1048</v>
      </c>
      <c r="C259" t="s">
        <v>1049</v>
      </c>
    </row>
    <row r="260" spans="1:3">
      <c r="A260" s="278" t="s">
        <v>1050</v>
      </c>
      <c r="B260" t="s">
        <v>1050</v>
      </c>
      <c r="C260" t="s">
        <v>1051</v>
      </c>
    </row>
    <row r="261" spans="1:3">
      <c r="A261" s="278" t="s">
        <v>1052</v>
      </c>
      <c r="B261" t="s">
        <v>1052</v>
      </c>
      <c r="C261" t="s">
        <v>1053</v>
      </c>
    </row>
    <row r="262" spans="1:3">
      <c r="A262" s="278" t="s">
        <v>1054</v>
      </c>
      <c r="B262" t="s">
        <v>1054</v>
      </c>
      <c r="C262" t="s">
        <v>1055</v>
      </c>
    </row>
    <row r="263" spans="1:3">
      <c r="A263" s="278" t="s">
        <v>1056</v>
      </c>
      <c r="B263" t="s">
        <v>1056</v>
      </c>
      <c r="C263" t="s">
        <v>1057</v>
      </c>
    </row>
    <row r="264" spans="1:3">
      <c r="A264" s="278" t="s">
        <v>1058</v>
      </c>
      <c r="B264" t="s">
        <v>1058</v>
      </c>
      <c r="C264" t="s">
        <v>1059</v>
      </c>
    </row>
    <row r="265" spans="1:3">
      <c r="A265" s="278" t="s">
        <v>1060</v>
      </c>
      <c r="B265" t="s">
        <v>1060</v>
      </c>
      <c r="C265" t="s">
        <v>1061</v>
      </c>
    </row>
    <row r="266" spans="1:3">
      <c r="A266" s="278" t="s">
        <v>1062</v>
      </c>
      <c r="B266" t="s">
        <v>1062</v>
      </c>
      <c r="C266" t="s">
        <v>1063</v>
      </c>
    </row>
    <row r="267" spans="1:3">
      <c r="A267" s="278" t="s">
        <v>1064</v>
      </c>
      <c r="B267" t="s">
        <v>1064</v>
      </c>
      <c r="C267" t="s">
        <v>1065</v>
      </c>
    </row>
    <row r="268" spans="1:3">
      <c r="A268" s="278" t="s">
        <v>1066</v>
      </c>
      <c r="B268" t="s">
        <v>1066</v>
      </c>
      <c r="C268" t="s">
        <v>1067</v>
      </c>
    </row>
    <row r="269" spans="1:3">
      <c r="A269" s="278" t="s">
        <v>1068</v>
      </c>
      <c r="B269" t="s">
        <v>1068</v>
      </c>
      <c r="C269" t="s">
        <v>1069</v>
      </c>
    </row>
    <row r="270" spans="1:3">
      <c r="A270" s="278" t="s">
        <v>1070</v>
      </c>
      <c r="B270" t="s">
        <v>1070</v>
      </c>
      <c r="C270" t="s">
        <v>1071</v>
      </c>
    </row>
    <row r="271" spans="1:3">
      <c r="A271" s="278" t="s">
        <v>1072</v>
      </c>
      <c r="B271" t="s">
        <v>1072</v>
      </c>
      <c r="C271" t="s">
        <v>1073</v>
      </c>
    </row>
    <row r="272" spans="1:3">
      <c r="A272" s="278" t="s">
        <v>1074</v>
      </c>
      <c r="B272" t="s">
        <v>1074</v>
      </c>
      <c r="C272" t="s">
        <v>1075</v>
      </c>
    </row>
    <row r="273" spans="1:3">
      <c r="A273" s="278" t="s">
        <v>1076</v>
      </c>
      <c r="B273" t="s">
        <v>1076</v>
      </c>
      <c r="C273" t="s">
        <v>1077</v>
      </c>
    </row>
    <row r="274" spans="1:3">
      <c r="A274" s="278" t="s">
        <v>1078</v>
      </c>
      <c r="B274" t="s">
        <v>1078</v>
      </c>
      <c r="C274" t="s">
        <v>1079</v>
      </c>
    </row>
    <row r="275" spans="1:3">
      <c r="A275" s="278" t="s">
        <v>1080</v>
      </c>
      <c r="B275" t="s">
        <v>1080</v>
      </c>
      <c r="C275" t="s">
        <v>1081</v>
      </c>
    </row>
    <row r="276" spans="1:3">
      <c r="A276" s="278" t="s">
        <v>1082</v>
      </c>
      <c r="B276" t="s">
        <v>1082</v>
      </c>
      <c r="C276" t="s">
        <v>1083</v>
      </c>
    </row>
    <row r="277" spans="1:3">
      <c r="A277" s="278" t="s">
        <v>1084</v>
      </c>
      <c r="B277" t="s">
        <v>1084</v>
      </c>
      <c r="C277" t="s">
        <v>1085</v>
      </c>
    </row>
    <row r="278" spans="1:3">
      <c r="A278" s="278" t="s">
        <v>1086</v>
      </c>
      <c r="B278" t="s">
        <v>1086</v>
      </c>
      <c r="C278" t="s">
        <v>1087</v>
      </c>
    </row>
    <row r="279" spans="1:3">
      <c r="A279" s="278" t="s">
        <v>1088</v>
      </c>
      <c r="B279" t="s">
        <v>1088</v>
      </c>
      <c r="C279" t="s">
        <v>1089</v>
      </c>
    </row>
    <row r="280" spans="1:3">
      <c r="A280" s="278" t="s">
        <v>1090</v>
      </c>
      <c r="B280" t="s">
        <v>1090</v>
      </c>
      <c r="C280" t="s">
        <v>1091</v>
      </c>
    </row>
    <row r="281" spans="1:3">
      <c r="A281" s="278" t="s">
        <v>1092</v>
      </c>
      <c r="B281" t="s">
        <v>1092</v>
      </c>
      <c r="C281" t="s">
        <v>1093</v>
      </c>
    </row>
    <row r="282" spans="1:3">
      <c r="A282" s="278" t="s">
        <v>1094</v>
      </c>
      <c r="B282" t="s">
        <v>1094</v>
      </c>
      <c r="C282" t="s">
        <v>1095</v>
      </c>
    </row>
    <row r="283" spans="1:3">
      <c r="A283" s="278" t="s">
        <v>1096</v>
      </c>
      <c r="B283" t="s">
        <v>1096</v>
      </c>
      <c r="C283" t="s">
        <v>1097</v>
      </c>
    </row>
    <row r="284" spans="1:3">
      <c r="A284" s="278" t="s">
        <v>1098</v>
      </c>
      <c r="B284" t="s">
        <v>1098</v>
      </c>
      <c r="C284" t="s">
        <v>1099</v>
      </c>
    </row>
    <row r="285" spans="1:3">
      <c r="A285" s="278" t="s">
        <v>1100</v>
      </c>
      <c r="B285" t="s">
        <v>1100</v>
      </c>
      <c r="C285" t="s">
        <v>1101</v>
      </c>
    </row>
    <row r="286" spans="1:3">
      <c r="A286" s="278" t="s">
        <v>1102</v>
      </c>
      <c r="B286" t="s">
        <v>1102</v>
      </c>
      <c r="C286" t="s">
        <v>1103</v>
      </c>
    </row>
    <row r="287" spans="1:3">
      <c r="A287" s="278" t="s">
        <v>1104</v>
      </c>
      <c r="B287" t="s">
        <v>1104</v>
      </c>
      <c r="C287" t="s">
        <v>1105</v>
      </c>
    </row>
    <row r="288" spans="1:3">
      <c r="A288" s="278" t="s">
        <v>1106</v>
      </c>
      <c r="B288" t="s">
        <v>1106</v>
      </c>
      <c r="C288" t="s">
        <v>1107</v>
      </c>
    </row>
    <row r="289" spans="1:3">
      <c r="A289" s="278" t="s">
        <v>1108</v>
      </c>
      <c r="B289" t="s">
        <v>1108</v>
      </c>
      <c r="C289" t="s">
        <v>1109</v>
      </c>
    </row>
    <row r="290" spans="1:3">
      <c r="A290" s="278" t="s">
        <v>1110</v>
      </c>
      <c r="B290" t="s">
        <v>1110</v>
      </c>
      <c r="C290" t="s">
        <v>1111</v>
      </c>
    </row>
    <row r="291" spans="1:3">
      <c r="A291" s="278" t="s">
        <v>1112</v>
      </c>
      <c r="B291" t="s">
        <v>1112</v>
      </c>
      <c r="C291" t="s">
        <v>1113</v>
      </c>
    </row>
    <row r="292" spans="1:3">
      <c r="A292" s="278" t="s">
        <v>1114</v>
      </c>
      <c r="B292" t="s">
        <v>1114</v>
      </c>
      <c r="C292" t="s">
        <v>1115</v>
      </c>
    </row>
    <row r="293" spans="1:3">
      <c r="A293" s="278" t="s">
        <v>1116</v>
      </c>
      <c r="B293" t="s">
        <v>1116</v>
      </c>
      <c r="C293" t="s">
        <v>1117</v>
      </c>
    </row>
    <row r="294" spans="1:3">
      <c r="A294" s="278" t="s">
        <v>1118</v>
      </c>
      <c r="B294" t="s">
        <v>1118</v>
      </c>
      <c r="C294" t="s">
        <v>1119</v>
      </c>
    </row>
    <row r="295" spans="1:3">
      <c r="A295" s="278" t="s">
        <v>1120</v>
      </c>
      <c r="B295" t="s">
        <v>1120</v>
      </c>
      <c r="C295" t="s">
        <v>1121</v>
      </c>
    </row>
    <row r="296" spans="1:3">
      <c r="A296" s="278" t="s">
        <v>1122</v>
      </c>
      <c r="B296" t="s">
        <v>1122</v>
      </c>
      <c r="C296" t="s">
        <v>1123</v>
      </c>
    </row>
    <row r="297" spans="1:3">
      <c r="A297" s="278" t="s">
        <v>1124</v>
      </c>
      <c r="B297" t="s">
        <v>1124</v>
      </c>
      <c r="C297" t="s">
        <v>1125</v>
      </c>
    </row>
    <row r="298" spans="1:3">
      <c r="A298" s="278" t="s">
        <v>1126</v>
      </c>
      <c r="B298" t="s">
        <v>1126</v>
      </c>
      <c r="C298" t="s">
        <v>1127</v>
      </c>
    </row>
    <row r="299" spans="1:3">
      <c r="A299" s="278" t="s">
        <v>1128</v>
      </c>
      <c r="B299" t="s">
        <v>1128</v>
      </c>
      <c r="C299" t="s">
        <v>1129</v>
      </c>
    </row>
    <row r="300" spans="1:3">
      <c r="A300" s="278" t="s">
        <v>1130</v>
      </c>
      <c r="B300" t="s">
        <v>1130</v>
      </c>
      <c r="C300" t="s">
        <v>1131</v>
      </c>
    </row>
    <row r="301" spans="1:3">
      <c r="A301" s="278" t="s">
        <v>1132</v>
      </c>
      <c r="B301" t="s">
        <v>1132</v>
      </c>
      <c r="C301" t="s">
        <v>1133</v>
      </c>
    </row>
    <row r="302" spans="1:3">
      <c r="A302" s="278" t="s">
        <v>1134</v>
      </c>
      <c r="B302" t="s">
        <v>1134</v>
      </c>
      <c r="C302" t="s">
        <v>1135</v>
      </c>
    </row>
    <row r="303" spans="1:3">
      <c r="A303" s="278" t="s">
        <v>1136</v>
      </c>
      <c r="B303" t="s">
        <v>1136</v>
      </c>
      <c r="C303" t="s">
        <v>1137</v>
      </c>
    </row>
    <row r="304" spans="1:3">
      <c r="A304" s="278" t="s">
        <v>1138</v>
      </c>
      <c r="B304" t="s">
        <v>1138</v>
      </c>
      <c r="C304" t="s">
        <v>1139</v>
      </c>
    </row>
    <row r="305" spans="1:3">
      <c r="A305" s="278" t="s">
        <v>1140</v>
      </c>
      <c r="B305" t="s">
        <v>1140</v>
      </c>
      <c r="C305" t="s">
        <v>1141</v>
      </c>
    </row>
    <row r="306" spans="1:3">
      <c r="A306" s="278" t="s">
        <v>1142</v>
      </c>
      <c r="B306" t="s">
        <v>1142</v>
      </c>
      <c r="C306" t="s">
        <v>1143</v>
      </c>
    </row>
    <row r="307" spans="1:3">
      <c r="A307" s="278" t="s">
        <v>1144</v>
      </c>
      <c r="B307" t="s">
        <v>1144</v>
      </c>
      <c r="C307" t="s">
        <v>1145</v>
      </c>
    </row>
    <row r="308" spans="1:3">
      <c r="A308" s="278" t="s">
        <v>1146</v>
      </c>
      <c r="B308" t="s">
        <v>1146</v>
      </c>
      <c r="C308" t="s">
        <v>1147</v>
      </c>
    </row>
    <row r="309" spans="1:3">
      <c r="A309" s="278" t="s">
        <v>1148</v>
      </c>
      <c r="B309" t="s">
        <v>1148</v>
      </c>
      <c r="C309" t="s">
        <v>1149</v>
      </c>
    </row>
    <row r="310" spans="1:3">
      <c r="A310" s="278" t="s">
        <v>1150</v>
      </c>
      <c r="B310" t="s">
        <v>1150</v>
      </c>
      <c r="C310" t="s">
        <v>1151</v>
      </c>
    </row>
    <row r="311" spans="1:3">
      <c r="A311" s="278" t="s">
        <v>1152</v>
      </c>
      <c r="B311" t="s">
        <v>1152</v>
      </c>
      <c r="C311" t="s">
        <v>1153</v>
      </c>
    </row>
    <row r="312" spans="1:3">
      <c r="A312" s="278" t="s">
        <v>1154</v>
      </c>
      <c r="B312" t="s">
        <v>1154</v>
      </c>
      <c r="C312" t="s">
        <v>1155</v>
      </c>
    </row>
    <row r="313" spans="1:3">
      <c r="A313" s="278" t="s">
        <v>1156</v>
      </c>
      <c r="B313" t="s">
        <v>1156</v>
      </c>
      <c r="C313" t="s">
        <v>1157</v>
      </c>
    </row>
    <row r="314" spans="1:3">
      <c r="A314" s="278" t="s">
        <v>1158</v>
      </c>
      <c r="B314" t="s">
        <v>1158</v>
      </c>
      <c r="C314" t="s">
        <v>1159</v>
      </c>
    </row>
    <row r="315" spans="1:3">
      <c r="A315" s="278" t="s">
        <v>1160</v>
      </c>
      <c r="B315" t="s">
        <v>1160</v>
      </c>
      <c r="C315" t="s">
        <v>1161</v>
      </c>
    </row>
    <row r="316" spans="1:3">
      <c r="A316" s="278" t="s">
        <v>1162</v>
      </c>
      <c r="B316" t="s">
        <v>1162</v>
      </c>
      <c r="C316" t="s">
        <v>1163</v>
      </c>
    </row>
    <row r="317" spans="1:3">
      <c r="A317" s="278" t="s">
        <v>1164</v>
      </c>
      <c r="B317" t="s">
        <v>1164</v>
      </c>
      <c r="C317" t="s">
        <v>1165</v>
      </c>
    </row>
    <row r="318" spans="1:3">
      <c r="A318" s="278" t="s">
        <v>1166</v>
      </c>
      <c r="B318" t="s">
        <v>1166</v>
      </c>
      <c r="C318" t="s">
        <v>1167</v>
      </c>
    </row>
    <row r="319" spans="1:3">
      <c r="A319" s="278" t="s">
        <v>1168</v>
      </c>
      <c r="B319" t="s">
        <v>1168</v>
      </c>
      <c r="C319" t="s">
        <v>1169</v>
      </c>
    </row>
    <row r="320" spans="1:3">
      <c r="A320" s="278" t="s">
        <v>1170</v>
      </c>
      <c r="B320" t="s">
        <v>1170</v>
      </c>
      <c r="C320" t="s">
        <v>1171</v>
      </c>
    </row>
    <row r="321" spans="1:3">
      <c r="A321" s="278" t="s">
        <v>1172</v>
      </c>
      <c r="B321" t="s">
        <v>1172</v>
      </c>
      <c r="C321" t="s">
        <v>1173</v>
      </c>
    </row>
    <row r="322" spans="1:3">
      <c r="A322" s="278" t="s">
        <v>1174</v>
      </c>
      <c r="B322" t="s">
        <v>1174</v>
      </c>
      <c r="C322" t="s">
        <v>1175</v>
      </c>
    </row>
    <row r="323" spans="1:3">
      <c r="A323" s="278" t="s">
        <v>1176</v>
      </c>
      <c r="B323" t="s">
        <v>1176</v>
      </c>
      <c r="C323" t="s">
        <v>1177</v>
      </c>
    </row>
    <row r="324" spans="1:3">
      <c r="A324" s="278" t="s">
        <v>1178</v>
      </c>
      <c r="B324" t="s">
        <v>1178</v>
      </c>
      <c r="C324" t="s">
        <v>1179</v>
      </c>
    </row>
    <row r="325" spans="1:3">
      <c r="A325" s="278" t="s">
        <v>1180</v>
      </c>
      <c r="B325" t="s">
        <v>1180</v>
      </c>
      <c r="C325" t="s">
        <v>1181</v>
      </c>
    </row>
    <row r="326" spans="1:3">
      <c r="A326" s="278" t="s">
        <v>1182</v>
      </c>
      <c r="B326" t="s">
        <v>1182</v>
      </c>
      <c r="C326" t="s">
        <v>1183</v>
      </c>
    </row>
    <row r="327" spans="1:3">
      <c r="A327" s="278" t="s">
        <v>1184</v>
      </c>
      <c r="B327" t="s">
        <v>1184</v>
      </c>
      <c r="C327" t="s">
        <v>1185</v>
      </c>
    </row>
    <row r="328" spans="1:3">
      <c r="A328" s="278" t="s">
        <v>1186</v>
      </c>
      <c r="B328" t="s">
        <v>1186</v>
      </c>
      <c r="C328" t="s">
        <v>1187</v>
      </c>
    </row>
    <row r="329" spans="1:3">
      <c r="A329" s="278" t="s">
        <v>1188</v>
      </c>
      <c r="B329" t="s">
        <v>1188</v>
      </c>
      <c r="C329" t="s">
        <v>1189</v>
      </c>
    </row>
    <row r="330" spans="1:3">
      <c r="A330" s="278" t="s">
        <v>1190</v>
      </c>
      <c r="B330" t="s">
        <v>1190</v>
      </c>
      <c r="C330" t="s">
        <v>1191</v>
      </c>
    </row>
    <row r="331" spans="1:3">
      <c r="A331" s="278" t="s">
        <v>1192</v>
      </c>
      <c r="B331" t="s">
        <v>1192</v>
      </c>
      <c r="C331" t="s">
        <v>1193</v>
      </c>
    </row>
    <row r="332" spans="1:3">
      <c r="A332" s="278" t="s">
        <v>1194</v>
      </c>
      <c r="B332" t="s">
        <v>1194</v>
      </c>
      <c r="C332" t="s">
        <v>1195</v>
      </c>
    </row>
    <row r="333" spans="1:3">
      <c r="A333" s="278" t="s">
        <v>1196</v>
      </c>
      <c r="B333" t="s">
        <v>1196</v>
      </c>
      <c r="C333" t="s">
        <v>1197</v>
      </c>
    </row>
    <row r="334" spans="1:3">
      <c r="A334" s="278" t="s">
        <v>1198</v>
      </c>
      <c r="B334" t="s">
        <v>1198</v>
      </c>
      <c r="C334" t="s">
        <v>1199</v>
      </c>
    </row>
    <row r="335" spans="1:3">
      <c r="A335" s="278" t="s">
        <v>1200</v>
      </c>
      <c r="B335" t="s">
        <v>1200</v>
      </c>
      <c r="C335" t="s">
        <v>1201</v>
      </c>
    </row>
    <row r="336" spans="1:3">
      <c r="A336" s="278" t="s">
        <v>1202</v>
      </c>
      <c r="B336" t="s">
        <v>1202</v>
      </c>
      <c r="C336" t="s">
        <v>1203</v>
      </c>
    </row>
    <row r="337" spans="1:3">
      <c r="A337" s="278" t="s">
        <v>1204</v>
      </c>
      <c r="B337" t="s">
        <v>1204</v>
      </c>
      <c r="C337" t="s">
        <v>1205</v>
      </c>
    </row>
    <row r="338" spans="1:3">
      <c r="A338" s="278" t="s">
        <v>1206</v>
      </c>
      <c r="B338" t="s">
        <v>1206</v>
      </c>
      <c r="C338" t="s">
        <v>1207</v>
      </c>
    </row>
    <row r="339" spans="1:3">
      <c r="A339" s="278" t="s">
        <v>1208</v>
      </c>
      <c r="B339" t="s">
        <v>1208</v>
      </c>
      <c r="C339" t="s">
        <v>1209</v>
      </c>
    </row>
    <row r="340" spans="1:3">
      <c r="A340" s="278" t="s">
        <v>1210</v>
      </c>
      <c r="B340" t="s">
        <v>1210</v>
      </c>
      <c r="C340" t="s">
        <v>1211</v>
      </c>
    </row>
    <row r="341" spans="1:3">
      <c r="A341" s="278" t="s">
        <v>1212</v>
      </c>
      <c r="B341" t="s">
        <v>1212</v>
      </c>
      <c r="C341" t="s">
        <v>1213</v>
      </c>
    </row>
    <row r="342" spans="1:3">
      <c r="A342" s="278" t="s">
        <v>1214</v>
      </c>
      <c r="B342" t="s">
        <v>1214</v>
      </c>
      <c r="C342" t="s">
        <v>1215</v>
      </c>
    </row>
    <row r="343" spans="1:3">
      <c r="A343" s="278" t="s">
        <v>1216</v>
      </c>
      <c r="B343" t="s">
        <v>1216</v>
      </c>
      <c r="C343" t="s">
        <v>1217</v>
      </c>
    </row>
    <row r="344" spans="1:3">
      <c r="A344" s="278" t="s">
        <v>1218</v>
      </c>
      <c r="B344" t="s">
        <v>1218</v>
      </c>
      <c r="C344" t="s">
        <v>1219</v>
      </c>
    </row>
    <row r="345" spans="1:3">
      <c r="A345" s="278" t="s">
        <v>1220</v>
      </c>
      <c r="B345" t="s">
        <v>1220</v>
      </c>
      <c r="C345" t="s">
        <v>1221</v>
      </c>
    </row>
    <row r="346" spans="1:3">
      <c r="A346" s="278" t="s">
        <v>1222</v>
      </c>
      <c r="B346" t="s">
        <v>1222</v>
      </c>
      <c r="C346" t="s">
        <v>1223</v>
      </c>
    </row>
    <row r="347" spans="1:3">
      <c r="A347" s="278" t="s">
        <v>1224</v>
      </c>
      <c r="B347" t="s">
        <v>1224</v>
      </c>
      <c r="C347" t="s">
        <v>1225</v>
      </c>
    </row>
    <row r="348" spans="1:3">
      <c r="A348" s="278" t="s">
        <v>1226</v>
      </c>
      <c r="B348" t="s">
        <v>1226</v>
      </c>
      <c r="C348" t="s">
        <v>1227</v>
      </c>
    </row>
    <row r="349" spans="1:3">
      <c r="A349" s="278" t="s">
        <v>1228</v>
      </c>
      <c r="B349" t="s">
        <v>1228</v>
      </c>
      <c r="C349" t="s">
        <v>1229</v>
      </c>
    </row>
    <row r="350" spans="1:3">
      <c r="A350" s="278" t="s">
        <v>1230</v>
      </c>
      <c r="B350" t="s">
        <v>1230</v>
      </c>
      <c r="C350" t="s">
        <v>1231</v>
      </c>
    </row>
    <row r="351" spans="1:3">
      <c r="A351" s="278" t="s">
        <v>1232</v>
      </c>
      <c r="B351" t="s">
        <v>1232</v>
      </c>
      <c r="C351" t="s">
        <v>1233</v>
      </c>
    </row>
    <row r="352" spans="1:3">
      <c r="A352" s="278" t="s">
        <v>1234</v>
      </c>
      <c r="B352" t="s">
        <v>1234</v>
      </c>
      <c r="C352" t="s">
        <v>1235</v>
      </c>
    </row>
    <row r="353" spans="1:3">
      <c r="A353" s="278" t="s">
        <v>1236</v>
      </c>
      <c r="B353" t="s">
        <v>1236</v>
      </c>
      <c r="C353" t="s">
        <v>1237</v>
      </c>
    </row>
    <row r="354" spans="1:3">
      <c r="A354" s="278" t="s">
        <v>1238</v>
      </c>
      <c r="B354" t="s">
        <v>1238</v>
      </c>
      <c r="C354" t="s">
        <v>1239</v>
      </c>
    </row>
    <row r="355" spans="1:3">
      <c r="A355" s="278" t="s">
        <v>1240</v>
      </c>
      <c r="B355" t="s">
        <v>1240</v>
      </c>
      <c r="C355" t="s">
        <v>1241</v>
      </c>
    </row>
    <row r="356" spans="1:3">
      <c r="A356" s="278" t="s">
        <v>1242</v>
      </c>
      <c r="B356" t="s">
        <v>1242</v>
      </c>
      <c r="C356" t="s">
        <v>1243</v>
      </c>
    </row>
    <row r="357" spans="1:3">
      <c r="A357" s="278" t="s">
        <v>1244</v>
      </c>
      <c r="B357" t="s">
        <v>1244</v>
      </c>
      <c r="C357" t="s">
        <v>1245</v>
      </c>
    </row>
    <row r="358" spans="1:3">
      <c r="A358" s="278" t="s">
        <v>1246</v>
      </c>
      <c r="B358" t="s">
        <v>1246</v>
      </c>
      <c r="C358" t="s">
        <v>1247</v>
      </c>
    </row>
    <row r="359" spans="1:3">
      <c r="A359" s="278" t="s">
        <v>1248</v>
      </c>
      <c r="B359" t="s">
        <v>1248</v>
      </c>
      <c r="C359" t="s">
        <v>1249</v>
      </c>
    </row>
    <row r="360" spans="1:3">
      <c r="A360" s="278" t="s">
        <v>1250</v>
      </c>
      <c r="B360" t="s">
        <v>1250</v>
      </c>
      <c r="C360" t="s">
        <v>1251</v>
      </c>
    </row>
    <row r="361" spans="1:3">
      <c r="A361" s="278" t="s">
        <v>1252</v>
      </c>
      <c r="B361" t="s">
        <v>1252</v>
      </c>
      <c r="C361" t="s">
        <v>1253</v>
      </c>
    </row>
    <row r="362" spans="1:3">
      <c r="A362" s="278" t="s">
        <v>1254</v>
      </c>
      <c r="B362" t="s">
        <v>1254</v>
      </c>
      <c r="C362" t="s">
        <v>1255</v>
      </c>
    </row>
    <row r="363" spans="1:3">
      <c r="A363" s="278" t="s">
        <v>1256</v>
      </c>
      <c r="B363" t="s">
        <v>1256</v>
      </c>
      <c r="C363" t="s">
        <v>1257</v>
      </c>
    </row>
    <row r="364" spans="1:3">
      <c r="A364" s="278" t="s">
        <v>1258</v>
      </c>
      <c r="B364" t="s">
        <v>1258</v>
      </c>
      <c r="C364" t="s">
        <v>1259</v>
      </c>
    </row>
    <row r="365" spans="1:3">
      <c r="A365" s="278" t="s">
        <v>1260</v>
      </c>
      <c r="B365" t="s">
        <v>1260</v>
      </c>
      <c r="C365" t="s">
        <v>1261</v>
      </c>
    </row>
    <row r="366" spans="1:3">
      <c r="A366" s="278" t="s">
        <v>1262</v>
      </c>
      <c r="B366" t="s">
        <v>1262</v>
      </c>
      <c r="C366" t="s">
        <v>1263</v>
      </c>
    </row>
    <row r="367" spans="1:3">
      <c r="A367" s="278" t="s">
        <v>1264</v>
      </c>
      <c r="B367" t="s">
        <v>1264</v>
      </c>
      <c r="C367" t="s">
        <v>1265</v>
      </c>
    </row>
    <row r="368" spans="1:3">
      <c r="A368" s="278" t="s">
        <v>1266</v>
      </c>
      <c r="B368" t="s">
        <v>1266</v>
      </c>
      <c r="C368" t="s">
        <v>1267</v>
      </c>
    </row>
    <row r="369" spans="1:3">
      <c r="A369" s="278" t="s">
        <v>1268</v>
      </c>
      <c r="B369" t="s">
        <v>1268</v>
      </c>
      <c r="C369" t="s">
        <v>1269</v>
      </c>
    </row>
    <row r="370" spans="1:3">
      <c r="A370" s="278" t="s">
        <v>1270</v>
      </c>
      <c r="B370" t="s">
        <v>1270</v>
      </c>
      <c r="C370" t="s">
        <v>1271</v>
      </c>
    </row>
    <row r="371" spans="1:3">
      <c r="A371" s="278" t="s">
        <v>1272</v>
      </c>
      <c r="B371" t="s">
        <v>1272</v>
      </c>
      <c r="C371" t="s">
        <v>1273</v>
      </c>
    </row>
    <row r="372" spans="1:3">
      <c r="A372" s="278" t="s">
        <v>1274</v>
      </c>
      <c r="B372" t="s">
        <v>1274</v>
      </c>
      <c r="C372" t="s">
        <v>1275</v>
      </c>
    </row>
    <row r="373" spans="1:3">
      <c r="A373" s="278" t="s">
        <v>1276</v>
      </c>
      <c r="B373" t="s">
        <v>1276</v>
      </c>
      <c r="C373" t="s">
        <v>1277</v>
      </c>
    </row>
    <row r="374" spans="1:3">
      <c r="A374" s="278" t="s">
        <v>1278</v>
      </c>
      <c r="B374" t="s">
        <v>1278</v>
      </c>
      <c r="C374" t="s">
        <v>1279</v>
      </c>
    </row>
    <row r="375" spans="1:3">
      <c r="A375" s="278" t="s">
        <v>1280</v>
      </c>
      <c r="B375" t="s">
        <v>1280</v>
      </c>
      <c r="C375" t="s">
        <v>1281</v>
      </c>
    </row>
    <row r="376" spans="1:3">
      <c r="A376" s="278" t="s">
        <v>1282</v>
      </c>
      <c r="B376" t="s">
        <v>1282</v>
      </c>
      <c r="C376" t="s">
        <v>1283</v>
      </c>
    </row>
    <row r="377" spans="1:3">
      <c r="A377" s="278" t="s">
        <v>1284</v>
      </c>
      <c r="B377" t="s">
        <v>1284</v>
      </c>
      <c r="C377" t="s">
        <v>1285</v>
      </c>
    </row>
    <row r="378" spans="1:3">
      <c r="A378" s="278" t="s">
        <v>1286</v>
      </c>
      <c r="B378" t="s">
        <v>1286</v>
      </c>
      <c r="C378" t="s">
        <v>1287</v>
      </c>
    </row>
    <row r="379" spans="1:3">
      <c r="A379" s="278" t="s">
        <v>1288</v>
      </c>
      <c r="B379" t="s">
        <v>1288</v>
      </c>
      <c r="C379" t="s">
        <v>1289</v>
      </c>
    </row>
    <row r="380" spans="1:3">
      <c r="A380" s="278" t="s">
        <v>1290</v>
      </c>
      <c r="B380" t="s">
        <v>1290</v>
      </c>
      <c r="C380" t="s">
        <v>1291</v>
      </c>
    </row>
    <row r="381" spans="1:3">
      <c r="A381" s="278" t="s">
        <v>1292</v>
      </c>
      <c r="B381" t="s">
        <v>1292</v>
      </c>
      <c r="C381" t="s">
        <v>1293</v>
      </c>
    </row>
    <row r="382" spans="1:3">
      <c r="A382" s="278" t="s">
        <v>1294</v>
      </c>
      <c r="B382" t="s">
        <v>1294</v>
      </c>
      <c r="C382" t="s">
        <v>1295</v>
      </c>
    </row>
    <row r="383" spans="1:3">
      <c r="A383" s="278" t="s">
        <v>1296</v>
      </c>
      <c r="B383" t="s">
        <v>1296</v>
      </c>
      <c r="C383" t="s">
        <v>1297</v>
      </c>
    </row>
    <row r="384" spans="1:3">
      <c r="A384" s="278" t="s">
        <v>1298</v>
      </c>
      <c r="B384" t="s">
        <v>1298</v>
      </c>
      <c r="C384" t="s">
        <v>1299</v>
      </c>
    </row>
    <row r="385" spans="1:3">
      <c r="A385" s="278" t="s">
        <v>1300</v>
      </c>
      <c r="B385" t="s">
        <v>1300</v>
      </c>
      <c r="C385" t="s">
        <v>1301</v>
      </c>
    </row>
  </sheetData>
  <sortState xmlns:xlrd2="http://schemas.microsoft.com/office/spreadsheetml/2017/richdata2" ref="A2:D387">
    <sortCondition ref="D1:D387"/>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6</vt:i4>
      </vt:variant>
    </vt:vector>
  </HeadingPairs>
  <TitlesOfParts>
    <vt:vector size="17" baseType="lpstr">
      <vt:lpstr>prep_table</vt:lpstr>
      <vt:lpstr>10X_table</vt:lpstr>
      <vt:lpstr>FLEX_table</vt:lpstr>
      <vt:lpstr>3' GEMX</vt:lpstr>
      <vt:lpstr>3'_OCM_4plex</vt:lpstr>
      <vt:lpstr>Flex_GEMX_v2</vt:lpstr>
      <vt:lpstr>5'_GEMX</vt:lpstr>
      <vt:lpstr>5'_OCM_4plex</vt:lpstr>
      <vt:lpstr>Equal_Pooling_RevB</vt:lpstr>
      <vt:lpstr>Pooling</vt:lpstr>
      <vt:lpstr>Sheet1</vt:lpstr>
      <vt:lpstr>'3'' GEMX'!_Hlk114062637</vt:lpstr>
      <vt:lpstr>'3''_OCM_4plex'!_Hlk114062637</vt:lpstr>
      <vt:lpstr>'5''_GEMX'!_Hlk114062637</vt:lpstr>
      <vt:lpstr>'5''_OCM_4plex'!_Hlk114062637</vt:lpstr>
      <vt:lpstr>Flex_GEMX_v2!_Hlk114062637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2026-07-10T14:41:51Z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