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drawings/drawing2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riegler\Documents\limbless-app\services\opengsync-app\static\resources\templates\library_prep\"/>
    </mc:Choice>
  </mc:AlternateContent>
  <xr:revisionPtr revIDLastSave="0" documentId="13_ncr:1_{7E1E0ACC-AAE8-4CDF-BC62-BB25BF6A2600}" xr6:coauthVersionLast="47" xr6:coauthVersionMax="47" xr10:uidLastSave="{00000000-0000-0000-0000-000000000000}"/>
  <bookViews>
    <workbookView xWindow="-120" yWindow="-120" windowWidth="29040" windowHeight="17520" activeTab="1" xr2:uid="{B38823E2-9AAF-4849-A302-784C5AB9E0F5}"/>
  </bookViews>
  <sheets>
    <sheet name="prep_table" sheetId="27" r:id="rId1"/>
    <sheet name="polyA_express" sheetId="33" r:id="rId2"/>
    <sheet name="rRNA_Depletion_express" sheetId="3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27" l="1"/>
  <c r="AA4" i="27"/>
  <c r="AA5" i="27"/>
  <c r="AA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3" i="27"/>
  <c r="AA24" i="27"/>
  <c r="AA25" i="27"/>
  <c r="AA26" i="27"/>
  <c r="AA27" i="27"/>
  <c r="AA28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42" i="27"/>
  <c r="AA43" i="27"/>
  <c r="AA44" i="27"/>
  <c r="AA45" i="27"/>
  <c r="AA46" i="27"/>
  <c r="AA47" i="27"/>
  <c r="AA48" i="27"/>
  <c r="AA49" i="27"/>
  <c r="AA50" i="27"/>
  <c r="AA51" i="27"/>
  <c r="AA52" i="27"/>
  <c r="AA53" i="27"/>
  <c r="AA54" i="27"/>
  <c r="AA55" i="27"/>
  <c r="AA56" i="27"/>
  <c r="AA57" i="27"/>
  <c r="AA58" i="27"/>
  <c r="AA59" i="27"/>
  <c r="AA60" i="27"/>
  <c r="AA61" i="27"/>
  <c r="AA62" i="27"/>
  <c r="AA63" i="27"/>
  <c r="AA64" i="27"/>
  <c r="AA65" i="27"/>
  <c r="AA66" i="27"/>
  <c r="AA67" i="27"/>
  <c r="AA68" i="27"/>
  <c r="AA69" i="27"/>
  <c r="AA70" i="27"/>
  <c r="AA71" i="27"/>
  <c r="AA72" i="27"/>
  <c r="AA73" i="27"/>
  <c r="AA74" i="27"/>
  <c r="AA75" i="27"/>
  <c r="AA76" i="27"/>
  <c r="AA77" i="27"/>
  <c r="AA78" i="27"/>
  <c r="AA79" i="27"/>
  <c r="AA80" i="27"/>
  <c r="AA81" i="27"/>
  <c r="AA82" i="27"/>
  <c r="AA83" i="27"/>
  <c r="AA84" i="27"/>
  <c r="AA85" i="27"/>
  <c r="AA86" i="27"/>
  <c r="AA87" i="27"/>
  <c r="AA88" i="27"/>
  <c r="AA89" i="27"/>
  <c r="AA90" i="27"/>
  <c r="AA91" i="27"/>
  <c r="AA92" i="27"/>
  <c r="AA93" i="27"/>
  <c r="AA94" i="27"/>
  <c r="AA95" i="27"/>
  <c r="AA96" i="27"/>
  <c r="AA97" i="27"/>
  <c r="AA2" i="27"/>
  <c r="F76" i="33"/>
  <c r="F133" i="33"/>
  <c r="F132" i="33"/>
  <c r="F122" i="33"/>
  <c r="F123" i="33" s="1"/>
  <c r="F99" i="33"/>
  <c r="F100" i="33" s="1"/>
  <c r="F98" i="33"/>
  <c r="F88" i="33"/>
  <c r="F89" i="33" s="1"/>
  <c r="F79" i="33"/>
  <c r="F78" i="33"/>
  <c r="N3" i="27"/>
  <c r="N4" i="27"/>
  <c r="N5" i="27"/>
  <c r="N6" i="27"/>
  <c r="C37" i="33" s="1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F36" i="33" s="1"/>
  <c r="N30" i="27"/>
  <c r="F37" i="33" s="1"/>
  <c r="N31" i="27"/>
  <c r="F38" i="33" s="1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I39" i="33" s="1"/>
  <c r="N57" i="27"/>
  <c r="N58" i="27"/>
  <c r="N59" i="27"/>
  <c r="N60" i="27"/>
  <c r="J35" i="33" s="1"/>
  <c r="N61" i="27"/>
  <c r="N62" i="27"/>
  <c r="N63" i="27"/>
  <c r="N64" i="27"/>
  <c r="N65" i="27"/>
  <c r="N66" i="27"/>
  <c r="N67" i="27"/>
  <c r="N68" i="27"/>
  <c r="N69" i="27"/>
  <c r="N70" i="27"/>
  <c r="N71" i="27"/>
  <c r="N72" i="27"/>
  <c r="N73" i="27"/>
  <c r="N74" i="27"/>
  <c r="N75" i="27"/>
  <c r="N76" i="27"/>
  <c r="N77" i="27"/>
  <c r="N78" i="27"/>
  <c r="N79" i="27"/>
  <c r="N80" i="27"/>
  <c r="N81" i="27"/>
  <c r="N82" i="27"/>
  <c r="N83" i="27"/>
  <c r="N84" i="27"/>
  <c r="N85" i="27"/>
  <c r="N86" i="27"/>
  <c r="N87" i="27"/>
  <c r="N88" i="27"/>
  <c r="N89" i="27"/>
  <c r="N90" i="27"/>
  <c r="N91" i="27"/>
  <c r="N92" i="27"/>
  <c r="N93" i="27"/>
  <c r="N36" i="33" s="1"/>
  <c r="N94" i="27"/>
  <c r="N37" i="33" s="1"/>
  <c r="N95" i="27"/>
  <c r="N38" i="33" s="1"/>
  <c r="N96" i="27"/>
  <c r="N39" i="33" s="1"/>
  <c r="N97" i="27"/>
  <c r="N40" i="33" s="1"/>
  <c r="F44" i="33"/>
  <c r="N2" i="27"/>
  <c r="C33" i="33" s="1"/>
  <c r="P3" i="27"/>
  <c r="P4" i="27"/>
  <c r="P5" i="27"/>
  <c r="P6" i="27"/>
  <c r="P7" i="27"/>
  <c r="P8" i="27"/>
  <c r="P9" i="27"/>
  <c r="P10" i="27"/>
  <c r="P11" i="27"/>
  <c r="P12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P27" i="27"/>
  <c r="P28" i="27"/>
  <c r="P29" i="27"/>
  <c r="P30" i="27"/>
  <c r="P31" i="27"/>
  <c r="P32" i="27"/>
  <c r="P33" i="27"/>
  <c r="P34" i="27"/>
  <c r="P35" i="27"/>
  <c r="P36" i="27"/>
  <c r="P37" i="27"/>
  <c r="P38" i="27"/>
  <c r="P39" i="27"/>
  <c r="P40" i="27"/>
  <c r="P41" i="27"/>
  <c r="P42" i="27"/>
  <c r="P43" i="27"/>
  <c r="P44" i="27"/>
  <c r="P45" i="27"/>
  <c r="P46" i="27"/>
  <c r="P47" i="27"/>
  <c r="P48" i="27"/>
  <c r="P49" i="27"/>
  <c r="P50" i="27"/>
  <c r="P51" i="27"/>
  <c r="P52" i="27"/>
  <c r="P53" i="27"/>
  <c r="P54" i="27"/>
  <c r="P55" i="27"/>
  <c r="P56" i="27"/>
  <c r="P57" i="27"/>
  <c r="P58" i="27"/>
  <c r="P59" i="27"/>
  <c r="P60" i="27"/>
  <c r="P61" i="27"/>
  <c r="P62" i="27"/>
  <c r="P63" i="27"/>
  <c r="P64" i="27"/>
  <c r="P65" i="27"/>
  <c r="P66" i="27"/>
  <c r="P67" i="27"/>
  <c r="P68" i="27"/>
  <c r="P69" i="27"/>
  <c r="P70" i="27"/>
  <c r="P71" i="27"/>
  <c r="P72" i="27"/>
  <c r="P73" i="27"/>
  <c r="P74" i="27"/>
  <c r="P75" i="27"/>
  <c r="P76" i="27"/>
  <c r="P77" i="27"/>
  <c r="P78" i="27"/>
  <c r="P79" i="27"/>
  <c r="P80" i="27"/>
  <c r="P81" i="27"/>
  <c r="P82" i="27"/>
  <c r="P83" i="27"/>
  <c r="P84" i="27"/>
  <c r="P85" i="27"/>
  <c r="P86" i="27"/>
  <c r="P87" i="27"/>
  <c r="P88" i="27"/>
  <c r="P89" i="27"/>
  <c r="P90" i="27"/>
  <c r="P91" i="27"/>
  <c r="P92" i="27"/>
  <c r="P93" i="27"/>
  <c r="P94" i="27"/>
  <c r="P95" i="27"/>
  <c r="P96" i="27"/>
  <c r="P97" i="27"/>
  <c r="P2" i="27"/>
  <c r="L3" i="27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65" i="27"/>
  <c r="L66" i="27"/>
  <c r="L67" i="27"/>
  <c r="L68" i="27"/>
  <c r="L69" i="27"/>
  <c r="L70" i="27"/>
  <c r="L71" i="27"/>
  <c r="L72" i="27"/>
  <c r="L73" i="27"/>
  <c r="L74" i="27"/>
  <c r="L75" i="27"/>
  <c r="L76" i="27"/>
  <c r="L77" i="27"/>
  <c r="L78" i="27"/>
  <c r="L79" i="27"/>
  <c r="L80" i="27"/>
  <c r="L81" i="27"/>
  <c r="L82" i="27"/>
  <c r="L83" i="27"/>
  <c r="L84" i="27"/>
  <c r="L85" i="27"/>
  <c r="L86" i="27"/>
  <c r="L87" i="27"/>
  <c r="L88" i="27"/>
  <c r="L89" i="27"/>
  <c r="L90" i="27"/>
  <c r="L91" i="27"/>
  <c r="L92" i="27"/>
  <c r="L93" i="27"/>
  <c r="L94" i="27"/>
  <c r="L95" i="27"/>
  <c r="L96" i="27"/>
  <c r="L97" i="27"/>
  <c r="L2" i="27"/>
  <c r="F6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E134" i="33"/>
  <c r="F130" i="33"/>
  <c r="E123" i="33"/>
  <c r="F119" i="33"/>
  <c r="F96" i="33"/>
  <c r="E100" i="33"/>
  <c r="F86" i="33"/>
  <c r="E89" i="33"/>
  <c r="E80" i="33"/>
  <c r="F58" i="33"/>
  <c r="F52" i="33"/>
  <c r="F43" i="33"/>
  <c r="C34" i="34"/>
  <c r="D38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I38" i="33" l="1"/>
  <c r="N35" i="33"/>
  <c r="N34" i="33"/>
  <c r="M40" i="34"/>
  <c r="M39" i="34"/>
  <c r="M38" i="34"/>
  <c r="M37" i="34"/>
  <c r="M36" i="34"/>
  <c r="L35" i="34"/>
  <c r="K37" i="33"/>
  <c r="K34" i="34"/>
  <c r="I34" i="34"/>
  <c r="E33" i="33"/>
  <c r="D37" i="33"/>
  <c r="I40" i="33"/>
  <c r="H36" i="33"/>
  <c r="G40" i="33"/>
  <c r="G36" i="33"/>
  <c r="G35" i="33"/>
  <c r="K39" i="33"/>
  <c r="K34" i="33"/>
  <c r="E36" i="33"/>
  <c r="E34" i="33"/>
  <c r="F39" i="33"/>
  <c r="E40" i="33"/>
  <c r="E38" i="33"/>
  <c r="E35" i="33"/>
  <c r="M34" i="33"/>
  <c r="D40" i="33"/>
  <c r="D36" i="33"/>
  <c r="D35" i="33"/>
  <c r="D34" i="33"/>
  <c r="D33" i="33"/>
  <c r="F40" i="33"/>
  <c r="E39" i="33"/>
  <c r="E37" i="33"/>
  <c r="M35" i="33"/>
  <c r="C40" i="33"/>
  <c r="C39" i="33"/>
  <c r="C38" i="33"/>
  <c r="C36" i="33"/>
  <c r="K36" i="33"/>
  <c r="K35" i="33"/>
  <c r="F80" i="33"/>
  <c r="L39" i="33"/>
  <c r="J34" i="34"/>
  <c r="L40" i="33"/>
  <c r="J35" i="34"/>
  <c r="J36" i="34"/>
  <c r="M40" i="33"/>
  <c r="M35" i="34"/>
  <c r="M34" i="34"/>
  <c r="L37" i="33"/>
  <c r="L38" i="33"/>
  <c r="K40" i="33"/>
  <c r="L33" i="33"/>
  <c r="M37" i="33"/>
  <c r="J40" i="33"/>
  <c r="J39" i="33"/>
  <c r="J38" i="33"/>
  <c r="J37" i="33"/>
  <c r="J36" i="33"/>
  <c r="J34" i="33"/>
  <c r="J33" i="33"/>
  <c r="C33" i="34"/>
  <c r="L36" i="34"/>
  <c r="K33" i="33"/>
  <c r="M33" i="33"/>
  <c r="I37" i="33"/>
  <c r="I36" i="33"/>
  <c r="I35" i="33"/>
  <c r="I33" i="33"/>
  <c r="J33" i="34"/>
  <c r="C37" i="34"/>
  <c r="D39" i="33"/>
  <c r="K38" i="33"/>
  <c r="C34" i="33"/>
  <c r="M38" i="33"/>
  <c r="H40" i="33"/>
  <c r="H39" i="33"/>
  <c r="H38" i="33"/>
  <c r="H37" i="33"/>
  <c r="H35" i="33"/>
  <c r="H34" i="33"/>
  <c r="H33" i="33"/>
  <c r="F134" i="33"/>
  <c r="L33" i="34"/>
  <c r="L37" i="34"/>
  <c r="G39" i="33"/>
  <c r="G38" i="33"/>
  <c r="G37" i="33"/>
  <c r="G34" i="33"/>
  <c r="G33" i="33"/>
  <c r="M33" i="34"/>
  <c r="C38" i="34"/>
  <c r="L34" i="33"/>
  <c r="M39" i="33"/>
  <c r="F35" i="33"/>
  <c r="F34" i="33"/>
  <c r="F33" i="33"/>
  <c r="L38" i="34"/>
  <c r="C39" i="34"/>
  <c r="L34" i="34"/>
  <c r="L39" i="34"/>
  <c r="L35" i="33"/>
  <c r="C35" i="33"/>
  <c r="C35" i="34"/>
  <c r="C40" i="34"/>
  <c r="N33" i="33"/>
  <c r="L40" i="34"/>
  <c r="L36" i="33"/>
  <c r="M36" i="33"/>
  <c r="C36" i="34"/>
  <c r="D38" i="34"/>
  <c r="E33" i="34"/>
  <c r="E34" i="34"/>
  <c r="E35" i="34"/>
  <c r="E36" i="34"/>
  <c r="E37" i="34"/>
  <c r="E38" i="34"/>
  <c r="E39" i="34"/>
  <c r="E40" i="34"/>
  <c r="D34" i="34"/>
  <c r="D40" i="34"/>
  <c r="I34" i="33"/>
  <c r="F33" i="34"/>
  <c r="F34" i="34"/>
  <c r="F35" i="34"/>
  <c r="F36" i="34"/>
  <c r="F37" i="34"/>
  <c r="F38" i="34"/>
  <c r="F39" i="34"/>
  <c r="F40" i="34"/>
  <c r="D33" i="34"/>
  <c r="D35" i="34"/>
  <c r="D36" i="34"/>
  <c r="D37" i="34"/>
  <c r="D39" i="34"/>
  <c r="G33" i="34"/>
  <c r="G34" i="34"/>
  <c r="G35" i="34"/>
  <c r="G36" i="34"/>
  <c r="G37" i="34"/>
  <c r="G38" i="34"/>
  <c r="G39" i="34"/>
  <c r="G40" i="34"/>
  <c r="H33" i="34"/>
  <c r="H34" i="34"/>
  <c r="H35" i="34"/>
  <c r="H36" i="34"/>
  <c r="H37" i="34"/>
  <c r="H38" i="34"/>
  <c r="H39" i="34"/>
  <c r="H40" i="34"/>
  <c r="I33" i="34"/>
  <c r="I35" i="34"/>
  <c r="I36" i="34"/>
  <c r="I37" i="34"/>
  <c r="I38" i="34"/>
  <c r="I39" i="34"/>
  <c r="I40" i="34"/>
  <c r="J37" i="34"/>
  <c r="J38" i="34"/>
  <c r="J39" i="34"/>
  <c r="J40" i="34"/>
  <c r="K33" i="34"/>
  <c r="K35" i="34"/>
  <c r="K36" i="34"/>
  <c r="K37" i="34"/>
  <c r="K38" i="34"/>
  <c r="K39" i="34"/>
  <c r="K40" i="34"/>
  <c r="N33" i="34"/>
  <c r="N34" i="34"/>
  <c r="N35" i="34"/>
  <c r="N36" i="34"/>
  <c r="N37" i="34"/>
  <c r="N38" i="34"/>
  <c r="N39" i="34"/>
  <c r="N40" i="34"/>
  <c r="AB3" i="27" l="1"/>
  <c r="AB4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2" i="27"/>
  <c r="G10" i="34"/>
  <c r="H10" i="34" s="1"/>
  <c r="F10" i="34"/>
  <c r="F142" i="34"/>
  <c r="F141" i="34"/>
  <c r="F131" i="34"/>
  <c r="F132" i="34" s="1"/>
  <c r="F107" i="34"/>
  <c r="F98" i="34"/>
  <c r="F88" i="34"/>
  <c r="F87" i="34"/>
  <c r="F73" i="34"/>
  <c r="F72" i="34"/>
  <c r="F71" i="34"/>
  <c r="F63" i="34"/>
  <c r="F61" i="34"/>
  <c r="F52" i="34"/>
  <c r="F51" i="34"/>
  <c r="F45" i="34"/>
  <c r="F44" i="34"/>
  <c r="G11" i="34"/>
  <c r="H11" i="34" s="1"/>
  <c r="F11" i="34"/>
  <c r="K148" i="34"/>
  <c r="K147" i="34"/>
  <c r="G145" i="34"/>
  <c r="E143" i="34"/>
  <c r="F139" i="34"/>
  <c r="E132" i="34"/>
  <c r="F128" i="34"/>
  <c r="N126" i="34"/>
  <c r="M126" i="34"/>
  <c r="L126" i="34"/>
  <c r="K126" i="34"/>
  <c r="J126" i="34"/>
  <c r="I126" i="34"/>
  <c r="H126" i="34"/>
  <c r="G126" i="34"/>
  <c r="F126" i="34"/>
  <c r="E126" i="34"/>
  <c r="D126" i="34"/>
  <c r="C126" i="34"/>
  <c r="N125" i="34"/>
  <c r="M125" i="34"/>
  <c r="L125" i="34"/>
  <c r="K125" i="34"/>
  <c r="J125" i="34"/>
  <c r="I125" i="34"/>
  <c r="H125" i="34"/>
  <c r="G125" i="34"/>
  <c r="F125" i="34"/>
  <c r="E125" i="34"/>
  <c r="D125" i="34"/>
  <c r="C125" i="34"/>
  <c r="N124" i="34"/>
  <c r="M124" i="34"/>
  <c r="L124" i="34"/>
  <c r="K124" i="34"/>
  <c r="J124" i="34"/>
  <c r="I124" i="34"/>
  <c r="H124" i="34"/>
  <c r="G124" i="34"/>
  <c r="F124" i="34"/>
  <c r="E124" i="34"/>
  <c r="D124" i="34"/>
  <c r="C124" i="34"/>
  <c r="N123" i="34"/>
  <c r="M123" i="34"/>
  <c r="L123" i="34"/>
  <c r="K123" i="34"/>
  <c r="J123" i="34"/>
  <c r="I123" i="34"/>
  <c r="H123" i="34"/>
  <c r="G123" i="34"/>
  <c r="F123" i="34"/>
  <c r="E123" i="34"/>
  <c r="D123" i="34"/>
  <c r="C123" i="34"/>
  <c r="N122" i="34"/>
  <c r="M122" i="34"/>
  <c r="L122" i="34"/>
  <c r="K122" i="34"/>
  <c r="J122" i="34"/>
  <c r="I122" i="34"/>
  <c r="H122" i="34"/>
  <c r="G122" i="34"/>
  <c r="F122" i="34"/>
  <c r="E122" i="34"/>
  <c r="D122" i="34"/>
  <c r="C122" i="34"/>
  <c r="N121" i="34"/>
  <c r="M121" i="34"/>
  <c r="L121" i="34"/>
  <c r="K121" i="34"/>
  <c r="J121" i="34"/>
  <c r="I121" i="34"/>
  <c r="H121" i="34"/>
  <c r="G121" i="34"/>
  <c r="F121" i="34"/>
  <c r="E121" i="34"/>
  <c r="D121" i="34"/>
  <c r="C121" i="34"/>
  <c r="N120" i="34"/>
  <c r="M120" i="34"/>
  <c r="L120" i="34"/>
  <c r="K120" i="34"/>
  <c r="J120" i="34"/>
  <c r="I120" i="34"/>
  <c r="H120" i="34"/>
  <c r="G120" i="34"/>
  <c r="F120" i="34"/>
  <c r="E120" i="34"/>
  <c r="D120" i="34"/>
  <c r="C120" i="34"/>
  <c r="N119" i="34"/>
  <c r="M119" i="34"/>
  <c r="L119" i="34"/>
  <c r="K119" i="34"/>
  <c r="J119" i="34"/>
  <c r="I119" i="34"/>
  <c r="H119" i="34"/>
  <c r="G119" i="34"/>
  <c r="F119" i="34"/>
  <c r="E119" i="34"/>
  <c r="D119" i="34"/>
  <c r="C119" i="34"/>
  <c r="E109" i="34"/>
  <c r="F108" i="34"/>
  <c r="F105" i="34"/>
  <c r="E99" i="34"/>
  <c r="F96" i="34"/>
  <c r="E89" i="34"/>
  <c r="F85" i="34"/>
  <c r="E74" i="34"/>
  <c r="F69" i="34"/>
  <c r="E64" i="34"/>
  <c r="F59" i="34"/>
  <c r="E53" i="34"/>
  <c r="F49" i="34"/>
  <c r="E46" i="34"/>
  <c r="F43" i="34"/>
  <c r="C110" i="33"/>
  <c r="F60" i="33"/>
  <c r="B68" i="34" l="1"/>
  <c r="C152" i="33"/>
  <c r="M149" i="33"/>
  <c r="M158" i="34"/>
  <c r="C150" i="33"/>
  <c r="J149" i="33"/>
  <c r="J158" i="34"/>
  <c r="C148" i="33"/>
  <c r="G149" i="33"/>
  <c r="G158" i="34"/>
  <c r="C147" i="33"/>
  <c r="F145" i="33"/>
  <c r="F154" i="34"/>
  <c r="M148" i="33"/>
  <c r="M157" i="34"/>
  <c r="H152" i="33"/>
  <c r="H161" i="34"/>
  <c r="G148" i="33"/>
  <c r="G157" i="34"/>
  <c r="N151" i="33"/>
  <c r="N160" i="34"/>
  <c r="M147" i="33"/>
  <c r="M156" i="34"/>
  <c r="K160" i="34"/>
  <c r="J147" i="33"/>
  <c r="J156" i="34"/>
  <c r="H151" i="33"/>
  <c r="H160" i="34"/>
  <c r="G147" i="33"/>
  <c r="G156" i="34"/>
  <c r="E160" i="34"/>
  <c r="D156" i="34"/>
  <c r="C145" i="33"/>
  <c r="C154" i="34"/>
  <c r="C151" i="33"/>
  <c r="L145" i="33"/>
  <c r="L154" i="34"/>
  <c r="C146" i="33"/>
  <c r="D158" i="34"/>
  <c r="N152" i="33"/>
  <c r="N161" i="34"/>
  <c r="J148" i="33"/>
  <c r="J157" i="34"/>
  <c r="E161" i="34"/>
  <c r="N150" i="33"/>
  <c r="N159" i="34"/>
  <c r="M146" i="33"/>
  <c r="M155" i="34"/>
  <c r="K159" i="34"/>
  <c r="J146" i="33"/>
  <c r="J155" i="34"/>
  <c r="H150" i="33"/>
  <c r="H159" i="34"/>
  <c r="G146" i="33"/>
  <c r="G155" i="34"/>
  <c r="E159" i="34"/>
  <c r="D155" i="34"/>
  <c r="J152" i="33"/>
  <c r="N148" i="33"/>
  <c r="N157" i="34"/>
  <c r="C149" i="33"/>
  <c r="I154" i="34"/>
  <c r="K161" i="34"/>
  <c r="D157" i="34"/>
  <c r="K152" i="33"/>
  <c r="N149" i="33"/>
  <c r="N158" i="34"/>
  <c r="K151" i="33"/>
  <c r="M145" i="33"/>
  <c r="M154" i="34"/>
  <c r="K150" i="33"/>
  <c r="K158" i="34"/>
  <c r="K149" i="33"/>
  <c r="J145" i="33"/>
  <c r="J154" i="34"/>
  <c r="K148" i="33"/>
  <c r="H149" i="33"/>
  <c r="H158" i="34"/>
  <c r="K147" i="33"/>
  <c r="G145" i="33"/>
  <c r="G154" i="34"/>
  <c r="K146" i="33"/>
  <c r="E158" i="34"/>
  <c r="K145" i="33"/>
  <c r="D145" i="33"/>
  <c r="J151" i="33"/>
  <c r="L152" i="33"/>
  <c r="L161" i="34"/>
  <c r="C161" i="34"/>
  <c r="D154" i="34"/>
  <c r="J150" i="33"/>
  <c r="K157" i="34"/>
  <c r="I161" i="34"/>
  <c r="I151" i="33"/>
  <c r="L151" i="33"/>
  <c r="L160" i="34"/>
  <c r="I149" i="33"/>
  <c r="I160" i="34"/>
  <c r="I147" i="33"/>
  <c r="F151" i="33"/>
  <c r="F160" i="34"/>
  <c r="I145" i="33"/>
  <c r="C160" i="34"/>
  <c r="N146" i="33"/>
  <c r="N155" i="34"/>
  <c r="L150" i="33"/>
  <c r="L159" i="34"/>
  <c r="K155" i="34"/>
  <c r="I159" i="34"/>
  <c r="H146" i="33"/>
  <c r="H155" i="34"/>
  <c r="F150" i="33"/>
  <c r="F159" i="34"/>
  <c r="E155" i="34"/>
  <c r="C159" i="34"/>
  <c r="H148" i="33"/>
  <c r="H157" i="34"/>
  <c r="I152" i="33"/>
  <c r="N147" i="33"/>
  <c r="N156" i="34"/>
  <c r="I150" i="33"/>
  <c r="K156" i="34"/>
  <c r="I148" i="33"/>
  <c r="H147" i="33"/>
  <c r="H156" i="34"/>
  <c r="I146" i="33"/>
  <c r="E156" i="34"/>
  <c r="N145" i="33"/>
  <c r="N154" i="34"/>
  <c r="L149" i="33"/>
  <c r="L158" i="34"/>
  <c r="K154" i="34"/>
  <c r="I158" i="34"/>
  <c r="H145" i="33"/>
  <c r="H154" i="34"/>
  <c r="F149" i="33"/>
  <c r="F158" i="34"/>
  <c r="E154" i="34"/>
  <c r="C158" i="34"/>
  <c r="E157" i="34"/>
  <c r="L148" i="33"/>
  <c r="L157" i="34"/>
  <c r="I157" i="34"/>
  <c r="G152" i="33"/>
  <c r="G161" i="34"/>
  <c r="F148" i="33"/>
  <c r="F157" i="34"/>
  <c r="C157" i="34"/>
  <c r="E152" i="33"/>
  <c r="M151" i="33"/>
  <c r="M160" i="34"/>
  <c r="E151" i="33"/>
  <c r="L147" i="33"/>
  <c r="L156" i="34"/>
  <c r="E150" i="33"/>
  <c r="J160" i="34"/>
  <c r="E149" i="33"/>
  <c r="I156" i="34"/>
  <c r="E148" i="33"/>
  <c r="G151" i="33"/>
  <c r="G160" i="34"/>
  <c r="E147" i="33"/>
  <c r="F147" i="33"/>
  <c r="F156" i="34"/>
  <c r="E146" i="33"/>
  <c r="D160" i="34"/>
  <c r="E145" i="33"/>
  <c r="C156" i="34"/>
  <c r="F152" i="33"/>
  <c r="F161" i="34"/>
  <c r="M152" i="33"/>
  <c r="M161" i="34"/>
  <c r="J161" i="34"/>
  <c r="D161" i="34"/>
  <c r="D152" i="33"/>
  <c r="M150" i="33"/>
  <c r="M159" i="34"/>
  <c r="D151" i="33"/>
  <c r="L146" i="33"/>
  <c r="L155" i="34"/>
  <c r="D150" i="33"/>
  <c r="J159" i="34"/>
  <c r="D149" i="33"/>
  <c r="I155" i="34"/>
  <c r="D148" i="33"/>
  <c r="G150" i="33"/>
  <c r="G159" i="34"/>
  <c r="D147" i="33"/>
  <c r="F146" i="33"/>
  <c r="F155" i="34"/>
  <c r="D146" i="33"/>
  <c r="D159" i="34"/>
  <c r="C155" i="34"/>
  <c r="B138" i="34"/>
  <c r="B104" i="34"/>
  <c r="B42" i="34"/>
  <c r="B84" i="34"/>
  <c r="B58" i="34"/>
  <c r="B95" i="34"/>
  <c r="B127" i="34"/>
  <c r="B134" i="34"/>
  <c r="F89" i="34"/>
  <c r="F53" i="34"/>
  <c r="F74" i="34"/>
  <c r="F109" i="34"/>
  <c r="B48" i="34"/>
  <c r="F64" i="34"/>
  <c r="F99" i="34"/>
  <c r="F143" i="34"/>
  <c r="F46" i="34"/>
  <c r="F59" i="33" l="1"/>
  <c r="F54" i="33"/>
  <c r="F53" i="33"/>
  <c r="G11" i="33"/>
  <c r="H11" i="33" s="1"/>
  <c r="F11" i="33"/>
  <c r="B129" i="33" s="1"/>
  <c r="F45" i="33"/>
  <c r="G10" i="33"/>
  <c r="H10" i="33" s="1"/>
  <c r="F10" i="33"/>
  <c r="K139" i="33"/>
  <c r="K138" i="33"/>
  <c r="G136" i="33"/>
  <c r="N117" i="33"/>
  <c r="M117" i="33"/>
  <c r="L117" i="33"/>
  <c r="K117" i="33"/>
  <c r="J117" i="33"/>
  <c r="I117" i="33"/>
  <c r="H117" i="33"/>
  <c r="G117" i="33"/>
  <c r="F117" i="33"/>
  <c r="E117" i="33"/>
  <c r="D117" i="33"/>
  <c r="C117" i="33"/>
  <c r="N116" i="33"/>
  <c r="M116" i="33"/>
  <c r="L116" i="33"/>
  <c r="K116" i="33"/>
  <c r="J116" i="33"/>
  <c r="I116" i="33"/>
  <c r="H116" i="33"/>
  <c r="G116" i="33"/>
  <c r="F116" i="33"/>
  <c r="E116" i="33"/>
  <c r="D116" i="33"/>
  <c r="C116" i="33"/>
  <c r="N115" i="33"/>
  <c r="M115" i="33"/>
  <c r="L115" i="33"/>
  <c r="K115" i="33"/>
  <c r="J115" i="33"/>
  <c r="I115" i="33"/>
  <c r="H115" i="33"/>
  <c r="G115" i="33"/>
  <c r="F115" i="33"/>
  <c r="E115" i="33"/>
  <c r="D115" i="33"/>
  <c r="C115" i="33"/>
  <c r="N114" i="33"/>
  <c r="M114" i="33"/>
  <c r="L114" i="33"/>
  <c r="K114" i="33"/>
  <c r="J114" i="33"/>
  <c r="I114" i="33"/>
  <c r="H114" i="33"/>
  <c r="G114" i="33"/>
  <c r="F114" i="33"/>
  <c r="E114" i="33"/>
  <c r="D114" i="33"/>
  <c r="C114" i="33"/>
  <c r="N113" i="33"/>
  <c r="M113" i="33"/>
  <c r="L113" i="33"/>
  <c r="K113" i="33"/>
  <c r="J113" i="33"/>
  <c r="I113" i="33"/>
  <c r="H113" i="33"/>
  <c r="G113" i="33"/>
  <c r="F113" i="33"/>
  <c r="E113" i="33"/>
  <c r="D113" i="33"/>
  <c r="C113" i="33"/>
  <c r="N112" i="33"/>
  <c r="M112" i="33"/>
  <c r="L112" i="33"/>
  <c r="K112" i="33"/>
  <c r="J112" i="33"/>
  <c r="I112" i="33"/>
  <c r="H112" i="33"/>
  <c r="G112" i="33"/>
  <c r="F112" i="33"/>
  <c r="E112" i="33"/>
  <c r="D112" i="33"/>
  <c r="C112" i="33"/>
  <c r="N111" i="33"/>
  <c r="M111" i="33"/>
  <c r="L111" i="33"/>
  <c r="K111" i="33"/>
  <c r="J111" i="33"/>
  <c r="I111" i="33"/>
  <c r="H111" i="33"/>
  <c r="G111" i="33"/>
  <c r="F111" i="33"/>
  <c r="E111" i="33"/>
  <c r="D111" i="33"/>
  <c r="C111" i="33"/>
  <c r="N110" i="33"/>
  <c r="M110" i="33"/>
  <c r="L110" i="33"/>
  <c r="K110" i="33"/>
  <c r="J110" i="33"/>
  <c r="I110" i="33"/>
  <c r="H110" i="33"/>
  <c r="G110" i="33"/>
  <c r="F110" i="33"/>
  <c r="E110" i="33"/>
  <c r="D110" i="33"/>
  <c r="E55" i="33"/>
  <c r="E46" i="33"/>
  <c r="B51" i="33" l="1"/>
  <c r="B125" i="33"/>
  <c r="B118" i="33"/>
  <c r="B95" i="33"/>
  <c r="B85" i="33"/>
  <c r="B75" i="33"/>
  <c r="B49" i="33"/>
  <c r="B48" i="33"/>
  <c r="B47" i="33"/>
  <c r="F55" i="33"/>
  <c r="F46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B86E43-42F1-4D4F-89F7-BE9AC983A093}" keepAlive="1" name="Query - QubitData_03-07-2023_10-06-24" description="Connection to the 'QubitData_03-07-2023_10-06-24' query in the workbook." type="5" refreshedVersion="8" background="1" saveData="1">
    <dbPr connection="Provider=Microsoft.Mashup.OleDb.1;Data Source=$Workbook$;Location=QubitData_03-07-2023_10-06-24;Extended Properties=&quot;&quot;" command="SELECT * FROM [QubitData_03-07-2023_10-06-24]"/>
  </connection>
  <connection id="2" xr16:uid="{4E9508C8-13FB-CD4D-A3FD-843F2018EE39}" keepAlive="1" name="Query - QubitData_05-01-2023_09-57-22" description="Connection to the 'QubitData_05-01-2023_09-57-22' query in the workbook." type="5" refreshedVersion="8" background="1" saveData="1">
    <dbPr connection="Provider=Microsoft.Mashup.OleDb.1;Data Source=$Workbook$;Location=QubitData_05-01-2023_09-57-22;Extended Properties=&quot;&quot;" command="SELECT * FROM [QubitData_05-01-2023_09-57-22]"/>
  </connection>
  <connection id="3" xr16:uid="{20D4FC5D-2F31-0342-AF71-BE38FE18BCAC}" keepAlive="1" name="Query - QubitData_05-06-2023_15-59-13" description="Connection to the 'QubitData_05-06-2023_15-59-13' query in the workbook." type="5" refreshedVersion="8" background="1" saveData="1">
    <dbPr connection="Provider=Microsoft.Mashup.OleDb.1;Data Source=$Workbook$;Location=QubitData_05-06-2023_15-59-13;Extended Properties=&quot;&quot;" command="SELECT * FROM [QubitData_05-06-2023_15-59-13]"/>
  </connection>
  <connection id="4" xr16:uid="{C3F5FC88-1628-4D4B-9DDD-2F95D73C77D6}" keepAlive="1" name="Query - QubitData_06-06-2023_10-07-27" description="Connection to the 'QubitData_06-06-2023_10-07-27' query in the workbook." type="5" refreshedVersion="8" background="1" saveData="1">
    <dbPr connection="Provider=Microsoft.Mashup.OleDb.1;Data Source=$Workbook$;Location=QubitData_06-06-2023_10-07-27;Extended Properties=&quot;&quot;" command="SELECT * FROM [QubitData_06-06-2023_10-07-27]"/>
  </connection>
  <connection id="5" xr16:uid="{CCA4946A-7F88-E740-BAF1-872C956A1A1F}" keepAlive="1" name="Query - QubitData_06-06-2023_15-28-41" description="Connection to the 'QubitData_06-06-2023_15-28-41' query in the workbook." type="5" refreshedVersion="8" background="1" saveData="1">
    <dbPr connection="Provider=Microsoft.Mashup.OleDb.1;Data Source=$Workbook$;Location=QubitData_06-06-2023_15-28-41;Extended Properties=&quot;&quot;" command="SELECT * FROM [QubitData_06-06-2023_15-28-41]"/>
  </connection>
  <connection id="6" xr16:uid="{253CE65B-0125-486D-B2CB-16AC9D0654E9}" keepAlive="1" name="Query - QubitData_06-07-2023_11-29-59" description="Connection to the 'QubitData_06-07-2023_11-29-59' query in the workbook." type="5" refreshedVersion="8" background="1" saveData="1">
    <dbPr connection="Provider=Microsoft.Mashup.OleDb.1;Data Source=$Workbook$;Location=QubitData_06-07-2023_11-29-59;Extended Properties=&quot;&quot;" command="SELECT * FROM [QubitData_06-07-2023_11-29-59]"/>
  </connection>
  <connection id="7" xr16:uid="{FC556F02-C828-2544-A02C-C85122761E44}" keepAlive="1" name="Query - QubitData_07-06-2023_14-53-33" description="Connection to the 'QubitData_07-06-2023_14-53-33' query in the workbook." type="5" refreshedVersion="8" background="1" saveData="1">
    <dbPr connection="Provider=Microsoft.Mashup.OleDb.1;Data Source=$Workbook$;Location=QubitData_07-06-2023_14-53-33;Extended Properties=&quot;&quot;" command="SELECT * FROM [QubitData_07-06-2023_14-53-33]"/>
  </connection>
  <connection id="8" xr16:uid="{158BE359-D72D-F944-907D-704E372A7EC8}" keepAlive="1" name="Query - QubitData_09-01-2023_16-27-19" description="Connection to the 'QubitData_09-01-2023_16-27-19' query in the workbook." type="5" refreshedVersion="8" background="1" saveData="1">
    <dbPr connection="Provider=Microsoft.Mashup.OleDb.1;Data Source=$Workbook$;Location=QubitData_09-01-2023_16-27-19;Extended Properties=&quot;&quot;" command="SELECT * FROM [QubitData_09-01-2023_16-27-19]"/>
  </connection>
  <connection id="9" xr16:uid="{C67D72E5-8490-49A3-BC38-48191442D085}" keepAlive="1" name="Query - QubitData_09-07-2024_10-21-39" description="Connection to the 'QubitData_09-07-2024_10-21-39' query in the workbook." type="5" refreshedVersion="8" background="1" saveData="1">
    <dbPr connection="Provider=Microsoft.Mashup.OleDb.1;Data Source=$Workbook$;Location=QubitData_09-07-2024_10-21-39;Extended Properties=&quot;&quot;" command="SELECT * FROM [QubitData_09-07-2024_10-21-39]"/>
  </connection>
  <connection id="10" xr16:uid="{EEB35933-B997-404C-A37C-BA388421B65C}" keepAlive="1" name="Query - QubitData_09-11-2022_09-45-47" description="Connection to the 'QubitData_09-11-2022_09-45-47' query in the workbook." type="5" refreshedVersion="7" background="1" saveData="1">
    <dbPr connection="Provider=Microsoft.Mashup.OleDb.1;Data Source=$Workbook$;Location=QubitData_09-11-2022_09-45-47;Extended Properties=&quot;&quot;" command="SELECT * FROM [QubitData_09-11-2022_09-45-47]"/>
  </connection>
  <connection id="11" xr16:uid="{8A2FF6AE-59F9-E643-8BA2-A93CA6D35896}" keepAlive="1" name="Query - QubitData_10-01-2023_13-41-17" description="Connection to the 'QubitData_10-01-2023_13-41-17' query in the workbook." type="5" refreshedVersion="8" background="1" saveData="1">
    <dbPr connection="Provider=Microsoft.Mashup.OleDb.1;Data Source=$Workbook$;Location=QubitData_10-01-2023_13-41-17;Extended Properties=&quot;&quot;" command="SELECT * FROM [QubitData_10-01-2023_13-41-17]"/>
  </connection>
  <connection id="12" xr16:uid="{F059D1DE-5573-4427-804E-C2C438442A20}" keepAlive="1" name="Query - QubitData_10-07-2024_15-22-50" description="Connection to the 'QubitData_10-07-2024_15-22-50' query in the workbook." type="5" refreshedVersion="8" background="1" saveData="1">
    <dbPr connection="Provider=Microsoft.Mashup.OleDb.1;Data Source=$Workbook$;Location=QubitData_10-07-2024_15-22-50;Extended Properties=&quot;&quot;" command="SELECT * FROM [QubitData_10-07-2024_15-22-50]"/>
  </connection>
  <connection id="13" xr16:uid="{CCA25564-8C68-4083-BC74-E980294E4C15}" keepAlive="1" name="Query - QubitData_11-07-2024_14-17-23" description="Connection to the 'QubitData_11-07-2024_14-17-23' query in the workbook." type="5" refreshedVersion="0" background="1">
    <dbPr connection="Provider=Microsoft.Mashup.OleDb.1;Data Source=$Workbook$;Location=QubitData_11-07-2024_14-17-23;Extended Properties=&quot;&quot;" command="SELECT * FROM [QubitData_11-07-2024_14-17-23]"/>
  </connection>
  <connection id="14" xr16:uid="{057423BA-00E7-4833-BA05-7C132E11818B}" keepAlive="1" name="Query - QubitData_12-10-2022_09-31-51" description="Connection to the 'QubitData_12-10-2022_09-31-51' query in the workbook." type="5" refreshedVersion="7" background="1" saveData="1">
    <dbPr connection="Provider=Microsoft.Mashup.OleDb.1;Data Source=$Workbook$;Location=QubitData_12-10-2022_09-31-51;Extended Properties=&quot;&quot;" command="SELECT * FROM [QubitData_12-10-2022_09-31-51]"/>
  </connection>
  <connection id="15" xr16:uid="{6421E4C0-D3F7-8048-874F-B66C361F6A02}" keepAlive="1" name="Query - QubitData_13-06-2023_17-40-26" description="Connection to the 'QubitData_13-06-2023_17-40-26' query in the workbook." type="5" refreshedVersion="8" background="1" saveData="1">
    <dbPr connection="Provider=Microsoft.Mashup.OleDb.1;Data Source=$Workbook$;Location=QubitData_13-06-2023_17-40-26;Extended Properties=&quot;&quot;" command="SELECT * FROM [QubitData_13-06-2023_17-40-26]"/>
  </connection>
  <connection id="16" xr16:uid="{8E00D4C5-75DE-40E8-AD00-F61862382BCE}" keepAlive="1" name="Query - QubitData_13-10-2022_13-38-08" description="Connection to the 'QubitData_13-10-2022_13-38-08' query in the workbook." type="5" refreshedVersion="7" background="1" saveData="1">
    <dbPr connection="Provider=Microsoft.Mashup.OleDb.1;Data Source=$Workbook$;Location=QubitData_13-10-2022_13-38-08;Extended Properties=&quot;&quot;" command="SELECT * FROM [QubitData_13-10-2022_13-38-08]"/>
  </connection>
  <connection id="17" xr16:uid="{2179F8AD-E03B-422C-81EC-38619607487A}" keepAlive="1" name="Query - QubitData_18-07-2022_08-41-42" description="Connection to the 'QubitData_18-07-2022_08-41-42' query in the workbook." type="5" refreshedVersion="7" background="1" saveData="1">
    <dbPr connection="Provider=Microsoft.Mashup.OleDb.1;Data Source=$Workbook$;Location=QubitData_18-07-2022_08-41-42;Extended Properties=&quot;&quot;" command="SELECT * FROM [QubitData_18-07-2022_08-41-42]"/>
  </connection>
  <connection id="18" xr16:uid="{E91F0A83-CDBF-43CC-811C-7E1D4AB0139C}" keepAlive="1" name="Query - QubitData_19-05-2022_16-14-14" description="Connection to the 'QubitData_19-05-2022_16-14-14' query in the workbook." type="5" refreshedVersion="7" background="1" saveData="1">
    <dbPr connection="Provider=Microsoft.Mashup.OleDb.1;Data Source=$Workbook$;Location=QubitData_19-05-2022_16-14-14;Extended Properties=&quot;&quot;" command="SELECT * FROM [QubitData_19-05-2022_16-14-14]"/>
  </connection>
  <connection id="19" xr16:uid="{359EB1E7-06D4-4734-A3E1-23CDA7B92E0F}" keepAlive="1" name="Query - QubitData_19-07-2022_11-32-44" description="Connection to the 'QubitData_19-07-2022_11-32-44' query in the workbook." type="5" refreshedVersion="7" background="1" saveData="1">
    <dbPr connection="Provider=Microsoft.Mashup.OleDb.1;Data Source=$Workbook$;Location=QubitData_19-07-2022_11-32-44;Extended Properties=&quot;&quot;" command="SELECT * FROM [QubitData_19-07-2022_11-32-44]"/>
  </connection>
  <connection id="20" xr16:uid="{C97E578B-6F6E-5745-BC8A-1DEA28E8F59B}" keepAlive="1" name="Query - QubitData_29-06-2023_08-28-14" description="Connection to the 'QubitData_29-06-2023_08-28-14' query in the workbook." type="5" refreshedVersion="8" background="1" saveData="1">
    <dbPr connection="Provider=Microsoft.Mashup.OleDb.1;Data Source=$Workbook$;Location=QubitData_29-06-2023_08-28-14;Extended Properties=&quot;&quot;" command="SELECT * FROM [QubitData_29-06-2023_08-28-14]"/>
  </connection>
</connections>
</file>

<file path=xl/sharedStrings.xml><?xml version="1.0" encoding="utf-8"?>
<sst xmlns="http://schemas.openxmlformats.org/spreadsheetml/2006/main" count="541" uniqueCount="248">
  <si>
    <t>RIN</t>
  </si>
  <si>
    <t>A</t>
  </si>
  <si>
    <t>B</t>
  </si>
  <si>
    <t>C</t>
  </si>
  <si>
    <t>D</t>
  </si>
  <si>
    <t>E</t>
  </si>
  <si>
    <t>F</t>
  </si>
  <si>
    <t>G</t>
  </si>
  <si>
    <t>H</t>
  </si>
  <si>
    <t>mix, spin</t>
  </si>
  <si>
    <t>4˚/hold</t>
  </si>
  <si>
    <t>10˚/hold</t>
  </si>
  <si>
    <t xml:space="preserve">comment </t>
  </si>
  <si>
    <t xml:space="preserve">Library person: </t>
  </si>
  <si>
    <t>Library date:</t>
  </si>
  <si>
    <t>dilution</t>
  </si>
  <si>
    <t xml:space="preserve">SOP Version: </t>
  </si>
  <si>
    <t>Preparation of working plate</t>
  </si>
  <si>
    <t>Indexplate A:</t>
  </si>
  <si>
    <t xml:space="preserve">Mix: </t>
  </si>
  <si>
    <t>µL</t>
  </si>
  <si>
    <t>Volume per reaction</t>
  </si>
  <si>
    <t>Incubate:</t>
  </si>
  <si>
    <t>mix,spin</t>
  </si>
  <si>
    <t xml:space="preserve">Run the following programm: </t>
  </si>
  <si>
    <t xml:space="preserve">µL RNA: </t>
  </si>
  <si>
    <t>QC (Qubit, BA, pooling)</t>
  </si>
  <si>
    <t>Hannah Riegler</t>
  </si>
  <si>
    <t>Signature:</t>
  </si>
  <si>
    <t>BSF</t>
  </si>
  <si>
    <t>CeMM</t>
  </si>
  <si>
    <t xml:space="preserve">Identification number: </t>
  </si>
  <si>
    <t>Unit:</t>
  </si>
  <si>
    <t>Organization:</t>
  </si>
  <si>
    <t>Title:</t>
  </si>
  <si>
    <t>Author:</t>
  </si>
  <si>
    <t>Reviewer:</t>
  </si>
  <si>
    <t>Version:</t>
  </si>
  <si>
    <t>Review date:</t>
  </si>
  <si>
    <t>Comments:</t>
  </si>
  <si>
    <t>Library prep number:</t>
  </si>
  <si>
    <t>Pooling overview in µL</t>
  </si>
  <si>
    <t>-</t>
  </si>
  <si>
    <t>Number of samples COLUMNS:</t>
  </si>
  <si>
    <t>sample_num</t>
  </si>
  <si>
    <t>plate_well</t>
  </si>
  <si>
    <t>library_name</t>
  </si>
  <si>
    <t>library_id</t>
  </si>
  <si>
    <t>requestor</t>
  </si>
  <si>
    <t>library_prep_type</t>
  </si>
  <si>
    <t>rna_ng_per_ul_qubit</t>
  </si>
  <si>
    <t>conc_after_dilution</t>
  </si>
  <si>
    <t>ul_h2o</t>
  </si>
  <si>
    <t>ul_rna</t>
  </si>
  <si>
    <t>input_ng</t>
  </si>
  <si>
    <t>pcr_cycles</t>
  </si>
  <si>
    <t>index_well</t>
  </si>
  <si>
    <t>kit_i7</t>
  </si>
  <si>
    <t>kit_i5</t>
  </si>
  <si>
    <t>sequence_i7</t>
  </si>
  <si>
    <t>name_i7</t>
  </si>
  <si>
    <t>sequence_i5</t>
  </si>
  <si>
    <t>name_i5</t>
  </si>
  <si>
    <t>ba</t>
  </si>
  <si>
    <t>pooling_factor</t>
  </si>
  <si>
    <t>ul_pooling</t>
  </si>
  <si>
    <t>NEBNext UltraExpress™ RNA Library Prep Kit LOT#:</t>
  </si>
  <si>
    <t>NEBNext Multiplex Oligos for Illumina (Unique Dual Index UMI Adaptors RNA Set 1) LOT#:</t>
  </si>
  <si>
    <t>Prepare an working plate with 25 - 250 ng of total RNA in 50µL in the following sheme:</t>
  </si>
  <si>
    <t>Preparation of MasterMix plate for bead washing</t>
  </si>
  <si>
    <t>Prepare the following mix on ice</t>
  </si>
  <si>
    <t>Everything except beads on ice when not in use!</t>
  </si>
  <si>
    <t>TRIS</t>
  </si>
  <si>
    <t>RNA binding buffer</t>
  </si>
  <si>
    <t>Preparation of First strand reaction buffer and random primer mix</t>
  </si>
  <si>
    <t>(lilac) NEBNext UltraExpress RNA Fragmentation Mix</t>
  </si>
  <si>
    <t>keep on ICE</t>
  </si>
  <si>
    <t>Nuclease-free Water</t>
  </si>
  <si>
    <t>mRNA Isolation, Fragmentation and Priming Starting with total RNA</t>
  </si>
  <si>
    <t>Prepare two thermocyclers with the following program: 80°C/2 min, 25°C/5 min and hold at 25°C (lid &gt;90°C)</t>
  </si>
  <si>
    <t xml:space="preserve">Wash the Oligo dT Beads: </t>
  </si>
  <si>
    <t>Olido dT Beads</t>
  </si>
  <si>
    <t>Add 50 µL of beads per sample while on a cooler, mix. DON’T SPIN</t>
  </si>
  <si>
    <t>80˚/2min</t>
  </si>
  <si>
    <t>25˚/5 min -&gt; hold</t>
  </si>
  <si>
    <t>then set the cycler for 94°C/15min, hold at 4°C (lid 105°C)</t>
  </si>
  <si>
    <t>Perform bead wash</t>
  </si>
  <si>
    <t>94˚/15min</t>
  </si>
  <si>
    <t>Immediately transfer on ice for 1 min as soon as it is cold enough to handle, spin</t>
  </si>
  <si>
    <t>Put on magnet and transfer 5µL  of the supernatant to a new plate</t>
  </si>
  <si>
    <t>First strand cDNA synthesis</t>
  </si>
  <si>
    <t>Prepare a thermocycler with the following program: 25°C/10 min, 42°C/10 min, 70°C/5min and hold at 4°C (lid &gt;80°C)</t>
  </si>
  <si>
    <t>Fragmented RNA from previous step</t>
  </si>
  <si>
    <t>(brown) NEBNext UltraExpress Strand Specificity Reagent</t>
  </si>
  <si>
    <t>(lilac) NEBNext UltraExpress First Strand Enzyme Mix</t>
  </si>
  <si>
    <t>25˚/10min</t>
  </si>
  <si>
    <t>42˚/10min</t>
  </si>
  <si>
    <t>70°C/5min -&gt; hold at 4°C</t>
  </si>
  <si>
    <t>Second strand cDNA Synthesis</t>
  </si>
  <si>
    <t>First strand synthesis product</t>
  </si>
  <si>
    <t>Do not vortex NEBNext UltraExpress Second Strand Master Mix!</t>
  </si>
  <si>
    <t>(orange) NEBNext UltraExpress Second Strand Master Mix</t>
  </si>
  <si>
    <t>16˚/30min</t>
  </si>
  <si>
    <t>Purification of double stranded cDNA (1.8X cleanup)</t>
  </si>
  <si>
    <t>End Prep of cDNA Library</t>
  </si>
  <si>
    <t>Second Strand cDNA Synthesis Product</t>
  </si>
  <si>
    <t>(green) NEBNext UltraExpress End Prep Reaction Buffer</t>
  </si>
  <si>
    <t>on ICE!</t>
  </si>
  <si>
    <t>(green) NEBNext Ultra II End Prep Enzyme Mix</t>
  </si>
  <si>
    <t>20˚/5min</t>
  </si>
  <si>
    <t>65°C/10min</t>
  </si>
  <si>
    <t>Adaptor Ligation</t>
  </si>
  <si>
    <t>Dilute Adaptors in ICE cold UMI adaptor dilution buffer</t>
  </si>
  <si>
    <t>Total RNA Input</t>
  </si>
  <si>
    <t>Dilution</t>
  </si>
  <si>
    <t>76–250 ng</t>
  </si>
  <si>
    <t>4-fold dilution</t>
  </si>
  <si>
    <t>25–75 ng</t>
  </si>
  <si>
    <t>20-fold dilution</t>
  </si>
  <si>
    <t>End prepped DNA</t>
  </si>
  <si>
    <t>(red) NEBNext UltraExpress Ligation Master Mix (LM)</t>
  </si>
  <si>
    <t xml:space="preserve">Mix 2µL USER with sample and incubate:  </t>
  </si>
  <si>
    <t>37°C/5min (lid &gt;45°C)</t>
  </si>
  <si>
    <t>PCR Enrichment (in HALF volume) put 20 µL into a new plate</t>
  </si>
  <si>
    <t>Take out NEBNext Bead Reconstitution Buffer and bring up to room temperature prior to Phased Bead Cleanup. 30 min</t>
  </si>
  <si>
    <t>Adaptor Ligated DNA</t>
  </si>
  <si>
    <t>NEBNext MSTC High Yield Master Mix</t>
  </si>
  <si>
    <t>NEBNext Primer Mix</t>
  </si>
  <si>
    <r>
      <t>98</t>
    </r>
    <r>
      <rPr>
        <i/>
        <sz val="12"/>
        <color theme="1"/>
        <rFont val="Calibri"/>
        <family val="2"/>
      </rPr>
      <t>˚/30s</t>
    </r>
  </si>
  <si>
    <t xml:space="preserve">cycles: </t>
  </si>
  <si>
    <t>98˚/10s</t>
  </si>
  <si>
    <r>
      <t>65</t>
    </r>
    <r>
      <rPr>
        <i/>
        <sz val="12"/>
        <color theme="1"/>
        <rFont val="Calibri"/>
        <family val="2"/>
      </rPr>
      <t>˚/75s</t>
    </r>
  </si>
  <si>
    <t>PCR Cycles</t>
  </si>
  <si>
    <t>65˚/5min</t>
  </si>
  <si>
    <t>76-250 ng</t>
  </si>
  <si>
    <t>25-75 ng</t>
  </si>
  <si>
    <t>CLEAN-UP 0.7X (HALF volume)</t>
  </si>
  <si>
    <t xml:space="preserve">Indicate which Adapters you used: </t>
  </si>
  <si>
    <t>20˚/15min</t>
  </si>
  <si>
    <t>µL water:</t>
  </si>
  <si>
    <t>Number of samples ROWS:</t>
  </si>
  <si>
    <t>RNA Binding Buffer (wash)</t>
  </si>
  <si>
    <t>Add 100 µL of TRIS/RNA binding buffer per sample, mix.</t>
  </si>
  <si>
    <t>Elute in 6,5 µL of 1x Fragmentation Master Mix (F) per sample, mix.</t>
  </si>
  <si>
    <t>Do a 1.8 X cleanup by adding 72 µl beads; elute in 22 µL; recover 20 µL</t>
  </si>
  <si>
    <t>Adaptorplate:</t>
  </si>
  <si>
    <t>Do a 0.7 X cleanup by adding 31.5 µl beads; add 25 µL 0.1X TE and 20 µL Reconstition Buffer; elute in 15 µL; recover 13µL</t>
  </si>
  <si>
    <t xml:space="preserve">Pool concentration: </t>
  </si>
  <si>
    <t>Checklist NEBNext UltraExpress RNA library prep kit rRNA Depletion v2 Rows</t>
  </si>
  <si>
    <t>NEBNext UltraExpress RNA Library Prep Kit LOT#:</t>
  </si>
  <si>
    <t>NEBNext rRNA Depletion Kit v2 (Human/Mouse/Rat) LOT#:</t>
  </si>
  <si>
    <t>Prepare an working plate with 25ng - 250ng of total RNA in 11µL in the following sheme:</t>
  </si>
  <si>
    <t>Preparation of 1X Fragmentation Mix</t>
  </si>
  <si>
    <t>Mix:</t>
  </si>
  <si>
    <t>Nuclease free water</t>
  </si>
  <si>
    <t>MIX, spin</t>
  </si>
  <si>
    <t>Probe Hybridization</t>
  </si>
  <si>
    <t>Total RNA in nuclease free water (25ng- 250 ng)</t>
  </si>
  <si>
    <t>(white) NEBNext v2 rRNA Depletion Solution</t>
  </si>
  <si>
    <t>(white) NEBNext Probe Hybridization Buffer</t>
  </si>
  <si>
    <t>Total Volume</t>
  </si>
  <si>
    <t>95˚/2min</t>
  </si>
  <si>
    <t>ramp down 0.1°C/sec to 22°C</t>
  </si>
  <si>
    <t>22˚/5 min -&gt; hold</t>
  </si>
  <si>
    <t>place on ice</t>
  </si>
  <si>
    <t>RNase H Digestion</t>
  </si>
  <si>
    <t>Hybridized RNA</t>
  </si>
  <si>
    <t>on ice</t>
  </si>
  <si>
    <t>(white) RNase H Reaction Buffer</t>
  </si>
  <si>
    <t>(white) NEBNext Thermostable RNase H</t>
  </si>
  <si>
    <t>50˚/30 min</t>
  </si>
  <si>
    <t>lid 55°C</t>
  </si>
  <si>
    <t>DNase I Digestion</t>
  </si>
  <si>
    <t>Rnase H treated RNA</t>
  </si>
  <si>
    <t>(white) DNase I Reaction Buffer</t>
  </si>
  <si>
    <t>(white) NEBNext DNase I (RNase- free)</t>
  </si>
  <si>
    <t>37˚/30 min</t>
  </si>
  <si>
    <t>lid &gt; 45°C</t>
  </si>
  <si>
    <t>RNA Purification (1.8X)</t>
  </si>
  <si>
    <t>Do a 1.8 X cleanup by adding 90 µl beads; elute in 6.5 µL Fragmentation Master Mix 1X (F)</t>
  </si>
  <si>
    <t>Incubate beadsmix 15 min on ice</t>
  </si>
  <si>
    <t>Incubate 6.5µL of F</t>
  </si>
  <si>
    <t>94˚/15 min</t>
  </si>
  <si>
    <t>lid 105°C</t>
  </si>
  <si>
    <t xml:space="preserve">for partially degraded RNA(RIN 2-6): </t>
  </si>
  <si>
    <t>94˚/7-8 min</t>
  </si>
  <si>
    <t xml:space="preserve">on ice </t>
  </si>
  <si>
    <t>Put it on a magnet and transfer 5 µL into new plate</t>
  </si>
  <si>
    <t>If less then 5µL top it up with 1X fragmentation mix</t>
  </si>
  <si>
    <t>First Strand cDNA Synthesis</t>
  </si>
  <si>
    <t>Fragmented and primed RNA</t>
  </si>
  <si>
    <t>(brown) NEBNext UltraExpress Strand Secificity Reagent</t>
  </si>
  <si>
    <t>25˚/10 min</t>
  </si>
  <si>
    <t>lid &gt;80°C</t>
  </si>
  <si>
    <t>42°C/10 min</t>
  </si>
  <si>
    <t>70°C/ 5 min</t>
  </si>
  <si>
    <t>4°C/ hold</t>
  </si>
  <si>
    <t>Second Strand cDNA Synthesis</t>
  </si>
  <si>
    <t>First-Strand Synthesis Product</t>
  </si>
  <si>
    <t>16˚/30 min -&gt; hold at 4°C</t>
  </si>
  <si>
    <t>lid &lt;40°C</t>
  </si>
  <si>
    <t>DNA Purification (1.8X)</t>
  </si>
  <si>
    <t>Do a 1.8 X cleanup by adding 72 µl beads; elute in 22 µL 0.1X TE; recover 20µL</t>
  </si>
  <si>
    <t>End prep of cDNA library</t>
  </si>
  <si>
    <t>Second Strand cDNA synthesis product</t>
  </si>
  <si>
    <t>(green) NEBNext UltraExpress End Prep Enzyme Mix</t>
  </si>
  <si>
    <t>20˚/5 min</t>
  </si>
  <si>
    <t>lid &gt;75°C</t>
  </si>
  <si>
    <t>65°C/10 min</t>
  </si>
  <si>
    <t>Dilute Adaptors in ICE cold adaptor dilution buffer</t>
  </si>
  <si>
    <t>Mix</t>
  </si>
  <si>
    <t>End Prepped DNA</t>
  </si>
  <si>
    <t>Diluted UMI Adaptor</t>
  </si>
  <si>
    <t>DO NOT mix LM with Adaptor</t>
  </si>
  <si>
    <t>(red) NEBNext UltraExpress Ligation Master Mix</t>
  </si>
  <si>
    <t>20˚/15min -&gt; hold 4°C</t>
  </si>
  <si>
    <t xml:space="preserve">Mix 2µL USER Enzyme with sample and incubate:  </t>
  </si>
  <si>
    <t>(blue) NEBNext MSTC High Yield Master Mix</t>
  </si>
  <si>
    <t>Index Primer Mix</t>
  </si>
  <si>
    <t>76-250ng</t>
  </si>
  <si>
    <t>25-75ng</t>
  </si>
  <si>
    <t>Phased CLEAN-UP 0.7X (HALF volume)</t>
  </si>
  <si>
    <t>Put the Kitnumbers into the working sheet and followingly into the sample annotation sheet.</t>
  </si>
  <si>
    <t>Library type for LIMS:</t>
  </si>
  <si>
    <t>RNAseq_rRNAdep_UMI_express_NEB</t>
  </si>
  <si>
    <t>Library kit</t>
  </si>
  <si>
    <t>Kitnumber</t>
  </si>
  <si>
    <t>NEBNext UltraExpress RNA Library Prep Kit</t>
  </si>
  <si>
    <t>#E3330</t>
  </si>
  <si>
    <t>NEBNext rRNA Depletion Kit v2 (Human/Mouse/Rat)</t>
  </si>
  <si>
    <t>#E7400</t>
  </si>
  <si>
    <t>NEBNext Multiplex Oligos for Illumina (Unique Dual Index UMI Adaptors RNA Set 1)</t>
  </si>
  <si>
    <t>#E7416</t>
  </si>
  <si>
    <t>BSF_LP_CH_000003</t>
  </si>
  <si>
    <t>Carina Suete</t>
  </si>
  <si>
    <t>Number of samples COLUMS:</t>
  </si>
  <si>
    <t>lib_conc_ng_ul</t>
  </si>
  <si>
    <t>pool</t>
  </si>
  <si>
    <t>Checklist NEBNext UltraExpress RNA library prep kit poly(A) isolation</t>
  </si>
  <si>
    <t>RNAseq_polyA_UMI_express_NEB</t>
  </si>
  <si>
    <t>NEBNext Poly(A) mRNA Magnetic Isolation Module</t>
  </si>
  <si>
    <t>#E7490</t>
  </si>
  <si>
    <t>Diluted UMI adaptor</t>
  </si>
  <si>
    <t>library_kits</t>
  </si>
  <si>
    <t>Library kits:</t>
  </si>
  <si>
    <t>E3330;E7490;E7416</t>
  </si>
  <si>
    <t>E3330;E7405;E7416</t>
  </si>
  <si>
    <t>NEBNext Poly(A) mRNA Magnetic Isolation Module LOT#: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</si>
</sst>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2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D898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16B6E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2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0" xfId="0" applyFont="1"/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/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/>
    <xf numFmtId="0" fontId="6" fillId="4" borderId="8" xfId="0" applyFont="1" applyFill="1" applyBorder="1"/>
    <xf numFmtId="0" fontId="14" fillId="0" borderId="0" xfId="0" applyFont="1"/>
    <xf numFmtId="164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/>
    </xf>
    <xf numFmtId="0" fontId="6" fillId="0" borderId="1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11" fillId="0" borderId="2" xfId="0" applyFont="1" applyBorder="1"/>
    <xf numFmtId="0" fontId="11" fillId="0" borderId="7" xfId="0" applyFont="1" applyBorder="1"/>
    <xf numFmtId="0" fontId="12" fillId="0" borderId="1" xfId="0" applyFont="1" applyBorder="1"/>
    <xf numFmtId="0" fontId="11" fillId="0" borderId="1" xfId="0" applyFont="1" applyBorder="1"/>
    <xf numFmtId="16" fontId="6" fillId="0" borderId="0" xfId="0" applyNumberFormat="1" applyFont="1"/>
    <xf numFmtId="0" fontId="10" fillId="2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7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4" borderId="24" xfId="0" applyFont="1" applyFill="1" applyBorder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3" fillId="0" borderId="0" xfId="0" applyFont="1"/>
    <xf numFmtId="0" fontId="8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25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" fontId="0" fillId="0" borderId="0" xfId="0" applyNumberFormat="1"/>
    <xf numFmtId="0" fontId="6" fillId="0" borderId="7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right" vertical="center"/>
    </xf>
    <xf numFmtId="0" fontId="21" fillId="0" borderId="2" xfId="0" applyFont="1" applyBorder="1" applyAlignment="1">
      <alignment horizontal="center" vertical="center" wrapText="1"/>
    </xf>
    <xf numFmtId="0" fontId="27" fillId="0" borderId="0" xfId="0" applyFont="1"/>
    <xf numFmtId="0" fontId="15" fillId="0" borderId="10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1" fontId="15" fillId="0" borderId="15" xfId="0" applyNumberFormat="1" applyFont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center" vertical="center"/>
    </xf>
    <xf numFmtId="164" fontId="6" fillId="0" borderId="26" xfId="0" applyNumberFormat="1" applyFont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164" fontId="6" fillId="0" borderId="27" xfId="0" applyNumberFormat="1" applyFont="1" applyBorder="1" applyAlignment="1">
      <alignment horizontal="center" vertical="center"/>
    </xf>
    <xf numFmtId="164" fontId="6" fillId="0" borderId="28" xfId="0" applyNumberFormat="1" applyFont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/>
    </xf>
    <xf numFmtId="0" fontId="24" fillId="8" borderId="11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6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</cellXfs>
  <cellStyles count="4">
    <cellStyle name="Normal" xfId="0" builtinId="0"/>
    <cellStyle name="Normal 2" xfId="1" xr:uid="{7B404F19-0144-4F3E-A063-4D55832E10EA}"/>
    <cellStyle name="Stand. 2" xfId="2" xr:uid="{5A6D8027-83B3-4CFC-B764-1D9734900A5E}"/>
    <cellStyle name="Standard 2" xfId="3" xr:uid="{10535F53-4074-4448-B3FE-F945A31FECF9}"/>
  </cellStyles>
  <dxfs count="34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  <dxf>
      <fill>
        <patternFill>
          <bgColor rgb="FFFF6D6D"/>
        </patternFill>
      </fill>
    </dxf>
    <dxf>
      <fill>
        <patternFill>
          <bgColor rgb="FFF1AFF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D7D"/>
      <color rgb="FFFF7C80"/>
      <color rgb="FF808000"/>
      <color rgb="FFD60093"/>
      <color rgb="FF9900CC"/>
      <color rgb="FFCC00FF"/>
      <color rgb="FF339966"/>
      <color rgb="FFCC3300"/>
      <color rgb="FF00FF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141</xdr:row>
          <xdr:rowOff>47625</xdr:rowOff>
        </xdr:from>
        <xdr:to>
          <xdr:col>1</xdr:col>
          <xdr:colOff>2469</xdr:colOff>
          <xdr:row>141</xdr:row>
          <xdr:rowOff>276225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134</xdr:row>
          <xdr:rowOff>47625</xdr:rowOff>
        </xdr:from>
        <xdr:to>
          <xdr:col>1</xdr:col>
          <xdr:colOff>2469</xdr:colOff>
          <xdr:row>134</xdr:row>
          <xdr:rowOff>295275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107</xdr:row>
          <xdr:rowOff>47625</xdr:rowOff>
        </xdr:from>
        <xdr:to>
          <xdr:col>1</xdr:col>
          <xdr:colOff>2469</xdr:colOff>
          <xdr:row>108</xdr:row>
          <xdr:rowOff>9525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1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94</xdr:row>
          <xdr:rowOff>47625</xdr:rowOff>
        </xdr:from>
        <xdr:to>
          <xdr:col>1</xdr:col>
          <xdr:colOff>2469</xdr:colOff>
          <xdr:row>94</xdr:row>
          <xdr:rowOff>276225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80</xdr:row>
          <xdr:rowOff>47625</xdr:rowOff>
        </xdr:from>
        <xdr:to>
          <xdr:col>1</xdr:col>
          <xdr:colOff>2469</xdr:colOff>
          <xdr:row>80</xdr:row>
          <xdr:rowOff>276225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1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76</xdr:row>
          <xdr:rowOff>47625</xdr:rowOff>
        </xdr:from>
        <xdr:to>
          <xdr:col>1</xdr:col>
          <xdr:colOff>2469</xdr:colOff>
          <xdr:row>76</xdr:row>
          <xdr:rowOff>276225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1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73</xdr:row>
          <xdr:rowOff>47625</xdr:rowOff>
        </xdr:from>
        <xdr:to>
          <xdr:col>1</xdr:col>
          <xdr:colOff>2469</xdr:colOff>
          <xdr:row>73</xdr:row>
          <xdr:rowOff>276225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1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61</xdr:row>
          <xdr:rowOff>47625</xdr:rowOff>
        </xdr:from>
        <xdr:to>
          <xdr:col>1</xdr:col>
          <xdr:colOff>2469</xdr:colOff>
          <xdr:row>61</xdr:row>
          <xdr:rowOff>276225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1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50</xdr:row>
          <xdr:rowOff>47625</xdr:rowOff>
        </xdr:from>
        <xdr:to>
          <xdr:col>1</xdr:col>
          <xdr:colOff>2469</xdr:colOff>
          <xdr:row>50</xdr:row>
          <xdr:rowOff>276225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1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43</xdr:row>
          <xdr:rowOff>47625</xdr:rowOff>
        </xdr:from>
        <xdr:to>
          <xdr:col>1</xdr:col>
          <xdr:colOff>2469</xdr:colOff>
          <xdr:row>43</xdr:row>
          <xdr:rowOff>276225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1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41</xdr:row>
          <xdr:rowOff>47625</xdr:rowOff>
        </xdr:from>
        <xdr:to>
          <xdr:col>1</xdr:col>
          <xdr:colOff>2469</xdr:colOff>
          <xdr:row>41</xdr:row>
          <xdr:rowOff>276225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1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349249</xdr:colOff>
      <xdr:row>160</xdr:row>
      <xdr:rowOff>30163</xdr:rowOff>
    </xdr:from>
    <xdr:to>
      <xdr:col>5</xdr:col>
      <xdr:colOff>50799</xdr:colOff>
      <xdr:row>161</xdr:row>
      <xdr:rowOff>185738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48366363"/>
          <a:ext cx="228600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</xdr:row>
          <xdr:rowOff>47625</xdr:rowOff>
        </xdr:from>
        <xdr:to>
          <xdr:col>1</xdr:col>
          <xdr:colOff>2469</xdr:colOff>
          <xdr:row>12</xdr:row>
          <xdr:rowOff>276225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1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47</xdr:row>
          <xdr:rowOff>47625</xdr:rowOff>
        </xdr:from>
        <xdr:to>
          <xdr:col>1</xdr:col>
          <xdr:colOff>2469</xdr:colOff>
          <xdr:row>47</xdr:row>
          <xdr:rowOff>276225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1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46</xdr:row>
          <xdr:rowOff>47625</xdr:rowOff>
        </xdr:from>
        <xdr:to>
          <xdr:col>1</xdr:col>
          <xdr:colOff>2469</xdr:colOff>
          <xdr:row>46</xdr:row>
          <xdr:rowOff>276225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1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48</xdr:row>
          <xdr:rowOff>47625</xdr:rowOff>
        </xdr:from>
        <xdr:to>
          <xdr:col>1</xdr:col>
          <xdr:colOff>2469</xdr:colOff>
          <xdr:row>48</xdr:row>
          <xdr:rowOff>276225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1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52</xdr:row>
          <xdr:rowOff>47625</xdr:rowOff>
        </xdr:from>
        <xdr:to>
          <xdr:col>1</xdr:col>
          <xdr:colOff>2469</xdr:colOff>
          <xdr:row>52</xdr:row>
          <xdr:rowOff>276225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1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56</xdr:row>
          <xdr:rowOff>47625</xdr:rowOff>
        </xdr:from>
        <xdr:to>
          <xdr:col>1</xdr:col>
          <xdr:colOff>2469</xdr:colOff>
          <xdr:row>56</xdr:row>
          <xdr:rowOff>276225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1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60</xdr:row>
          <xdr:rowOff>47625</xdr:rowOff>
        </xdr:from>
        <xdr:to>
          <xdr:col>1</xdr:col>
          <xdr:colOff>2469</xdr:colOff>
          <xdr:row>60</xdr:row>
          <xdr:rowOff>276225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1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63</xdr:row>
          <xdr:rowOff>47625</xdr:rowOff>
        </xdr:from>
        <xdr:to>
          <xdr:col>1</xdr:col>
          <xdr:colOff>2469</xdr:colOff>
          <xdr:row>63</xdr:row>
          <xdr:rowOff>276225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1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65</xdr:row>
          <xdr:rowOff>47625</xdr:rowOff>
        </xdr:from>
        <xdr:to>
          <xdr:col>1</xdr:col>
          <xdr:colOff>2469</xdr:colOff>
          <xdr:row>65</xdr:row>
          <xdr:rowOff>276225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1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67</xdr:row>
          <xdr:rowOff>47625</xdr:rowOff>
        </xdr:from>
        <xdr:to>
          <xdr:col>1</xdr:col>
          <xdr:colOff>2469</xdr:colOff>
          <xdr:row>67</xdr:row>
          <xdr:rowOff>276225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1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69</xdr:row>
          <xdr:rowOff>47625</xdr:rowOff>
        </xdr:from>
        <xdr:to>
          <xdr:col>1</xdr:col>
          <xdr:colOff>2469</xdr:colOff>
          <xdr:row>69</xdr:row>
          <xdr:rowOff>276225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1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71</xdr:row>
          <xdr:rowOff>47625</xdr:rowOff>
        </xdr:from>
        <xdr:to>
          <xdr:col>1</xdr:col>
          <xdr:colOff>2469</xdr:colOff>
          <xdr:row>71</xdr:row>
          <xdr:rowOff>276225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1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74</xdr:row>
          <xdr:rowOff>47625</xdr:rowOff>
        </xdr:from>
        <xdr:to>
          <xdr:col>1</xdr:col>
          <xdr:colOff>2469</xdr:colOff>
          <xdr:row>74</xdr:row>
          <xdr:rowOff>276225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1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86</xdr:row>
          <xdr:rowOff>47625</xdr:rowOff>
        </xdr:from>
        <xdr:to>
          <xdr:col>1</xdr:col>
          <xdr:colOff>2469</xdr:colOff>
          <xdr:row>86</xdr:row>
          <xdr:rowOff>276225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1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84</xdr:row>
          <xdr:rowOff>47625</xdr:rowOff>
        </xdr:from>
        <xdr:to>
          <xdr:col>1</xdr:col>
          <xdr:colOff>2469</xdr:colOff>
          <xdr:row>84</xdr:row>
          <xdr:rowOff>276225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1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84</xdr:row>
          <xdr:rowOff>47625</xdr:rowOff>
        </xdr:from>
        <xdr:to>
          <xdr:col>1</xdr:col>
          <xdr:colOff>2469</xdr:colOff>
          <xdr:row>84</xdr:row>
          <xdr:rowOff>276225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1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89</xdr:row>
          <xdr:rowOff>47625</xdr:rowOff>
        </xdr:from>
        <xdr:to>
          <xdr:col>1</xdr:col>
          <xdr:colOff>2469</xdr:colOff>
          <xdr:row>89</xdr:row>
          <xdr:rowOff>276225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1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96</xdr:row>
          <xdr:rowOff>47625</xdr:rowOff>
        </xdr:from>
        <xdr:to>
          <xdr:col>1</xdr:col>
          <xdr:colOff>2469</xdr:colOff>
          <xdr:row>96</xdr:row>
          <xdr:rowOff>276225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1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100</xdr:row>
          <xdr:rowOff>47625</xdr:rowOff>
        </xdr:from>
        <xdr:to>
          <xdr:col>1</xdr:col>
          <xdr:colOff>2469</xdr:colOff>
          <xdr:row>100</xdr:row>
          <xdr:rowOff>276225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1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104</xdr:row>
          <xdr:rowOff>47625</xdr:rowOff>
        </xdr:from>
        <xdr:to>
          <xdr:col>1</xdr:col>
          <xdr:colOff>2469</xdr:colOff>
          <xdr:row>105</xdr:row>
          <xdr:rowOff>9525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1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117</xdr:row>
          <xdr:rowOff>47625</xdr:rowOff>
        </xdr:from>
        <xdr:to>
          <xdr:col>1</xdr:col>
          <xdr:colOff>2469</xdr:colOff>
          <xdr:row>117</xdr:row>
          <xdr:rowOff>304800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1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119</xdr:row>
          <xdr:rowOff>47625</xdr:rowOff>
        </xdr:from>
        <xdr:to>
          <xdr:col>1</xdr:col>
          <xdr:colOff>2469</xdr:colOff>
          <xdr:row>119</xdr:row>
          <xdr:rowOff>276225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1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123</xdr:row>
          <xdr:rowOff>47625</xdr:rowOff>
        </xdr:from>
        <xdr:to>
          <xdr:col>1</xdr:col>
          <xdr:colOff>2469</xdr:colOff>
          <xdr:row>123</xdr:row>
          <xdr:rowOff>276225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1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124</xdr:row>
          <xdr:rowOff>47625</xdr:rowOff>
        </xdr:from>
        <xdr:to>
          <xdr:col>1</xdr:col>
          <xdr:colOff>2469</xdr:colOff>
          <xdr:row>124</xdr:row>
          <xdr:rowOff>304800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1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125</xdr:row>
          <xdr:rowOff>47625</xdr:rowOff>
        </xdr:from>
        <xdr:to>
          <xdr:col>1</xdr:col>
          <xdr:colOff>2469</xdr:colOff>
          <xdr:row>125</xdr:row>
          <xdr:rowOff>276225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1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127</xdr:row>
          <xdr:rowOff>47625</xdr:rowOff>
        </xdr:from>
        <xdr:to>
          <xdr:col>1</xdr:col>
          <xdr:colOff>2469</xdr:colOff>
          <xdr:row>127</xdr:row>
          <xdr:rowOff>276225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1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128</xdr:row>
          <xdr:rowOff>47625</xdr:rowOff>
        </xdr:from>
        <xdr:to>
          <xdr:col>1</xdr:col>
          <xdr:colOff>2469</xdr:colOff>
          <xdr:row>128</xdr:row>
          <xdr:rowOff>276225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1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130</xdr:row>
          <xdr:rowOff>47625</xdr:rowOff>
        </xdr:from>
        <xdr:to>
          <xdr:col>1</xdr:col>
          <xdr:colOff>2469</xdr:colOff>
          <xdr:row>130</xdr:row>
          <xdr:rowOff>276225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1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57</xdr:row>
          <xdr:rowOff>47625</xdr:rowOff>
        </xdr:from>
        <xdr:to>
          <xdr:col>1</xdr:col>
          <xdr:colOff>2469</xdr:colOff>
          <xdr:row>57</xdr:row>
          <xdr:rowOff>276225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1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64</xdr:row>
          <xdr:rowOff>47625</xdr:rowOff>
        </xdr:from>
        <xdr:to>
          <xdr:col>1</xdr:col>
          <xdr:colOff>2469</xdr:colOff>
          <xdr:row>64</xdr:row>
          <xdr:rowOff>276225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1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68</xdr:row>
          <xdr:rowOff>47625</xdr:rowOff>
        </xdr:from>
        <xdr:to>
          <xdr:col>1</xdr:col>
          <xdr:colOff>2469</xdr:colOff>
          <xdr:row>68</xdr:row>
          <xdr:rowOff>276225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1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92</xdr:row>
          <xdr:rowOff>66675</xdr:rowOff>
        </xdr:from>
        <xdr:to>
          <xdr:col>1</xdr:col>
          <xdr:colOff>2469</xdr:colOff>
          <xdr:row>92</xdr:row>
          <xdr:rowOff>295275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1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140</xdr:row>
          <xdr:rowOff>47625</xdr:rowOff>
        </xdr:from>
        <xdr:to>
          <xdr:col>1</xdr:col>
          <xdr:colOff>2469</xdr:colOff>
          <xdr:row>140</xdr:row>
          <xdr:rowOff>266700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1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152</xdr:row>
          <xdr:rowOff>0</xdr:rowOff>
        </xdr:from>
        <xdr:to>
          <xdr:col>1</xdr:col>
          <xdr:colOff>2469</xdr:colOff>
          <xdr:row>153</xdr:row>
          <xdr:rowOff>66675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1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152</xdr:row>
          <xdr:rowOff>0</xdr:rowOff>
        </xdr:from>
        <xdr:to>
          <xdr:col>1</xdr:col>
          <xdr:colOff>2469</xdr:colOff>
          <xdr:row>153</xdr:row>
          <xdr:rowOff>57150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1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153</xdr:row>
          <xdr:rowOff>0</xdr:rowOff>
        </xdr:from>
        <xdr:to>
          <xdr:col>1</xdr:col>
          <xdr:colOff>2469</xdr:colOff>
          <xdr:row>154</xdr:row>
          <xdr:rowOff>57150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1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47</xdr:row>
          <xdr:rowOff>66675</xdr:rowOff>
        </xdr:from>
        <xdr:to>
          <xdr:col>1</xdr:col>
          <xdr:colOff>76200</xdr:colOff>
          <xdr:row>48</xdr:row>
          <xdr:rowOff>9525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49</xdr:row>
          <xdr:rowOff>66675</xdr:rowOff>
        </xdr:from>
        <xdr:to>
          <xdr:col>1</xdr:col>
          <xdr:colOff>76200</xdr:colOff>
          <xdr:row>49</xdr:row>
          <xdr:rowOff>276225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2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57</xdr:row>
          <xdr:rowOff>66675</xdr:rowOff>
        </xdr:from>
        <xdr:to>
          <xdr:col>1</xdr:col>
          <xdr:colOff>76200</xdr:colOff>
          <xdr:row>57</xdr:row>
          <xdr:rowOff>276225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2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59</xdr:row>
          <xdr:rowOff>66675</xdr:rowOff>
        </xdr:from>
        <xdr:to>
          <xdr:col>1</xdr:col>
          <xdr:colOff>76200</xdr:colOff>
          <xdr:row>59</xdr:row>
          <xdr:rowOff>276225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2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53</xdr:row>
          <xdr:rowOff>66675</xdr:rowOff>
        </xdr:from>
        <xdr:to>
          <xdr:col>1</xdr:col>
          <xdr:colOff>76200</xdr:colOff>
          <xdr:row>53</xdr:row>
          <xdr:rowOff>276225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2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64</xdr:row>
          <xdr:rowOff>66675</xdr:rowOff>
        </xdr:from>
        <xdr:to>
          <xdr:col>1</xdr:col>
          <xdr:colOff>76200</xdr:colOff>
          <xdr:row>64</xdr:row>
          <xdr:rowOff>276225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2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67</xdr:row>
          <xdr:rowOff>66675</xdr:rowOff>
        </xdr:from>
        <xdr:to>
          <xdr:col>1</xdr:col>
          <xdr:colOff>76200</xdr:colOff>
          <xdr:row>67</xdr:row>
          <xdr:rowOff>276225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2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69</xdr:row>
          <xdr:rowOff>66675</xdr:rowOff>
        </xdr:from>
        <xdr:to>
          <xdr:col>1</xdr:col>
          <xdr:colOff>76200</xdr:colOff>
          <xdr:row>69</xdr:row>
          <xdr:rowOff>276225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2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74</xdr:row>
          <xdr:rowOff>66675</xdr:rowOff>
        </xdr:from>
        <xdr:to>
          <xdr:col>1</xdr:col>
          <xdr:colOff>76200</xdr:colOff>
          <xdr:row>74</xdr:row>
          <xdr:rowOff>276225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2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83</xdr:row>
          <xdr:rowOff>66675</xdr:rowOff>
        </xdr:from>
        <xdr:to>
          <xdr:col>1</xdr:col>
          <xdr:colOff>76200</xdr:colOff>
          <xdr:row>83</xdr:row>
          <xdr:rowOff>276225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2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85</xdr:row>
          <xdr:rowOff>66675</xdr:rowOff>
        </xdr:from>
        <xdr:to>
          <xdr:col>1</xdr:col>
          <xdr:colOff>76200</xdr:colOff>
          <xdr:row>85</xdr:row>
          <xdr:rowOff>276225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2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89</xdr:row>
          <xdr:rowOff>66675</xdr:rowOff>
        </xdr:from>
        <xdr:to>
          <xdr:col>1</xdr:col>
          <xdr:colOff>76200</xdr:colOff>
          <xdr:row>89</xdr:row>
          <xdr:rowOff>276225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2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94</xdr:row>
          <xdr:rowOff>66675</xdr:rowOff>
        </xdr:from>
        <xdr:to>
          <xdr:col>1</xdr:col>
          <xdr:colOff>76200</xdr:colOff>
          <xdr:row>94</xdr:row>
          <xdr:rowOff>276225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2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96</xdr:row>
          <xdr:rowOff>66675</xdr:rowOff>
        </xdr:from>
        <xdr:to>
          <xdr:col>1</xdr:col>
          <xdr:colOff>76200</xdr:colOff>
          <xdr:row>96</xdr:row>
          <xdr:rowOff>276225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2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99</xdr:row>
          <xdr:rowOff>66675</xdr:rowOff>
        </xdr:from>
        <xdr:to>
          <xdr:col>1</xdr:col>
          <xdr:colOff>76200</xdr:colOff>
          <xdr:row>99</xdr:row>
          <xdr:rowOff>276225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2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101</xdr:row>
          <xdr:rowOff>66675</xdr:rowOff>
        </xdr:from>
        <xdr:to>
          <xdr:col>1</xdr:col>
          <xdr:colOff>76200</xdr:colOff>
          <xdr:row>101</xdr:row>
          <xdr:rowOff>276225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2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103</xdr:row>
          <xdr:rowOff>66675</xdr:rowOff>
        </xdr:from>
        <xdr:to>
          <xdr:col>1</xdr:col>
          <xdr:colOff>76200</xdr:colOff>
          <xdr:row>103</xdr:row>
          <xdr:rowOff>276225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2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105</xdr:row>
          <xdr:rowOff>66675</xdr:rowOff>
        </xdr:from>
        <xdr:to>
          <xdr:col>1</xdr:col>
          <xdr:colOff>76200</xdr:colOff>
          <xdr:row>105</xdr:row>
          <xdr:rowOff>276225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2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109</xdr:row>
          <xdr:rowOff>66675</xdr:rowOff>
        </xdr:from>
        <xdr:to>
          <xdr:col>1</xdr:col>
          <xdr:colOff>76200</xdr:colOff>
          <xdr:row>109</xdr:row>
          <xdr:rowOff>266700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2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113</xdr:row>
          <xdr:rowOff>47625</xdr:rowOff>
        </xdr:from>
        <xdr:to>
          <xdr:col>1</xdr:col>
          <xdr:colOff>76200</xdr:colOff>
          <xdr:row>113</xdr:row>
          <xdr:rowOff>304800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2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41</xdr:row>
          <xdr:rowOff>66675</xdr:rowOff>
        </xdr:from>
        <xdr:to>
          <xdr:col>1</xdr:col>
          <xdr:colOff>76200</xdr:colOff>
          <xdr:row>42</xdr:row>
          <xdr:rowOff>9525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2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43</xdr:row>
          <xdr:rowOff>47625</xdr:rowOff>
        </xdr:from>
        <xdr:to>
          <xdr:col>1</xdr:col>
          <xdr:colOff>76200</xdr:colOff>
          <xdr:row>43</xdr:row>
          <xdr:rowOff>266700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2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79</xdr:row>
          <xdr:rowOff>66675</xdr:rowOff>
        </xdr:from>
        <xdr:to>
          <xdr:col>1</xdr:col>
          <xdr:colOff>76200</xdr:colOff>
          <xdr:row>79</xdr:row>
          <xdr:rowOff>276225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2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116</xdr:row>
          <xdr:rowOff>47625</xdr:rowOff>
        </xdr:from>
        <xdr:to>
          <xdr:col>1</xdr:col>
          <xdr:colOff>76200</xdr:colOff>
          <xdr:row>116</xdr:row>
          <xdr:rowOff>295275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2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133</xdr:row>
          <xdr:rowOff>47625</xdr:rowOff>
        </xdr:from>
        <xdr:to>
          <xdr:col>1</xdr:col>
          <xdr:colOff>76200</xdr:colOff>
          <xdr:row>133</xdr:row>
          <xdr:rowOff>304800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2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134</xdr:row>
          <xdr:rowOff>47625</xdr:rowOff>
        </xdr:from>
        <xdr:to>
          <xdr:col>1</xdr:col>
          <xdr:colOff>76200</xdr:colOff>
          <xdr:row>134</xdr:row>
          <xdr:rowOff>276225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2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137</xdr:row>
          <xdr:rowOff>47625</xdr:rowOff>
        </xdr:from>
        <xdr:to>
          <xdr:col>1</xdr:col>
          <xdr:colOff>76200</xdr:colOff>
          <xdr:row>137</xdr:row>
          <xdr:rowOff>276225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2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126</xdr:row>
          <xdr:rowOff>47625</xdr:rowOff>
        </xdr:from>
        <xdr:to>
          <xdr:col>1</xdr:col>
          <xdr:colOff>76200</xdr:colOff>
          <xdr:row>126</xdr:row>
          <xdr:rowOff>304800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2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143</xdr:row>
          <xdr:rowOff>47625</xdr:rowOff>
        </xdr:from>
        <xdr:to>
          <xdr:col>1</xdr:col>
          <xdr:colOff>76200</xdr:colOff>
          <xdr:row>143</xdr:row>
          <xdr:rowOff>295275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2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139</xdr:row>
          <xdr:rowOff>47625</xdr:rowOff>
        </xdr:from>
        <xdr:to>
          <xdr:col>1</xdr:col>
          <xdr:colOff>76200</xdr:colOff>
          <xdr:row>139</xdr:row>
          <xdr:rowOff>276225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2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150</xdr:row>
          <xdr:rowOff>47625</xdr:rowOff>
        </xdr:from>
        <xdr:to>
          <xdr:col>1</xdr:col>
          <xdr:colOff>76200</xdr:colOff>
          <xdr:row>150</xdr:row>
          <xdr:rowOff>276225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2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132</xdr:row>
          <xdr:rowOff>47625</xdr:rowOff>
        </xdr:from>
        <xdr:to>
          <xdr:col>1</xdr:col>
          <xdr:colOff>76200</xdr:colOff>
          <xdr:row>132</xdr:row>
          <xdr:rowOff>304800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2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128</xdr:row>
          <xdr:rowOff>47625</xdr:rowOff>
        </xdr:from>
        <xdr:to>
          <xdr:col>1</xdr:col>
          <xdr:colOff>76200</xdr:colOff>
          <xdr:row>128</xdr:row>
          <xdr:rowOff>304800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2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149</xdr:row>
          <xdr:rowOff>66675</xdr:rowOff>
        </xdr:from>
        <xdr:to>
          <xdr:col>1</xdr:col>
          <xdr:colOff>76200</xdr:colOff>
          <xdr:row>150</xdr:row>
          <xdr:rowOff>9525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2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136</xdr:row>
          <xdr:rowOff>47625</xdr:rowOff>
        </xdr:from>
        <xdr:to>
          <xdr:col>1</xdr:col>
          <xdr:colOff>76200</xdr:colOff>
          <xdr:row>136</xdr:row>
          <xdr:rowOff>276225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2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81</xdr:row>
          <xdr:rowOff>66675</xdr:rowOff>
        </xdr:from>
        <xdr:to>
          <xdr:col>1</xdr:col>
          <xdr:colOff>76200</xdr:colOff>
          <xdr:row>81</xdr:row>
          <xdr:rowOff>276225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2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161</xdr:row>
          <xdr:rowOff>304800</xdr:rowOff>
        </xdr:from>
        <xdr:to>
          <xdr:col>1</xdr:col>
          <xdr:colOff>104775</xdr:colOff>
          <xdr:row>163</xdr:row>
          <xdr:rowOff>66675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2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342900</xdr:colOff>
      <xdr:row>169</xdr:row>
      <xdr:rowOff>85725</xdr:rowOff>
    </xdr:from>
    <xdr:to>
      <xdr:col>4</xdr:col>
      <xdr:colOff>730251</xdr:colOff>
      <xdr:row>170</xdr:row>
      <xdr:rowOff>257175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2ABE003-C86F-42B1-82CD-39D9D92CE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53146325"/>
          <a:ext cx="2152651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</xdr:row>
          <xdr:rowOff>66675</xdr:rowOff>
        </xdr:from>
        <xdr:to>
          <xdr:col>1</xdr:col>
          <xdr:colOff>76200</xdr:colOff>
          <xdr:row>12</xdr:row>
          <xdr:rowOff>276225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2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160</xdr:row>
          <xdr:rowOff>295275</xdr:rowOff>
        </xdr:from>
        <xdr:to>
          <xdr:col>1</xdr:col>
          <xdr:colOff>104775</xdr:colOff>
          <xdr:row>162</xdr:row>
          <xdr:rowOff>47625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2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78</xdr:row>
          <xdr:rowOff>66675</xdr:rowOff>
        </xdr:from>
        <xdr:to>
          <xdr:col>1</xdr:col>
          <xdr:colOff>76200</xdr:colOff>
          <xdr:row>78</xdr:row>
          <xdr:rowOff>276225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2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77</xdr:row>
          <xdr:rowOff>66675</xdr:rowOff>
        </xdr:from>
        <xdr:to>
          <xdr:col>1</xdr:col>
          <xdr:colOff>76200</xdr:colOff>
          <xdr:row>77</xdr:row>
          <xdr:rowOff>276225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2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7.xml"/><Relationship Id="rId18" Type="http://schemas.openxmlformats.org/officeDocument/2006/relationships/ctrlProp" Target="../ctrlProps/ctrlProp62.xml"/><Relationship Id="rId26" Type="http://schemas.openxmlformats.org/officeDocument/2006/relationships/ctrlProp" Target="../ctrlProps/ctrlProp70.xml"/><Relationship Id="rId39" Type="http://schemas.openxmlformats.org/officeDocument/2006/relationships/ctrlProp" Target="../ctrlProps/ctrlProp83.xml"/><Relationship Id="rId21" Type="http://schemas.openxmlformats.org/officeDocument/2006/relationships/ctrlProp" Target="../ctrlProps/ctrlProp65.xml"/><Relationship Id="rId34" Type="http://schemas.openxmlformats.org/officeDocument/2006/relationships/ctrlProp" Target="../ctrlProps/ctrlProp78.xml"/><Relationship Id="rId42" Type="http://schemas.openxmlformats.org/officeDocument/2006/relationships/ctrlProp" Target="../ctrlProps/ctrlProp86.xml"/><Relationship Id="rId7" Type="http://schemas.openxmlformats.org/officeDocument/2006/relationships/ctrlProp" Target="../ctrlProps/ctrlProp5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60.xml"/><Relationship Id="rId20" Type="http://schemas.openxmlformats.org/officeDocument/2006/relationships/ctrlProp" Target="../ctrlProps/ctrlProp64.xml"/><Relationship Id="rId29" Type="http://schemas.openxmlformats.org/officeDocument/2006/relationships/ctrlProp" Target="../ctrlProps/ctrlProp73.xml"/><Relationship Id="rId41" Type="http://schemas.openxmlformats.org/officeDocument/2006/relationships/ctrlProp" Target="../ctrlProps/ctrlProp8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0.xml"/><Relationship Id="rId11" Type="http://schemas.openxmlformats.org/officeDocument/2006/relationships/ctrlProp" Target="../ctrlProps/ctrlProp55.xml"/><Relationship Id="rId24" Type="http://schemas.openxmlformats.org/officeDocument/2006/relationships/ctrlProp" Target="../ctrlProps/ctrlProp68.xml"/><Relationship Id="rId32" Type="http://schemas.openxmlformats.org/officeDocument/2006/relationships/ctrlProp" Target="../ctrlProps/ctrlProp76.xml"/><Relationship Id="rId37" Type="http://schemas.openxmlformats.org/officeDocument/2006/relationships/ctrlProp" Target="../ctrlProps/ctrlProp81.xml"/><Relationship Id="rId40" Type="http://schemas.openxmlformats.org/officeDocument/2006/relationships/ctrlProp" Target="../ctrlProps/ctrlProp84.xml"/><Relationship Id="rId5" Type="http://schemas.openxmlformats.org/officeDocument/2006/relationships/ctrlProp" Target="../ctrlProps/ctrlProp49.xml"/><Relationship Id="rId15" Type="http://schemas.openxmlformats.org/officeDocument/2006/relationships/ctrlProp" Target="../ctrlProps/ctrlProp59.xml"/><Relationship Id="rId23" Type="http://schemas.openxmlformats.org/officeDocument/2006/relationships/ctrlProp" Target="../ctrlProps/ctrlProp67.xml"/><Relationship Id="rId28" Type="http://schemas.openxmlformats.org/officeDocument/2006/relationships/ctrlProp" Target="../ctrlProps/ctrlProp72.xml"/><Relationship Id="rId36" Type="http://schemas.openxmlformats.org/officeDocument/2006/relationships/ctrlProp" Target="../ctrlProps/ctrlProp80.xml"/><Relationship Id="rId10" Type="http://schemas.openxmlformats.org/officeDocument/2006/relationships/ctrlProp" Target="../ctrlProps/ctrlProp54.xml"/><Relationship Id="rId19" Type="http://schemas.openxmlformats.org/officeDocument/2006/relationships/ctrlProp" Target="../ctrlProps/ctrlProp63.xml"/><Relationship Id="rId31" Type="http://schemas.openxmlformats.org/officeDocument/2006/relationships/ctrlProp" Target="../ctrlProps/ctrlProp75.xml"/><Relationship Id="rId44" Type="http://schemas.openxmlformats.org/officeDocument/2006/relationships/ctrlProp" Target="../ctrlProps/ctrlProp88.xml"/><Relationship Id="rId4" Type="http://schemas.openxmlformats.org/officeDocument/2006/relationships/ctrlProp" Target="../ctrlProps/ctrlProp48.xml"/><Relationship Id="rId9" Type="http://schemas.openxmlformats.org/officeDocument/2006/relationships/ctrlProp" Target="../ctrlProps/ctrlProp53.xml"/><Relationship Id="rId14" Type="http://schemas.openxmlformats.org/officeDocument/2006/relationships/ctrlProp" Target="../ctrlProps/ctrlProp58.xml"/><Relationship Id="rId22" Type="http://schemas.openxmlformats.org/officeDocument/2006/relationships/ctrlProp" Target="../ctrlProps/ctrlProp66.xml"/><Relationship Id="rId27" Type="http://schemas.openxmlformats.org/officeDocument/2006/relationships/ctrlProp" Target="../ctrlProps/ctrlProp71.xml"/><Relationship Id="rId30" Type="http://schemas.openxmlformats.org/officeDocument/2006/relationships/ctrlProp" Target="../ctrlProps/ctrlProp74.xml"/><Relationship Id="rId35" Type="http://schemas.openxmlformats.org/officeDocument/2006/relationships/ctrlProp" Target="../ctrlProps/ctrlProp79.xml"/><Relationship Id="rId43" Type="http://schemas.openxmlformats.org/officeDocument/2006/relationships/ctrlProp" Target="../ctrlProps/ctrlProp87.xml"/><Relationship Id="rId8" Type="http://schemas.openxmlformats.org/officeDocument/2006/relationships/ctrlProp" Target="../ctrlProps/ctrlProp52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6.xml"/><Relationship Id="rId17" Type="http://schemas.openxmlformats.org/officeDocument/2006/relationships/ctrlProp" Target="../ctrlProps/ctrlProp61.xml"/><Relationship Id="rId25" Type="http://schemas.openxmlformats.org/officeDocument/2006/relationships/ctrlProp" Target="../ctrlProps/ctrlProp69.xml"/><Relationship Id="rId33" Type="http://schemas.openxmlformats.org/officeDocument/2006/relationships/ctrlProp" Target="../ctrlProps/ctrlProp77.xml"/><Relationship Id="rId38" Type="http://schemas.openxmlformats.org/officeDocument/2006/relationships/ctrlProp" Target="../ctrlProps/ctrlProp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851C-3DEB-A547-BF76-A50AAFDF4154}">
  <sheetPr codeName="Sheet1"/>
  <dimension ref="A1:AB97"/>
  <sheetViews>
    <sheetView workbookViewId="0">
      <selection activeCell="AB9" sqref="AB9"/>
    </sheetView>
  </sheetViews>
  <sheetFormatPr defaultColWidth="9.140625" defaultRowHeight="15" x14ac:dyDescent="0.25"/>
  <cols>
    <col min="1" max="1" width="12.42578125" style="82" bestFit="1" customWidth="1"/>
    <col min="2" max="3" width="12.42578125" style="82" customWidth="1"/>
    <col min="4" max="4" width="8.85546875" style="82" customWidth="1"/>
    <col min="5" max="5" width="13.42578125" style="82" customWidth="1"/>
    <col min="6" max="9" width="12.42578125" style="82" customWidth="1"/>
    <col min="10" max="10" width="9.42578125" style="82" customWidth="1"/>
    <col min="11" max="11" width="10.5703125" style="82" customWidth="1"/>
    <col min="12" max="13" width="12.42578125" style="82" customWidth="1"/>
    <col min="14" max="14" width="7.85546875" style="82" customWidth="1"/>
    <col min="15" max="15" width="9.140625" style="88"/>
    <col min="16" max="16" width="9.85546875" style="82" customWidth="1"/>
    <col min="17" max="17" width="7.85546875" style="82" customWidth="1"/>
    <col min="18" max="20" width="12.42578125" style="82" customWidth="1"/>
    <col min="21" max="21" width="12.42578125" style="82" bestFit="1" customWidth="1"/>
    <col min="22" max="22" width="16.140625" style="82" bestFit="1" customWidth="1"/>
    <col min="23" max="23" width="9.42578125" style="82" bestFit="1" customWidth="1"/>
    <col min="24" max="24" width="16.140625" style="82" bestFit="1" customWidth="1"/>
    <col min="25" max="25" width="14.42578125" style="82" customWidth="1"/>
    <col min="26" max="28" width="7.85546875" style="82" customWidth="1"/>
    <col min="29" max="16384" width="9.140625" style="82"/>
  </cols>
  <sheetData>
    <row r="1" spans="1:28" ht="30" x14ac:dyDescent="0.25">
      <c r="A1" s="84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237</v>
      </c>
      <c r="G1" s="1" t="s">
        <v>243</v>
      </c>
      <c r="H1" s="1" t="s">
        <v>49</v>
      </c>
      <c r="I1" s="1" t="s">
        <v>50</v>
      </c>
      <c r="J1" s="1" t="s">
        <v>15</v>
      </c>
      <c r="K1" s="1" t="s">
        <v>0</v>
      </c>
      <c r="L1" s="1" t="s">
        <v>51</v>
      </c>
      <c r="M1" s="1" t="s">
        <v>12</v>
      </c>
      <c r="N1" s="1" t="s">
        <v>52</v>
      </c>
      <c r="O1" s="87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236</v>
      </c>
      <c r="Z1" s="1" t="s">
        <v>63</v>
      </c>
      <c r="AA1" s="1" t="s">
        <v>64</v>
      </c>
      <c r="AB1" s="1" t="s">
        <v>65</v>
      </c>
    </row>
    <row r="2" spans="1:28" x14ac:dyDescent="0.25">
      <c r="A2" s="82">
        <v>1</v>
      </c>
      <c r="L2" s="82" t="e">
        <f>I2/J2</f>
        <v>#DIV/0!</v>
      </c>
      <c r="N2" s="82">
        <f>IF(ISTEXT(polyA_express!$E$2),50-O2,IF(ISTEXT(#REF!),11-O2,IF(ISTEXT(rRNA_Depletion_express!$E$2),11-O2,)))</f>
        <v>0</v>
      </c>
      <c r="O2" s="2">
        <v>5</v>
      </c>
      <c r="P2" s="3" t="e">
        <f>+L2*O2</f>
        <v>#DIV/0!</v>
      </c>
      <c r="AA2" s="85" t="e">
        <f>+MAX($Y$2:$Y$97)/Y2</f>
        <v>#DIV/0!</v>
      </c>
      <c r="AB2" s="82" t="e">
        <f>AA2*1</f>
        <v>#DIV/0!</v>
      </c>
    </row>
    <row r="3" spans="1:28" x14ac:dyDescent="0.25">
      <c r="A3" s="82">
        <v>2</v>
      </c>
      <c r="L3" s="82" t="e">
        <f t="shared" ref="L3:L66" si="0">I3/J3</f>
        <v>#DIV/0!</v>
      </c>
      <c r="N3" s="82">
        <f>IF(ISTEXT(polyA_express!$E$2),50-O3,IF(ISTEXT(#REF!),11-O3,IF(ISTEXT(rRNA_Depletion_express!$E$2),11-O3,)))</f>
        <v>0</v>
      </c>
      <c r="O3" s="2">
        <v>5</v>
      </c>
      <c r="P3" s="3" t="e">
        <f t="shared" ref="P3:P66" si="1">+L3*O3</f>
        <v>#DIV/0!</v>
      </c>
      <c r="AA3" s="85" t="e">
        <f t="shared" ref="AA3:AA66" si="2">+MAX($Y$2:$Y$97)/Y3</f>
        <v>#DIV/0!</v>
      </c>
      <c r="AB3" s="82" t="e">
        <f t="shared" ref="AB3:AB66" si="3">AA3*1</f>
        <v>#DIV/0!</v>
      </c>
    </row>
    <row r="4" spans="1:28" x14ac:dyDescent="0.25">
      <c r="A4" s="82">
        <v>3</v>
      </c>
      <c r="L4" s="82" t="e">
        <f t="shared" si="0"/>
        <v>#DIV/0!</v>
      </c>
      <c r="N4" s="82">
        <f>IF(ISTEXT(polyA_express!$E$2),50-O4,IF(ISTEXT(#REF!),11-O4,IF(ISTEXT(rRNA_Depletion_express!$E$2),11-O4,)))</f>
        <v>0</v>
      </c>
      <c r="O4" s="2">
        <v>5</v>
      </c>
      <c r="P4" s="3" t="e">
        <f t="shared" si="1"/>
        <v>#DIV/0!</v>
      </c>
      <c r="AA4" s="85" t="e">
        <f t="shared" si="2"/>
        <v>#DIV/0!</v>
      </c>
      <c r="AB4" s="82" t="e">
        <f t="shared" si="3"/>
        <v>#DIV/0!</v>
      </c>
    </row>
    <row r="5" spans="1:28" x14ac:dyDescent="0.25">
      <c r="A5" s="82">
        <v>4</v>
      </c>
      <c r="L5" s="82" t="e">
        <f t="shared" si="0"/>
        <v>#DIV/0!</v>
      </c>
      <c r="N5" s="82">
        <f>IF(ISTEXT(polyA_express!$E$2),50-O5,IF(ISTEXT(#REF!),11-O5,IF(ISTEXT(rRNA_Depletion_express!$E$2),11-O5,)))</f>
        <v>0</v>
      </c>
      <c r="O5" s="2">
        <v>5</v>
      </c>
      <c r="P5" s="3" t="e">
        <f t="shared" si="1"/>
        <v>#DIV/0!</v>
      </c>
      <c r="AA5" s="85" t="e">
        <f t="shared" si="2"/>
        <v>#DIV/0!</v>
      </c>
      <c r="AB5" s="82" t="e">
        <f t="shared" si="3"/>
        <v>#DIV/0!</v>
      </c>
    </row>
    <row r="6" spans="1:28" x14ac:dyDescent="0.25">
      <c r="A6" s="82">
        <v>5</v>
      </c>
      <c r="L6" s="82" t="e">
        <f t="shared" si="0"/>
        <v>#DIV/0!</v>
      </c>
      <c r="N6" s="82">
        <f>IF(ISTEXT(polyA_express!$E$2),50-O6,IF(ISTEXT(#REF!),11-O6,IF(ISTEXT(rRNA_Depletion_express!$E$2),11-O6,)))</f>
        <v>0</v>
      </c>
      <c r="O6" s="2">
        <v>5</v>
      </c>
      <c r="P6" s="3" t="e">
        <f t="shared" si="1"/>
        <v>#DIV/0!</v>
      </c>
      <c r="AA6" s="85" t="e">
        <f t="shared" si="2"/>
        <v>#DIV/0!</v>
      </c>
      <c r="AB6" s="82" t="e">
        <f t="shared" si="3"/>
        <v>#DIV/0!</v>
      </c>
    </row>
    <row r="7" spans="1:28" x14ac:dyDescent="0.25">
      <c r="A7" s="82">
        <v>6</v>
      </c>
      <c r="L7" s="82" t="e">
        <f t="shared" si="0"/>
        <v>#DIV/0!</v>
      </c>
      <c r="N7" s="82">
        <f>IF(ISTEXT(polyA_express!$E$2),50-O7,IF(ISTEXT(#REF!),11-O7,IF(ISTEXT(rRNA_Depletion_express!$E$2),11-O7,)))</f>
        <v>0</v>
      </c>
      <c r="O7" s="2">
        <v>5</v>
      </c>
      <c r="P7" s="3" t="e">
        <f t="shared" si="1"/>
        <v>#DIV/0!</v>
      </c>
      <c r="AA7" s="85" t="e">
        <f t="shared" si="2"/>
        <v>#DIV/0!</v>
      </c>
      <c r="AB7" s="82" t="e">
        <f t="shared" si="3"/>
        <v>#DIV/0!</v>
      </c>
    </row>
    <row r="8" spans="1:28" x14ac:dyDescent="0.25">
      <c r="A8" s="82">
        <v>7</v>
      </c>
      <c r="L8" s="82" t="e">
        <f t="shared" si="0"/>
        <v>#DIV/0!</v>
      </c>
      <c r="N8" s="82">
        <f>IF(ISTEXT(polyA_express!$E$2),50-O8,IF(ISTEXT(#REF!),11-O8,IF(ISTEXT(rRNA_Depletion_express!$E$2),11-O8,)))</f>
        <v>0</v>
      </c>
      <c r="O8" s="2">
        <v>5</v>
      </c>
      <c r="P8" s="3" t="e">
        <f t="shared" si="1"/>
        <v>#DIV/0!</v>
      </c>
      <c r="AA8" s="85" t="e">
        <f t="shared" si="2"/>
        <v>#DIV/0!</v>
      </c>
      <c r="AB8" s="82" t="e">
        <f t="shared" si="3"/>
        <v>#DIV/0!</v>
      </c>
    </row>
    <row r="9" spans="1:28" x14ac:dyDescent="0.25">
      <c r="A9" s="82">
        <v>8</v>
      </c>
      <c r="L9" s="82" t="e">
        <f t="shared" si="0"/>
        <v>#DIV/0!</v>
      </c>
      <c r="N9" s="82">
        <f>IF(ISTEXT(polyA_express!$E$2),50-O9,IF(ISTEXT(#REF!),11-O9,IF(ISTEXT(rRNA_Depletion_express!$E$2),11-O9,)))</f>
        <v>0</v>
      </c>
      <c r="O9" s="2">
        <v>5</v>
      </c>
      <c r="P9" s="3" t="e">
        <f t="shared" si="1"/>
        <v>#DIV/0!</v>
      </c>
      <c r="AA9" s="85" t="e">
        <f t="shared" si="2"/>
        <v>#DIV/0!</v>
      </c>
      <c r="AB9" s="82" t="e">
        <f t="shared" si="3"/>
        <v>#DIV/0!</v>
      </c>
    </row>
    <row r="10" spans="1:28" x14ac:dyDescent="0.25">
      <c r="A10" s="82">
        <v>9</v>
      </c>
      <c r="L10" s="82" t="e">
        <f t="shared" si="0"/>
        <v>#DIV/0!</v>
      </c>
      <c r="N10" s="82">
        <f>IF(ISTEXT(polyA_express!$E$2),50-O10,IF(ISTEXT(#REF!),11-O10,IF(ISTEXT(rRNA_Depletion_express!$E$2),11-O10,)))</f>
        <v>0</v>
      </c>
      <c r="O10" s="2">
        <v>5</v>
      </c>
      <c r="P10" s="3" t="e">
        <f t="shared" si="1"/>
        <v>#DIV/0!</v>
      </c>
      <c r="AA10" s="85" t="e">
        <f t="shared" si="2"/>
        <v>#DIV/0!</v>
      </c>
      <c r="AB10" s="82" t="e">
        <f t="shared" si="3"/>
        <v>#DIV/0!</v>
      </c>
    </row>
    <row r="11" spans="1:28" x14ac:dyDescent="0.25">
      <c r="A11" s="82">
        <v>10</v>
      </c>
      <c r="L11" s="82" t="e">
        <f t="shared" si="0"/>
        <v>#DIV/0!</v>
      </c>
      <c r="N11" s="82">
        <f>IF(ISTEXT(polyA_express!$E$2),50-O11,IF(ISTEXT(#REF!),11-O11,IF(ISTEXT(rRNA_Depletion_express!$E$2),11-O11,)))</f>
        <v>0</v>
      </c>
      <c r="O11" s="2">
        <v>5</v>
      </c>
      <c r="P11" s="3" t="e">
        <f t="shared" si="1"/>
        <v>#DIV/0!</v>
      </c>
      <c r="AA11" s="85" t="e">
        <f t="shared" si="2"/>
        <v>#DIV/0!</v>
      </c>
      <c r="AB11" s="82" t="e">
        <f t="shared" si="3"/>
        <v>#DIV/0!</v>
      </c>
    </row>
    <row r="12" spans="1:28" x14ac:dyDescent="0.25">
      <c r="A12" s="82">
        <v>11</v>
      </c>
      <c r="L12" s="82" t="e">
        <f t="shared" si="0"/>
        <v>#DIV/0!</v>
      </c>
      <c r="N12" s="82">
        <f>IF(ISTEXT(polyA_express!$E$2),50-O12,IF(ISTEXT(#REF!),11-O12,IF(ISTEXT(rRNA_Depletion_express!$E$2),11-O12,)))</f>
        <v>0</v>
      </c>
      <c r="O12" s="2">
        <v>5</v>
      </c>
      <c r="P12" s="3" t="e">
        <f t="shared" si="1"/>
        <v>#DIV/0!</v>
      </c>
      <c r="AA12" s="85" t="e">
        <f t="shared" si="2"/>
        <v>#DIV/0!</v>
      </c>
      <c r="AB12" s="82" t="e">
        <f t="shared" si="3"/>
        <v>#DIV/0!</v>
      </c>
    </row>
    <row r="13" spans="1:28" x14ac:dyDescent="0.25">
      <c r="A13" s="82">
        <v>12</v>
      </c>
      <c r="L13" s="82" t="e">
        <f t="shared" si="0"/>
        <v>#DIV/0!</v>
      </c>
      <c r="N13" s="82">
        <f>IF(ISTEXT(polyA_express!$E$2),50-O13,IF(ISTEXT(#REF!),11-O13,IF(ISTEXT(rRNA_Depletion_express!$E$2),11-O13,)))</f>
        <v>0</v>
      </c>
      <c r="O13" s="2">
        <v>5</v>
      </c>
      <c r="P13" s="3" t="e">
        <f t="shared" si="1"/>
        <v>#DIV/0!</v>
      </c>
      <c r="AA13" s="85" t="e">
        <f t="shared" si="2"/>
        <v>#DIV/0!</v>
      </c>
      <c r="AB13" s="82" t="e">
        <f t="shared" si="3"/>
        <v>#DIV/0!</v>
      </c>
    </row>
    <row r="14" spans="1:28" x14ac:dyDescent="0.25">
      <c r="A14" s="82">
        <v>13</v>
      </c>
      <c r="L14" s="82" t="e">
        <f t="shared" si="0"/>
        <v>#DIV/0!</v>
      </c>
      <c r="N14" s="82">
        <f>IF(ISTEXT(polyA_express!$E$2),50-O14,IF(ISTEXT(#REF!),11-O14,IF(ISTEXT(rRNA_Depletion_express!$E$2),11-O14,)))</f>
        <v>0</v>
      </c>
      <c r="O14" s="2">
        <v>5</v>
      </c>
      <c r="P14" s="3" t="e">
        <f t="shared" si="1"/>
        <v>#DIV/0!</v>
      </c>
      <c r="AA14" s="85" t="e">
        <f t="shared" si="2"/>
        <v>#DIV/0!</v>
      </c>
      <c r="AB14" s="82" t="e">
        <f t="shared" si="3"/>
        <v>#DIV/0!</v>
      </c>
    </row>
    <row r="15" spans="1:28" x14ac:dyDescent="0.25">
      <c r="A15" s="82">
        <v>14</v>
      </c>
      <c r="L15" s="82" t="e">
        <f t="shared" si="0"/>
        <v>#DIV/0!</v>
      </c>
      <c r="N15" s="82">
        <f>IF(ISTEXT(polyA_express!$E$2),50-O15,IF(ISTEXT(#REF!),11-O15,IF(ISTEXT(rRNA_Depletion_express!$E$2),11-O15,)))</f>
        <v>0</v>
      </c>
      <c r="O15" s="2">
        <v>5</v>
      </c>
      <c r="P15" s="3" t="e">
        <f t="shared" si="1"/>
        <v>#DIV/0!</v>
      </c>
      <c r="AA15" s="85" t="e">
        <f t="shared" si="2"/>
        <v>#DIV/0!</v>
      </c>
      <c r="AB15" s="82" t="e">
        <f t="shared" si="3"/>
        <v>#DIV/0!</v>
      </c>
    </row>
    <row r="16" spans="1:28" x14ac:dyDescent="0.25">
      <c r="A16" s="82">
        <v>15</v>
      </c>
      <c r="L16" s="82" t="e">
        <f t="shared" si="0"/>
        <v>#DIV/0!</v>
      </c>
      <c r="N16" s="82">
        <f>IF(ISTEXT(polyA_express!$E$2),50-O16,IF(ISTEXT(#REF!),11-O16,IF(ISTEXT(rRNA_Depletion_express!$E$2),11-O16,)))</f>
        <v>0</v>
      </c>
      <c r="O16" s="2">
        <v>5</v>
      </c>
      <c r="P16" s="3" t="e">
        <f t="shared" si="1"/>
        <v>#DIV/0!</v>
      </c>
      <c r="AA16" s="85" t="e">
        <f t="shared" si="2"/>
        <v>#DIV/0!</v>
      </c>
      <c r="AB16" s="82" t="e">
        <f t="shared" si="3"/>
        <v>#DIV/0!</v>
      </c>
    </row>
    <row r="17" spans="1:28" x14ac:dyDescent="0.25">
      <c r="A17" s="82">
        <v>16</v>
      </c>
      <c r="L17" s="82" t="e">
        <f t="shared" si="0"/>
        <v>#DIV/0!</v>
      </c>
      <c r="N17" s="82">
        <f>IF(ISTEXT(polyA_express!$E$2),50-O17,IF(ISTEXT(#REF!),11-O17,IF(ISTEXT(rRNA_Depletion_express!$E$2),11-O17,)))</f>
        <v>0</v>
      </c>
      <c r="O17" s="2">
        <v>5</v>
      </c>
      <c r="P17" s="3" t="e">
        <f t="shared" si="1"/>
        <v>#DIV/0!</v>
      </c>
      <c r="AA17" s="85" t="e">
        <f t="shared" si="2"/>
        <v>#DIV/0!</v>
      </c>
      <c r="AB17" s="82" t="e">
        <f t="shared" si="3"/>
        <v>#DIV/0!</v>
      </c>
    </row>
    <row r="18" spans="1:28" x14ac:dyDescent="0.25">
      <c r="A18" s="82">
        <v>17</v>
      </c>
      <c r="L18" s="82" t="e">
        <f t="shared" si="0"/>
        <v>#DIV/0!</v>
      </c>
      <c r="N18" s="82">
        <f>IF(ISTEXT(polyA_express!$E$2),50-O18,IF(ISTEXT(#REF!),11-O18,IF(ISTEXT(rRNA_Depletion_express!$E$2),11-O18,)))</f>
        <v>0</v>
      </c>
      <c r="O18" s="2">
        <v>5</v>
      </c>
      <c r="P18" s="3" t="e">
        <f t="shared" si="1"/>
        <v>#DIV/0!</v>
      </c>
      <c r="AA18" s="85" t="e">
        <f t="shared" si="2"/>
        <v>#DIV/0!</v>
      </c>
      <c r="AB18" s="82" t="e">
        <f t="shared" si="3"/>
        <v>#DIV/0!</v>
      </c>
    </row>
    <row r="19" spans="1:28" x14ac:dyDescent="0.25">
      <c r="A19" s="82">
        <v>18</v>
      </c>
      <c r="L19" s="82" t="e">
        <f t="shared" si="0"/>
        <v>#DIV/0!</v>
      </c>
      <c r="N19" s="82">
        <f>IF(ISTEXT(polyA_express!$E$2),50-O19,IF(ISTEXT(#REF!),11-O19,IF(ISTEXT(rRNA_Depletion_express!$E$2),11-O19,)))</f>
        <v>0</v>
      </c>
      <c r="O19" s="2">
        <v>5</v>
      </c>
      <c r="P19" s="3" t="e">
        <f t="shared" si="1"/>
        <v>#DIV/0!</v>
      </c>
      <c r="AA19" s="85" t="e">
        <f t="shared" si="2"/>
        <v>#DIV/0!</v>
      </c>
      <c r="AB19" s="82" t="e">
        <f t="shared" si="3"/>
        <v>#DIV/0!</v>
      </c>
    </row>
    <row r="20" spans="1:28" x14ac:dyDescent="0.25">
      <c r="A20" s="82">
        <v>19</v>
      </c>
      <c r="L20" s="82" t="e">
        <f t="shared" si="0"/>
        <v>#DIV/0!</v>
      </c>
      <c r="N20" s="82">
        <f>IF(ISTEXT(polyA_express!$E$2),50-O20,IF(ISTEXT(#REF!),11-O20,IF(ISTEXT(rRNA_Depletion_express!$E$2),11-O20,)))</f>
        <v>0</v>
      </c>
      <c r="O20" s="2">
        <v>5</v>
      </c>
      <c r="P20" s="3" t="e">
        <f t="shared" si="1"/>
        <v>#DIV/0!</v>
      </c>
      <c r="AA20" s="85" t="e">
        <f t="shared" si="2"/>
        <v>#DIV/0!</v>
      </c>
      <c r="AB20" s="82" t="e">
        <f t="shared" si="3"/>
        <v>#DIV/0!</v>
      </c>
    </row>
    <row r="21" spans="1:28" x14ac:dyDescent="0.25">
      <c r="A21" s="82">
        <v>20</v>
      </c>
      <c r="L21" s="82" t="e">
        <f t="shared" si="0"/>
        <v>#DIV/0!</v>
      </c>
      <c r="N21" s="82">
        <f>IF(ISTEXT(polyA_express!$E$2),50-O21,IF(ISTEXT(#REF!),11-O21,IF(ISTEXT(rRNA_Depletion_express!$E$2),11-O21,)))</f>
        <v>0</v>
      </c>
      <c r="O21" s="2">
        <v>5</v>
      </c>
      <c r="P21" s="3" t="e">
        <f t="shared" si="1"/>
        <v>#DIV/0!</v>
      </c>
      <c r="AA21" s="85" t="e">
        <f t="shared" si="2"/>
        <v>#DIV/0!</v>
      </c>
      <c r="AB21" s="82" t="e">
        <f t="shared" si="3"/>
        <v>#DIV/0!</v>
      </c>
    </row>
    <row r="22" spans="1:28" x14ac:dyDescent="0.25">
      <c r="A22" s="82">
        <v>21</v>
      </c>
      <c r="L22" s="82" t="e">
        <f t="shared" si="0"/>
        <v>#DIV/0!</v>
      </c>
      <c r="N22" s="82">
        <f>IF(ISTEXT(polyA_express!$E$2),50-O22,IF(ISTEXT(#REF!),11-O22,IF(ISTEXT(rRNA_Depletion_express!$E$2),11-O22,)))</f>
        <v>0</v>
      </c>
      <c r="O22" s="2">
        <v>5</v>
      </c>
      <c r="P22" s="3" t="e">
        <f t="shared" si="1"/>
        <v>#DIV/0!</v>
      </c>
      <c r="AA22" s="85" t="e">
        <f t="shared" si="2"/>
        <v>#DIV/0!</v>
      </c>
      <c r="AB22" s="82" t="e">
        <f t="shared" si="3"/>
        <v>#DIV/0!</v>
      </c>
    </row>
    <row r="23" spans="1:28" x14ac:dyDescent="0.25">
      <c r="A23" s="82">
        <v>22</v>
      </c>
      <c r="L23" s="82" t="e">
        <f t="shared" si="0"/>
        <v>#DIV/0!</v>
      </c>
      <c r="N23" s="82">
        <f>IF(ISTEXT(polyA_express!$E$2),50-O23,IF(ISTEXT(#REF!),11-O23,IF(ISTEXT(rRNA_Depletion_express!$E$2),11-O23,)))</f>
        <v>0</v>
      </c>
      <c r="O23" s="2">
        <v>5</v>
      </c>
      <c r="P23" s="3" t="e">
        <f t="shared" si="1"/>
        <v>#DIV/0!</v>
      </c>
      <c r="AA23" s="85" t="e">
        <f t="shared" si="2"/>
        <v>#DIV/0!</v>
      </c>
      <c r="AB23" s="82" t="e">
        <f t="shared" si="3"/>
        <v>#DIV/0!</v>
      </c>
    </row>
    <row r="24" spans="1:28" x14ac:dyDescent="0.25">
      <c r="A24" s="82">
        <v>23</v>
      </c>
      <c r="L24" s="82" t="e">
        <f t="shared" si="0"/>
        <v>#DIV/0!</v>
      </c>
      <c r="N24" s="82">
        <f>IF(ISTEXT(polyA_express!$E$2),50-O24,IF(ISTEXT(#REF!),11-O24,IF(ISTEXT(rRNA_Depletion_express!$E$2),11-O24,)))</f>
        <v>0</v>
      </c>
      <c r="O24" s="2">
        <v>5</v>
      </c>
      <c r="P24" s="3" t="e">
        <f t="shared" si="1"/>
        <v>#DIV/0!</v>
      </c>
      <c r="AA24" s="85" t="e">
        <f t="shared" si="2"/>
        <v>#DIV/0!</v>
      </c>
      <c r="AB24" s="82" t="e">
        <f t="shared" si="3"/>
        <v>#DIV/0!</v>
      </c>
    </row>
    <row r="25" spans="1:28" x14ac:dyDescent="0.25">
      <c r="A25" s="82">
        <v>24</v>
      </c>
      <c r="L25" s="82" t="e">
        <f t="shared" si="0"/>
        <v>#DIV/0!</v>
      </c>
      <c r="N25" s="82">
        <f>IF(ISTEXT(polyA_express!$E$2),50-O25,IF(ISTEXT(#REF!),11-O25,IF(ISTEXT(rRNA_Depletion_express!$E$2),11-O25,)))</f>
        <v>0</v>
      </c>
      <c r="O25" s="2">
        <v>5</v>
      </c>
      <c r="P25" s="3" t="e">
        <f t="shared" si="1"/>
        <v>#DIV/0!</v>
      </c>
      <c r="AA25" s="85" t="e">
        <f t="shared" si="2"/>
        <v>#DIV/0!</v>
      </c>
      <c r="AB25" s="82" t="e">
        <f t="shared" si="3"/>
        <v>#DIV/0!</v>
      </c>
    </row>
    <row r="26" spans="1:28" x14ac:dyDescent="0.25">
      <c r="A26" s="82">
        <v>25</v>
      </c>
      <c r="L26" s="82" t="e">
        <f t="shared" si="0"/>
        <v>#DIV/0!</v>
      </c>
      <c r="N26" s="82">
        <f>IF(ISTEXT(polyA_express!$E$2),50-O26,IF(ISTEXT(#REF!),11-O26,IF(ISTEXT(rRNA_Depletion_express!$E$2),11-O26,)))</f>
        <v>0</v>
      </c>
      <c r="O26" s="2">
        <v>5</v>
      </c>
      <c r="P26" s="3" t="e">
        <f t="shared" si="1"/>
        <v>#DIV/0!</v>
      </c>
      <c r="AA26" s="85" t="e">
        <f t="shared" si="2"/>
        <v>#DIV/0!</v>
      </c>
      <c r="AB26" s="82" t="e">
        <f t="shared" si="3"/>
        <v>#DIV/0!</v>
      </c>
    </row>
    <row r="27" spans="1:28" x14ac:dyDescent="0.25">
      <c r="A27" s="82">
        <v>26</v>
      </c>
      <c r="L27" s="82" t="e">
        <f t="shared" si="0"/>
        <v>#DIV/0!</v>
      </c>
      <c r="N27" s="82">
        <f>IF(ISTEXT(polyA_express!$E$2),50-O27,IF(ISTEXT(#REF!),11-O27,IF(ISTEXT(rRNA_Depletion_express!$E$2),11-O27,)))</f>
        <v>0</v>
      </c>
      <c r="O27" s="2">
        <v>5</v>
      </c>
      <c r="P27" s="3" t="e">
        <f t="shared" si="1"/>
        <v>#DIV/0!</v>
      </c>
      <c r="AA27" s="85" t="e">
        <f t="shared" si="2"/>
        <v>#DIV/0!</v>
      </c>
      <c r="AB27" s="82" t="e">
        <f t="shared" si="3"/>
        <v>#DIV/0!</v>
      </c>
    </row>
    <row r="28" spans="1:28" x14ac:dyDescent="0.25">
      <c r="A28" s="82">
        <v>27</v>
      </c>
      <c r="L28" s="82" t="e">
        <f t="shared" si="0"/>
        <v>#DIV/0!</v>
      </c>
      <c r="N28" s="82">
        <f>IF(ISTEXT(polyA_express!$E$2),50-O28,IF(ISTEXT(#REF!),11-O28,IF(ISTEXT(rRNA_Depletion_express!$E$2),11-O28,)))</f>
        <v>0</v>
      </c>
      <c r="O28" s="2">
        <v>5</v>
      </c>
      <c r="P28" s="3" t="e">
        <f t="shared" si="1"/>
        <v>#DIV/0!</v>
      </c>
      <c r="AA28" s="85" t="e">
        <f t="shared" si="2"/>
        <v>#DIV/0!</v>
      </c>
      <c r="AB28" s="82" t="e">
        <f t="shared" si="3"/>
        <v>#DIV/0!</v>
      </c>
    </row>
    <row r="29" spans="1:28" x14ac:dyDescent="0.25">
      <c r="A29" s="82">
        <v>28</v>
      </c>
      <c r="L29" s="82" t="e">
        <f t="shared" si="0"/>
        <v>#DIV/0!</v>
      </c>
      <c r="N29" s="82">
        <f>IF(ISTEXT(polyA_express!$E$2),50-O29,IF(ISTEXT(#REF!),11-O29,IF(ISTEXT(rRNA_Depletion_express!$E$2),11-O29,)))</f>
        <v>0</v>
      </c>
      <c r="O29" s="2">
        <v>5</v>
      </c>
      <c r="P29" s="3" t="e">
        <f t="shared" si="1"/>
        <v>#DIV/0!</v>
      </c>
      <c r="AA29" s="85" t="e">
        <f t="shared" si="2"/>
        <v>#DIV/0!</v>
      </c>
      <c r="AB29" s="82" t="e">
        <f t="shared" si="3"/>
        <v>#DIV/0!</v>
      </c>
    </row>
    <row r="30" spans="1:28" x14ac:dyDescent="0.25">
      <c r="A30" s="82">
        <v>29</v>
      </c>
      <c r="L30" s="82" t="e">
        <f t="shared" si="0"/>
        <v>#DIV/0!</v>
      </c>
      <c r="N30" s="82">
        <f>IF(ISTEXT(polyA_express!$E$2),50-O30,IF(ISTEXT(#REF!),11-O30,IF(ISTEXT(rRNA_Depletion_express!$E$2),11-O30,)))</f>
        <v>0</v>
      </c>
      <c r="O30" s="2">
        <v>5</v>
      </c>
      <c r="P30" s="3" t="e">
        <f t="shared" si="1"/>
        <v>#DIV/0!</v>
      </c>
      <c r="AA30" s="85" t="e">
        <f t="shared" si="2"/>
        <v>#DIV/0!</v>
      </c>
      <c r="AB30" s="82" t="e">
        <f t="shared" si="3"/>
        <v>#DIV/0!</v>
      </c>
    </row>
    <row r="31" spans="1:28" x14ac:dyDescent="0.25">
      <c r="A31" s="82">
        <v>30</v>
      </c>
      <c r="L31" s="82" t="e">
        <f t="shared" si="0"/>
        <v>#DIV/0!</v>
      </c>
      <c r="N31" s="82">
        <f>IF(ISTEXT(polyA_express!$E$2),50-O31,IF(ISTEXT(#REF!),11-O31,IF(ISTEXT(rRNA_Depletion_express!$E$2),11-O31,)))</f>
        <v>0</v>
      </c>
      <c r="O31" s="2">
        <v>5</v>
      </c>
      <c r="P31" s="3" t="e">
        <f t="shared" si="1"/>
        <v>#DIV/0!</v>
      </c>
      <c r="AA31" s="85" t="e">
        <f t="shared" si="2"/>
        <v>#DIV/0!</v>
      </c>
      <c r="AB31" s="82" t="e">
        <f t="shared" si="3"/>
        <v>#DIV/0!</v>
      </c>
    </row>
    <row r="32" spans="1:28" x14ac:dyDescent="0.25">
      <c r="A32" s="82">
        <v>31</v>
      </c>
      <c r="L32" s="82" t="e">
        <f t="shared" si="0"/>
        <v>#DIV/0!</v>
      </c>
      <c r="N32" s="82">
        <f>IF(ISTEXT(polyA_express!$E$2),50-O32,IF(ISTEXT(#REF!),11-O32,IF(ISTEXT(rRNA_Depletion_express!$E$2),11-O32,)))</f>
        <v>0</v>
      </c>
      <c r="O32" s="2">
        <v>5</v>
      </c>
      <c r="P32" s="3" t="e">
        <f t="shared" si="1"/>
        <v>#DIV/0!</v>
      </c>
      <c r="AA32" s="85" t="e">
        <f t="shared" si="2"/>
        <v>#DIV/0!</v>
      </c>
      <c r="AB32" s="82" t="e">
        <f t="shared" si="3"/>
        <v>#DIV/0!</v>
      </c>
    </row>
    <row r="33" spans="1:28" x14ac:dyDescent="0.25">
      <c r="A33" s="82">
        <v>32</v>
      </c>
      <c r="L33" s="82" t="e">
        <f t="shared" si="0"/>
        <v>#DIV/0!</v>
      </c>
      <c r="N33" s="82">
        <f>IF(ISTEXT(polyA_express!$E$2),50-O33,IF(ISTEXT(#REF!),11-O33,IF(ISTEXT(rRNA_Depletion_express!$E$2),11-O33,)))</f>
        <v>0</v>
      </c>
      <c r="O33" s="2">
        <v>5</v>
      </c>
      <c r="P33" s="3" t="e">
        <f t="shared" si="1"/>
        <v>#DIV/0!</v>
      </c>
      <c r="AA33" s="85" t="e">
        <f t="shared" si="2"/>
        <v>#DIV/0!</v>
      </c>
      <c r="AB33" s="82" t="e">
        <f t="shared" si="3"/>
        <v>#DIV/0!</v>
      </c>
    </row>
    <row r="34" spans="1:28" x14ac:dyDescent="0.25">
      <c r="A34" s="82">
        <v>33</v>
      </c>
      <c r="L34" s="82" t="e">
        <f t="shared" si="0"/>
        <v>#DIV/0!</v>
      </c>
      <c r="N34" s="82">
        <f>IF(ISTEXT(polyA_express!$E$2),50-O34,IF(ISTEXT(#REF!),11-O34,IF(ISTEXT(rRNA_Depletion_express!$E$2),11-O34,)))</f>
        <v>0</v>
      </c>
      <c r="O34" s="2">
        <v>5</v>
      </c>
      <c r="P34" s="3" t="e">
        <f t="shared" si="1"/>
        <v>#DIV/0!</v>
      </c>
      <c r="AA34" s="85" t="e">
        <f t="shared" si="2"/>
        <v>#DIV/0!</v>
      </c>
      <c r="AB34" s="82" t="e">
        <f t="shared" si="3"/>
        <v>#DIV/0!</v>
      </c>
    </row>
    <row r="35" spans="1:28" x14ac:dyDescent="0.25">
      <c r="A35" s="82">
        <v>34</v>
      </c>
      <c r="L35" s="82" t="e">
        <f t="shared" si="0"/>
        <v>#DIV/0!</v>
      </c>
      <c r="N35" s="82">
        <f>IF(ISTEXT(polyA_express!$E$2),50-O35,IF(ISTEXT(#REF!),11-O35,IF(ISTEXT(rRNA_Depletion_express!$E$2),11-O35,)))</f>
        <v>0</v>
      </c>
      <c r="O35" s="2">
        <v>5</v>
      </c>
      <c r="P35" s="3" t="e">
        <f t="shared" si="1"/>
        <v>#DIV/0!</v>
      </c>
      <c r="AA35" s="85" t="e">
        <f t="shared" si="2"/>
        <v>#DIV/0!</v>
      </c>
      <c r="AB35" s="82" t="e">
        <f t="shared" si="3"/>
        <v>#DIV/0!</v>
      </c>
    </row>
    <row r="36" spans="1:28" x14ac:dyDescent="0.25">
      <c r="A36" s="82">
        <v>35</v>
      </c>
      <c r="L36" s="82" t="e">
        <f t="shared" si="0"/>
        <v>#DIV/0!</v>
      </c>
      <c r="N36" s="82">
        <f>IF(ISTEXT(polyA_express!$E$2),50-O36,IF(ISTEXT(#REF!),11-O36,IF(ISTEXT(rRNA_Depletion_express!$E$2),11-O36,)))</f>
        <v>0</v>
      </c>
      <c r="O36" s="2">
        <v>5</v>
      </c>
      <c r="P36" s="3" t="e">
        <f t="shared" si="1"/>
        <v>#DIV/0!</v>
      </c>
      <c r="AA36" s="85" t="e">
        <f t="shared" si="2"/>
        <v>#DIV/0!</v>
      </c>
      <c r="AB36" s="82" t="e">
        <f t="shared" si="3"/>
        <v>#DIV/0!</v>
      </c>
    </row>
    <row r="37" spans="1:28" x14ac:dyDescent="0.25">
      <c r="A37" s="82">
        <v>36</v>
      </c>
      <c r="L37" s="82" t="e">
        <f t="shared" si="0"/>
        <v>#DIV/0!</v>
      </c>
      <c r="N37" s="82">
        <f>IF(ISTEXT(polyA_express!$E$2),50-O37,IF(ISTEXT(#REF!),11-O37,IF(ISTEXT(rRNA_Depletion_express!$E$2),11-O37,)))</f>
        <v>0</v>
      </c>
      <c r="O37" s="2">
        <v>5</v>
      </c>
      <c r="P37" s="3" t="e">
        <f t="shared" si="1"/>
        <v>#DIV/0!</v>
      </c>
      <c r="AA37" s="85" t="e">
        <f t="shared" si="2"/>
        <v>#DIV/0!</v>
      </c>
      <c r="AB37" s="82" t="e">
        <f t="shared" si="3"/>
        <v>#DIV/0!</v>
      </c>
    </row>
    <row r="38" spans="1:28" x14ac:dyDescent="0.25">
      <c r="A38" s="82">
        <v>37</v>
      </c>
      <c r="L38" s="82" t="e">
        <f t="shared" si="0"/>
        <v>#DIV/0!</v>
      </c>
      <c r="N38" s="82">
        <f>IF(ISTEXT(polyA_express!$E$2),50-O38,IF(ISTEXT(#REF!),11-O38,IF(ISTEXT(rRNA_Depletion_express!$E$2),11-O38,)))</f>
        <v>0</v>
      </c>
      <c r="O38" s="2">
        <v>5</v>
      </c>
      <c r="P38" s="3" t="e">
        <f t="shared" si="1"/>
        <v>#DIV/0!</v>
      </c>
      <c r="AA38" s="85" t="e">
        <f t="shared" si="2"/>
        <v>#DIV/0!</v>
      </c>
      <c r="AB38" s="82" t="e">
        <f t="shared" si="3"/>
        <v>#DIV/0!</v>
      </c>
    </row>
    <row r="39" spans="1:28" x14ac:dyDescent="0.25">
      <c r="A39" s="82">
        <v>38</v>
      </c>
      <c r="L39" s="82" t="e">
        <f t="shared" si="0"/>
        <v>#DIV/0!</v>
      </c>
      <c r="N39" s="82">
        <f>IF(ISTEXT(polyA_express!$E$2),50-O39,IF(ISTEXT(#REF!),11-O39,IF(ISTEXT(rRNA_Depletion_express!$E$2),11-O39,)))</f>
        <v>0</v>
      </c>
      <c r="O39" s="2">
        <v>5</v>
      </c>
      <c r="P39" s="3" t="e">
        <f t="shared" si="1"/>
        <v>#DIV/0!</v>
      </c>
      <c r="AA39" s="85" t="e">
        <f t="shared" si="2"/>
        <v>#DIV/0!</v>
      </c>
      <c r="AB39" s="82" t="e">
        <f t="shared" si="3"/>
        <v>#DIV/0!</v>
      </c>
    </row>
    <row r="40" spans="1:28" x14ac:dyDescent="0.25">
      <c r="A40" s="82">
        <v>39</v>
      </c>
      <c r="L40" s="82" t="e">
        <f t="shared" si="0"/>
        <v>#DIV/0!</v>
      </c>
      <c r="N40" s="82">
        <f>IF(ISTEXT(polyA_express!$E$2),50-O40,IF(ISTEXT(#REF!),11-O40,IF(ISTEXT(rRNA_Depletion_express!$E$2),11-O40,)))</f>
        <v>0</v>
      </c>
      <c r="O40" s="2">
        <v>5</v>
      </c>
      <c r="P40" s="3" t="e">
        <f t="shared" si="1"/>
        <v>#DIV/0!</v>
      </c>
      <c r="AA40" s="85" t="e">
        <f t="shared" si="2"/>
        <v>#DIV/0!</v>
      </c>
      <c r="AB40" s="82" t="e">
        <f t="shared" si="3"/>
        <v>#DIV/0!</v>
      </c>
    </row>
    <row r="41" spans="1:28" x14ac:dyDescent="0.25">
      <c r="A41" s="82">
        <v>40</v>
      </c>
      <c r="L41" s="82" t="e">
        <f t="shared" si="0"/>
        <v>#DIV/0!</v>
      </c>
      <c r="N41" s="82">
        <f>IF(ISTEXT(polyA_express!$E$2),50-O41,IF(ISTEXT(#REF!),11-O41,IF(ISTEXT(rRNA_Depletion_express!$E$2),11-O41,)))</f>
        <v>0</v>
      </c>
      <c r="O41" s="2">
        <v>5</v>
      </c>
      <c r="P41" s="3" t="e">
        <f t="shared" si="1"/>
        <v>#DIV/0!</v>
      </c>
      <c r="AA41" s="85" t="e">
        <f t="shared" si="2"/>
        <v>#DIV/0!</v>
      </c>
      <c r="AB41" s="82" t="e">
        <f t="shared" si="3"/>
        <v>#DIV/0!</v>
      </c>
    </row>
    <row r="42" spans="1:28" x14ac:dyDescent="0.25">
      <c r="A42" s="82">
        <v>41</v>
      </c>
      <c r="L42" s="82" t="e">
        <f t="shared" si="0"/>
        <v>#DIV/0!</v>
      </c>
      <c r="N42" s="82">
        <f>IF(ISTEXT(polyA_express!$E$2),50-O42,IF(ISTEXT(#REF!),11-O42,IF(ISTEXT(rRNA_Depletion_express!$E$2),11-O42,)))</f>
        <v>0</v>
      </c>
      <c r="O42" s="2">
        <v>5</v>
      </c>
      <c r="P42" s="3" t="e">
        <f t="shared" si="1"/>
        <v>#DIV/0!</v>
      </c>
      <c r="AA42" s="85" t="e">
        <f t="shared" si="2"/>
        <v>#DIV/0!</v>
      </c>
      <c r="AB42" s="82" t="e">
        <f t="shared" si="3"/>
        <v>#DIV/0!</v>
      </c>
    </row>
    <row r="43" spans="1:28" x14ac:dyDescent="0.25">
      <c r="A43" s="82">
        <v>42</v>
      </c>
      <c r="L43" s="82" t="e">
        <f t="shared" si="0"/>
        <v>#DIV/0!</v>
      </c>
      <c r="N43" s="82">
        <f>IF(ISTEXT(polyA_express!$E$2),50-O43,IF(ISTEXT(#REF!),11-O43,IF(ISTEXT(rRNA_Depletion_express!$E$2),11-O43,)))</f>
        <v>0</v>
      </c>
      <c r="O43" s="2">
        <v>5</v>
      </c>
      <c r="P43" s="3" t="e">
        <f t="shared" si="1"/>
        <v>#DIV/0!</v>
      </c>
      <c r="AA43" s="85" t="e">
        <f t="shared" si="2"/>
        <v>#DIV/0!</v>
      </c>
      <c r="AB43" s="82" t="e">
        <f t="shared" si="3"/>
        <v>#DIV/0!</v>
      </c>
    </row>
    <row r="44" spans="1:28" x14ac:dyDescent="0.25">
      <c r="A44" s="82">
        <v>43</v>
      </c>
      <c r="L44" s="82" t="e">
        <f t="shared" si="0"/>
        <v>#DIV/0!</v>
      </c>
      <c r="N44" s="82">
        <f>IF(ISTEXT(polyA_express!$E$2),50-O44,IF(ISTEXT(#REF!),11-O44,IF(ISTEXT(rRNA_Depletion_express!$E$2),11-O44,)))</f>
        <v>0</v>
      </c>
      <c r="O44" s="2">
        <v>5</v>
      </c>
      <c r="P44" s="3" t="e">
        <f t="shared" si="1"/>
        <v>#DIV/0!</v>
      </c>
      <c r="AA44" s="85" t="e">
        <f t="shared" si="2"/>
        <v>#DIV/0!</v>
      </c>
      <c r="AB44" s="82" t="e">
        <f t="shared" si="3"/>
        <v>#DIV/0!</v>
      </c>
    </row>
    <row r="45" spans="1:28" x14ac:dyDescent="0.25">
      <c r="A45" s="82">
        <v>44</v>
      </c>
      <c r="L45" s="82" t="e">
        <f t="shared" si="0"/>
        <v>#DIV/0!</v>
      </c>
      <c r="N45" s="82">
        <f>IF(ISTEXT(polyA_express!$E$2),50-O45,IF(ISTEXT(#REF!),11-O45,IF(ISTEXT(rRNA_Depletion_express!$E$2),11-O45,)))</f>
        <v>0</v>
      </c>
      <c r="O45" s="2">
        <v>5</v>
      </c>
      <c r="P45" s="3" t="e">
        <f t="shared" si="1"/>
        <v>#DIV/0!</v>
      </c>
      <c r="AA45" s="85" t="e">
        <f t="shared" si="2"/>
        <v>#DIV/0!</v>
      </c>
      <c r="AB45" s="82" t="e">
        <f t="shared" si="3"/>
        <v>#DIV/0!</v>
      </c>
    </row>
    <row r="46" spans="1:28" x14ac:dyDescent="0.25">
      <c r="A46" s="82">
        <v>45</v>
      </c>
      <c r="L46" s="82" t="e">
        <f t="shared" si="0"/>
        <v>#DIV/0!</v>
      </c>
      <c r="N46" s="82">
        <f>IF(ISTEXT(polyA_express!$E$2),50-O46,IF(ISTEXT(#REF!),11-O46,IF(ISTEXT(rRNA_Depletion_express!$E$2),11-O46,)))</f>
        <v>0</v>
      </c>
      <c r="O46" s="2">
        <v>5</v>
      </c>
      <c r="P46" s="3" t="e">
        <f t="shared" si="1"/>
        <v>#DIV/0!</v>
      </c>
      <c r="AA46" s="85" t="e">
        <f t="shared" si="2"/>
        <v>#DIV/0!</v>
      </c>
      <c r="AB46" s="82" t="e">
        <f t="shared" si="3"/>
        <v>#DIV/0!</v>
      </c>
    </row>
    <row r="47" spans="1:28" x14ac:dyDescent="0.25">
      <c r="A47" s="82">
        <v>46</v>
      </c>
      <c r="L47" s="82" t="e">
        <f t="shared" si="0"/>
        <v>#DIV/0!</v>
      </c>
      <c r="N47" s="82">
        <f>IF(ISTEXT(polyA_express!$E$2),50-O47,IF(ISTEXT(#REF!),11-O47,IF(ISTEXT(rRNA_Depletion_express!$E$2),11-O47,)))</f>
        <v>0</v>
      </c>
      <c r="O47" s="2">
        <v>5</v>
      </c>
      <c r="P47" s="3" t="e">
        <f t="shared" si="1"/>
        <v>#DIV/0!</v>
      </c>
      <c r="AA47" s="85" t="e">
        <f t="shared" si="2"/>
        <v>#DIV/0!</v>
      </c>
      <c r="AB47" s="82" t="e">
        <f t="shared" si="3"/>
        <v>#DIV/0!</v>
      </c>
    </row>
    <row r="48" spans="1:28" x14ac:dyDescent="0.25">
      <c r="A48" s="82">
        <v>47</v>
      </c>
      <c r="L48" s="82" t="e">
        <f t="shared" si="0"/>
        <v>#DIV/0!</v>
      </c>
      <c r="N48" s="82">
        <f>IF(ISTEXT(polyA_express!$E$2),50-O48,IF(ISTEXT(#REF!),11-O48,IF(ISTEXT(rRNA_Depletion_express!$E$2),11-O48,)))</f>
        <v>0</v>
      </c>
      <c r="O48" s="2">
        <v>5</v>
      </c>
      <c r="P48" s="3" t="e">
        <f t="shared" si="1"/>
        <v>#DIV/0!</v>
      </c>
      <c r="AA48" s="85" t="e">
        <f t="shared" si="2"/>
        <v>#DIV/0!</v>
      </c>
      <c r="AB48" s="82" t="e">
        <f t="shared" si="3"/>
        <v>#DIV/0!</v>
      </c>
    </row>
    <row r="49" spans="1:28" x14ac:dyDescent="0.25">
      <c r="A49" s="82">
        <v>48</v>
      </c>
      <c r="L49" s="82" t="e">
        <f t="shared" si="0"/>
        <v>#DIV/0!</v>
      </c>
      <c r="N49" s="82">
        <f>IF(ISTEXT(polyA_express!$E$2),50-O49,IF(ISTEXT(#REF!),11-O49,IF(ISTEXT(rRNA_Depletion_express!$E$2),11-O49,)))</f>
        <v>0</v>
      </c>
      <c r="O49" s="2">
        <v>5</v>
      </c>
      <c r="P49" s="3" t="e">
        <f t="shared" si="1"/>
        <v>#DIV/0!</v>
      </c>
      <c r="AA49" s="85" t="e">
        <f t="shared" si="2"/>
        <v>#DIV/0!</v>
      </c>
      <c r="AB49" s="82" t="e">
        <f t="shared" si="3"/>
        <v>#DIV/0!</v>
      </c>
    </row>
    <row r="50" spans="1:28" x14ac:dyDescent="0.25">
      <c r="A50" s="82">
        <v>49</v>
      </c>
      <c r="L50" s="82" t="e">
        <f t="shared" si="0"/>
        <v>#DIV/0!</v>
      </c>
      <c r="N50" s="82">
        <f>IF(ISTEXT(polyA_express!$E$2),50-O50,IF(ISTEXT(#REF!),11-O50,IF(ISTEXT(rRNA_Depletion_express!$E$2),11-O50,)))</f>
        <v>0</v>
      </c>
      <c r="O50" s="2">
        <v>5</v>
      </c>
      <c r="P50" s="3" t="e">
        <f t="shared" si="1"/>
        <v>#DIV/0!</v>
      </c>
      <c r="AA50" s="85" t="e">
        <f t="shared" si="2"/>
        <v>#DIV/0!</v>
      </c>
      <c r="AB50" s="82" t="e">
        <f t="shared" si="3"/>
        <v>#DIV/0!</v>
      </c>
    </row>
    <row r="51" spans="1:28" x14ac:dyDescent="0.25">
      <c r="A51" s="82">
        <v>50</v>
      </c>
      <c r="L51" s="82" t="e">
        <f t="shared" si="0"/>
        <v>#DIV/0!</v>
      </c>
      <c r="N51" s="82">
        <f>IF(ISTEXT(polyA_express!$E$2),50-O51,IF(ISTEXT(#REF!),11-O51,IF(ISTEXT(rRNA_Depletion_express!$E$2),11-O51,)))</f>
        <v>0</v>
      </c>
      <c r="O51" s="2">
        <v>5</v>
      </c>
      <c r="P51" s="3" t="e">
        <f t="shared" si="1"/>
        <v>#DIV/0!</v>
      </c>
      <c r="AA51" s="85" t="e">
        <f t="shared" si="2"/>
        <v>#DIV/0!</v>
      </c>
      <c r="AB51" s="82" t="e">
        <f t="shared" si="3"/>
        <v>#DIV/0!</v>
      </c>
    </row>
    <row r="52" spans="1:28" x14ac:dyDescent="0.25">
      <c r="A52" s="82">
        <v>51</v>
      </c>
      <c r="L52" s="82" t="e">
        <f t="shared" si="0"/>
        <v>#DIV/0!</v>
      </c>
      <c r="N52" s="82">
        <f>IF(ISTEXT(polyA_express!$E$2),50-O52,IF(ISTEXT(#REF!),11-O52,IF(ISTEXT(rRNA_Depletion_express!$E$2),11-O52,)))</f>
        <v>0</v>
      </c>
      <c r="O52" s="2">
        <v>5</v>
      </c>
      <c r="P52" s="3" t="e">
        <f t="shared" si="1"/>
        <v>#DIV/0!</v>
      </c>
      <c r="AA52" s="85" t="e">
        <f t="shared" si="2"/>
        <v>#DIV/0!</v>
      </c>
      <c r="AB52" s="82" t="e">
        <f t="shared" si="3"/>
        <v>#DIV/0!</v>
      </c>
    </row>
    <row r="53" spans="1:28" x14ac:dyDescent="0.25">
      <c r="A53" s="82">
        <v>52</v>
      </c>
      <c r="L53" s="82" t="e">
        <f t="shared" si="0"/>
        <v>#DIV/0!</v>
      </c>
      <c r="N53" s="82">
        <f>IF(ISTEXT(polyA_express!$E$2),50-O53,IF(ISTEXT(#REF!),11-O53,IF(ISTEXT(rRNA_Depletion_express!$E$2),11-O53,)))</f>
        <v>0</v>
      </c>
      <c r="O53" s="2">
        <v>5</v>
      </c>
      <c r="P53" s="3" t="e">
        <f t="shared" si="1"/>
        <v>#DIV/0!</v>
      </c>
      <c r="AA53" s="85" t="e">
        <f t="shared" si="2"/>
        <v>#DIV/0!</v>
      </c>
      <c r="AB53" s="82" t="e">
        <f t="shared" si="3"/>
        <v>#DIV/0!</v>
      </c>
    </row>
    <row r="54" spans="1:28" x14ac:dyDescent="0.25">
      <c r="A54" s="82">
        <v>53</v>
      </c>
      <c r="L54" s="82" t="e">
        <f t="shared" si="0"/>
        <v>#DIV/0!</v>
      </c>
      <c r="N54" s="82">
        <f>IF(ISTEXT(polyA_express!$E$2),50-O54,IF(ISTEXT(#REF!),11-O54,IF(ISTEXT(rRNA_Depletion_express!$E$2),11-O54,)))</f>
        <v>0</v>
      </c>
      <c r="O54" s="2">
        <v>5</v>
      </c>
      <c r="P54" s="3" t="e">
        <f t="shared" si="1"/>
        <v>#DIV/0!</v>
      </c>
      <c r="AA54" s="85" t="e">
        <f t="shared" si="2"/>
        <v>#DIV/0!</v>
      </c>
      <c r="AB54" s="82" t="e">
        <f t="shared" si="3"/>
        <v>#DIV/0!</v>
      </c>
    </row>
    <row r="55" spans="1:28" x14ac:dyDescent="0.25">
      <c r="A55" s="82">
        <v>54</v>
      </c>
      <c r="L55" s="82" t="e">
        <f t="shared" si="0"/>
        <v>#DIV/0!</v>
      </c>
      <c r="N55" s="82">
        <f>IF(ISTEXT(polyA_express!$E$2),50-O55,IF(ISTEXT(#REF!),11-O55,IF(ISTEXT(rRNA_Depletion_express!$E$2),11-O55,)))</f>
        <v>0</v>
      </c>
      <c r="O55" s="2">
        <v>5</v>
      </c>
      <c r="P55" s="3" t="e">
        <f t="shared" si="1"/>
        <v>#DIV/0!</v>
      </c>
      <c r="AA55" s="85" t="e">
        <f t="shared" si="2"/>
        <v>#DIV/0!</v>
      </c>
      <c r="AB55" s="82" t="e">
        <f t="shared" si="3"/>
        <v>#DIV/0!</v>
      </c>
    </row>
    <row r="56" spans="1:28" x14ac:dyDescent="0.25">
      <c r="A56" s="82">
        <v>55</v>
      </c>
      <c r="L56" s="82" t="e">
        <f t="shared" si="0"/>
        <v>#DIV/0!</v>
      </c>
      <c r="N56" s="82">
        <f>IF(ISTEXT(polyA_express!$E$2),50-O56,IF(ISTEXT(#REF!),11-O56,IF(ISTEXT(rRNA_Depletion_express!$E$2),11-O56,)))</f>
        <v>0</v>
      </c>
      <c r="O56" s="2">
        <v>5</v>
      </c>
      <c r="P56" s="3" t="e">
        <f t="shared" si="1"/>
        <v>#DIV/0!</v>
      </c>
      <c r="AA56" s="85" t="e">
        <f t="shared" si="2"/>
        <v>#DIV/0!</v>
      </c>
      <c r="AB56" s="82" t="e">
        <f t="shared" si="3"/>
        <v>#DIV/0!</v>
      </c>
    </row>
    <row r="57" spans="1:28" x14ac:dyDescent="0.25">
      <c r="A57" s="82">
        <v>56</v>
      </c>
      <c r="L57" s="82" t="e">
        <f t="shared" si="0"/>
        <v>#DIV/0!</v>
      </c>
      <c r="N57" s="82">
        <f>IF(ISTEXT(polyA_express!$E$2),50-O57,IF(ISTEXT(#REF!),11-O57,IF(ISTEXT(rRNA_Depletion_express!$E$2),11-O57,)))</f>
        <v>0</v>
      </c>
      <c r="O57" s="2">
        <v>5</v>
      </c>
      <c r="P57" s="3" t="e">
        <f t="shared" si="1"/>
        <v>#DIV/0!</v>
      </c>
      <c r="AA57" s="85" t="e">
        <f t="shared" si="2"/>
        <v>#DIV/0!</v>
      </c>
      <c r="AB57" s="82" t="e">
        <f t="shared" si="3"/>
        <v>#DIV/0!</v>
      </c>
    </row>
    <row r="58" spans="1:28" x14ac:dyDescent="0.25">
      <c r="A58" s="82">
        <v>57</v>
      </c>
      <c r="L58" s="82" t="e">
        <f t="shared" si="0"/>
        <v>#DIV/0!</v>
      </c>
      <c r="N58" s="82">
        <f>IF(ISTEXT(polyA_express!$E$2),50-O58,IF(ISTEXT(#REF!),11-O58,IF(ISTEXT(rRNA_Depletion_express!$E$2),11-O58,)))</f>
        <v>0</v>
      </c>
      <c r="O58" s="2">
        <v>5</v>
      </c>
      <c r="P58" s="3" t="e">
        <f t="shared" si="1"/>
        <v>#DIV/0!</v>
      </c>
      <c r="AA58" s="85" t="e">
        <f t="shared" si="2"/>
        <v>#DIV/0!</v>
      </c>
      <c r="AB58" s="82" t="e">
        <f t="shared" si="3"/>
        <v>#DIV/0!</v>
      </c>
    </row>
    <row r="59" spans="1:28" x14ac:dyDescent="0.25">
      <c r="A59" s="82">
        <v>58</v>
      </c>
      <c r="L59" s="82" t="e">
        <f t="shared" si="0"/>
        <v>#DIV/0!</v>
      </c>
      <c r="N59" s="82">
        <f>IF(ISTEXT(polyA_express!$E$2),50-O59,IF(ISTEXT(#REF!),11-O59,IF(ISTEXT(rRNA_Depletion_express!$E$2),11-O59,)))</f>
        <v>0</v>
      </c>
      <c r="O59" s="2">
        <v>5</v>
      </c>
      <c r="P59" s="3" t="e">
        <f t="shared" si="1"/>
        <v>#DIV/0!</v>
      </c>
      <c r="AA59" s="85" t="e">
        <f t="shared" si="2"/>
        <v>#DIV/0!</v>
      </c>
      <c r="AB59" s="82" t="e">
        <f t="shared" si="3"/>
        <v>#DIV/0!</v>
      </c>
    </row>
    <row r="60" spans="1:28" x14ac:dyDescent="0.25">
      <c r="A60" s="82">
        <v>59</v>
      </c>
      <c r="L60" s="82" t="e">
        <f t="shared" si="0"/>
        <v>#DIV/0!</v>
      </c>
      <c r="N60" s="82">
        <f>IF(ISTEXT(polyA_express!$E$2),50-O60,IF(ISTEXT(#REF!),11-O60,IF(ISTEXT(rRNA_Depletion_express!$E$2),11-O60,)))</f>
        <v>0</v>
      </c>
      <c r="O60" s="2">
        <v>5</v>
      </c>
      <c r="P60" s="3" t="e">
        <f t="shared" si="1"/>
        <v>#DIV/0!</v>
      </c>
      <c r="AA60" s="85" t="e">
        <f t="shared" si="2"/>
        <v>#DIV/0!</v>
      </c>
      <c r="AB60" s="82" t="e">
        <f t="shared" si="3"/>
        <v>#DIV/0!</v>
      </c>
    </row>
    <row r="61" spans="1:28" x14ac:dyDescent="0.25">
      <c r="A61" s="82">
        <v>60</v>
      </c>
      <c r="L61" s="82" t="e">
        <f t="shared" si="0"/>
        <v>#DIV/0!</v>
      </c>
      <c r="N61" s="82">
        <f>IF(ISTEXT(polyA_express!$E$2),50-O61,IF(ISTEXT(#REF!),11-O61,IF(ISTEXT(rRNA_Depletion_express!$E$2),11-O61,)))</f>
        <v>0</v>
      </c>
      <c r="O61" s="2">
        <v>5</v>
      </c>
      <c r="P61" s="3" t="e">
        <f t="shared" si="1"/>
        <v>#DIV/0!</v>
      </c>
      <c r="AA61" s="85" t="e">
        <f t="shared" si="2"/>
        <v>#DIV/0!</v>
      </c>
      <c r="AB61" s="82" t="e">
        <f t="shared" si="3"/>
        <v>#DIV/0!</v>
      </c>
    </row>
    <row r="62" spans="1:28" x14ac:dyDescent="0.25">
      <c r="A62" s="82">
        <v>61</v>
      </c>
      <c r="L62" s="82" t="e">
        <f t="shared" si="0"/>
        <v>#DIV/0!</v>
      </c>
      <c r="N62" s="82">
        <f>IF(ISTEXT(polyA_express!$E$2),50-O62,IF(ISTEXT(#REF!),11-O62,IF(ISTEXT(rRNA_Depletion_express!$E$2),11-O62,)))</f>
        <v>0</v>
      </c>
      <c r="O62" s="2">
        <v>5</v>
      </c>
      <c r="P62" s="3" t="e">
        <f t="shared" si="1"/>
        <v>#DIV/0!</v>
      </c>
      <c r="AA62" s="85" t="e">
        <f t="shared" si="2"/>
        <v>#DIV/0!</v>
      </c>
      <c r="AB62" s="82" t="e">
        <f t="shared" si="3"/>
        <v>#DIV/0!</v>
      </c>
    </row>
    <row r="63" spans="1:28" x14ac:dyDescent="0.25">
      <c r="A63" s="82">
        <v>62</v>
      </c>
      <c r="L63" s="82" t="e">
        <f t="shared" si="0"/>
        <v>#DIV/0!</v>
      </c>
      <c r="N63" s="82">
        <f>IF(ISTEXT(polyA_express!$E$2),50-O63,IF(ISTEXT(#REF!),11-O63,IF(ISTEXT(rRNA_Depletion_express!$E$2),11-O63,)))</f>
        <v>0</v>
      </c>
      <c r="O63" s="2">
        <v>5</v>
      </c>
      <c r="P63" s="3" t="e">
        <f t="shared" si="1"/>
        <v>#DIV/0!</v>
      </c>
      <c r="AA63" s="85" t="e">
        <f t="shared" si="2"/>
        <v>#DIV/0!</v>
      </c>
      <c r="AB63" s="82" t="e">
        <f t="shared" si="3"/>
        <v>#DIV/0!</v>
      </c>
    </row>
    <row r="64" spans="1:28" x14ac:dyDescent="0.25">
      <c r="A64" s="82">
        <v>63</v>
      </c>
      <c r="L64" s="82" t="e">
        <f t="shared" si="0"/>
        <v>#DIV/0!</v>
      </c>
      <c r="N64" s="82">
        <f>IF(ISTEXT(polyA_express!$E$2),50-O64,IF(ISTEXT(#REF!),11-O64,IF(ISTEXT(rRNA_Depletion_express!$E$2),11-O64,)))</f>
        <v>0</v>
      </c>
      <c r="O64" s="2">
        <v>5</v>
      </c>
      <c r="P64" s="3" t="e">
        <f t="shared" si="1"/>
        <v>#DIV/0!</v>
      </c>
      <c r="AA64" s="85" t="e">
        <f t="shared" si="2"/>
        <v>#DIV/0!</v>
      </c>
      <c r="AB64" s="82" t="e">
        <f t="shared" si="3"/>
        <v>#DIV/0!</v>
      </c>
    </row>
    <row r="65" spans="1:28" x14ac:dyDescent="0.25">
      <c r="A65" s="82">
        <v>64</v>
      </c>
      <c r="L65" s="82" t="e">
        <f t="shared" si="0"/>
        <v>#DIV/0!</v>
      </c>
      <c r="N65" s="82">
        <f>IF(ISTEXT(polyA_express!$E$2),50-O65,IF(ISTEXT(#REF!),11-O65,IF(ISTEXT(rRNA_Depletion_express!$E$2),11-O65,)))</f>
        <v>0</v>
      </c>
      <c r="O65" s="2">
        <v>5</v>
      </c>
      <c r="P65" s="3" t="e">
        <f t="shared" si="1"/>
        <v>#DIV/0!</v>
      </c>
      <c r="AA65" s="85" t="e">
        <f t="shared" si="2"/>
        <v>#DIV/0!</v>
      </c>
      <c r="AB65" s="82" t="e">
        <f t="shared" si="3"/>
        <v>#DIV/0!</v>
      </c>
    </row>
    <row r="66" spans="1:28" x14ac:dyDescent="0.25">
      <c r="A66" s="82">
        <v>65</v>
      </c>
      <c r="L66" s="82" t="e">
        <f t="shared" si="0"/>
        <v>#DIV/0!</v>
      </c>
      <c r="N66" s="82">
        <f>IF(ISTEXT(polyA_express!$E$2),50-O66,IF(ISTEXT(#REF!),11-O66,IF(ISTEXT(rRNA_Depletion_express!$E$2),11-O66,)))</f>
        <v>0</v>
      </c>
      <c r="O66" s="2">
        <v>5</v>
      </c>
      <c r="P66" s="3" t="e">
        <f t="shared" si="1"/>
        <v>#DIV/0!</v>
      </c>
      <c r="AA66" s="85" t="e">
        <f t="shared" si="2"/>
        <v>#DIV/0!</v>
      </c>
      <c r="AB66" s="82" t="e">
        <f t="shared" si="3"/>
        <v>#DIV/0!</v>
      </c>
    </row>
    <row r="67" spans="1:28" x14ac:dyDescent="0.25">
      <c r="A67" s="82">
        <v>66</v>
      </c>
      <c r="L67" s="82" t="e">
        <f t="shared" ref="L67:L97" si="4">I67/J67</f>
        <v>#DIV/0!</v>
      </c>
      <c r="N67" s="82">
        <f>IF(ISTEXT(polyA_express!$E$2),50-O67,IF(ISTEXT(#REF!),11-O67,IF(ISTEXT(rRNA_Depletion_express!$E$2),11-O67,)))</f>
        <v>0</v>
      </c>
      <c r="O67" s="2">
        <v>5</v>
      </c>
      <c r="P67" s="3" t="e">
        <f t="shared" ref="P67:P97" si="5">+L67*O67</f>
        <v>#DIV/0!</v>
      </c>
      <c r="AA67" s="85" t="e">
        <f t="shared" ref="AA67:AA97" si="6">+MAX($Y$2:$Y$97)/Y67</f>
        <v>#DIV/0!</v>
      </c>
      <c r="AB67" s="82" t="e">
        <f t="shared" ref="AB67:AB97" si="7">AA67*1</f>
        <v>#DIV/0!</v>
      </c>
    </row>
    <row r="68" spans="1:28" x14ac:dyDescent="0.25">
      <c r="A68" s="82">
        <v>67</v>
      </c>
      <c r="L68" s="82" t="e">
        <f t="shared" si="4"/>
        <v>#DIV/0!</v>
      </c>
      <c r="N68" s="82">
        <f>IF(ISTEXT(polyA_express!$E$2),50-O68,IF(ISTEXT(#REF!),11-O68,IF(ISTEXT(rRNA_Depletion_express!$E$2),11-O68,)))</f>
        <v>0</v>
      </c>
      <c r="O68" s="2">
        <v>5</v>
      </c>
      <c r="P68" s="3" t="e">
        <f t="shared" si="5"/>
        <v>#DIV/0!</v>
      </c>
      <c r="AA68" s="85" t="e">
        <f t="shared" si="6"/>
        <v>#DIV/0!</v>
      </c>
      <c r="AB68" s="82" t="e">
        <f t="shared" si="7"/>
        <v>#DIV/0!</v>
      </c>
    </row>
    <row r="69" spans="1:28" x14ac:dyDescent="0.25">
      <c r="A69" s="82">
        <v>68</v>
      </c>
      <c r="L69" s="82" t="e">
        <f t="shared" si="4"/>
        <v>#DIV/0!</v>
      </c>
      <c r="N69" s="82">
        <f>IF(ISTEXT(polyA_express!$E$2),50-O69,IF(ISTEXT(#REF!),11-O69,IF(ISTEXT(rRNA_Depletion_express!$E$2),11-O69,)))</f>
        <v>0</v>
      </c>
      <c r="O69" s="2">
        <v>5</v>
      </c>
      <c r="P69" s="3" t="e">
        <f t="shared" si="5"/>
        <v>#DIV/0!</v>
      </c>
      <c r="AA69" s="85" t="e">
        <f t="shared" si="6"/>
        <v>#DIV/0!</v>
      </c>
      <c r="AB69" s="82" t="e">
        <f t="shared" si="7"/>
        <v>#DIV/0!</v>
      </c>
    </row>
    <row r="70" spans="1:28" x14ac:dyDescent="0.25">
      <c r="A70" s="82">
        <v>69</v>
      </c>
      <c r="L70" s="82" t="e">
        <f t="shared" si="4"/>
        <v>#DIV/0!</v>
      </c>
      <c r="N70" s="82">
        <f>IF(ISTEXT(polyA_express!$E$2),50-O70,IF(ISTEXT(#REF!),11-O70,IF(ISTEXT(rRNA_Depletion_express!$E$2),11-O70,)))</f>
        <v>0</v>
      </c>
      <c r="O70" s="2">
        <v>5</v>
      </c>
      <c r="P70" s="3" t="e">
        <f t="shared" si="5"/>
        <v>#DIV/0!</v>
      </c>
      <c r="AA70" s="85" t="e">
        <f t="shared" si="6"/>
        <v>#DIV/0!</v>
      </c>
      <c r="AB70" s="82" t="e">
        <f t="shared" si="7"/>
        <v>#DIV/0!</v>
      </c>
    </row>
    <row r="71" spans="1:28" x14ac:dyDescent="0.25">
      <c r="A71" s="82">
        <v>70</v>
      </c>
      <c r="L71" s="82" t="e">
        <f t="shared" si="4"/>
        <v>#DIV/0!</v>
      </c>
      <c r="N71" s="82">
        <f>IF(ISTEXT(polyA_express!$E$2),50-O71,IF(ISTEXT(#REF!),11-O71,IF(ISTEXT(rRNA_Depletion_express!$E$2),11-O71,)))</f>
        <v>0</v>
      </c>
      <c r="O71" s="2">
        <v>5</v>
      </c>
      <c r="P71" s="3" t="e">
        <f t="shared" si="5"/>
        <v>#DIV/0!</v>
      </c>
      <c r="AA71" s="85" t="e">
        <f t="shared" si="6"/>
        <v>#DIV/0!</v>
      </c>
      <c r="AB71" s="82" t="e">
        <f t="shared" si="7"/>
        <v>#DIV/0!</v>
      </c>
    </row>
    <row r="72" spans="1:28" x14ac:dyDescent="0.25">
      <c r="A72" s="82">
        <v>71</v>
      </c>
      <c r="L72" s="82" t="e">
        <f t="shared" si="4"/>
        <v>#DIV/0!</v>
      </c>
      <c r="N72" s="82">
        <f>IF(ISTEXT(polyA_express!$E$2),50-O72,IF(ISTEXT(#REF!),11-O72,IF(ISTEXT(rRNA_Depletion_express!$E$2),11-O72,)))</f>
        <v>0</v>
      </c>
      <c r="O72" s="2">
        <v>5</v>
      </c>
      <c r="P72" s="3" t="e">
        <f t="shared" si="5"/>
        <v>#DIV/0!</v>
      </c>
      <c r="AA72" s="85" t="e">
        <f t="shared" si="6"/>
        <v>#DIV/0!</v>
      </c>
      <c r="AB72" s="82" t="e">
        <f t="shared" si="7"/>
        <v>#DIV/0!</v>
      </c>
    </row>
    <row r="73" spans="1:28" x14ac:dyDescent="0.25">
      <c r="A73" s="82">
        <v>72</v>
      </c>
      <c r="L73" s="82" t="e">
        <f t="shared" si="4"/>
        <v>#DIV/0!</v>
      </c>
      <c r="N73" s="82">
        <f>IF(ISTEXT(polyA_express!$E$2),50-O73,IF(ISTEXT(#REF!),11-O73,IF(ISTEXT(rRNA_Depletion_express!$E$2),11-O73,)))</f>
        <v>0</v>
      </c>
      <c r="O73" s="2">
        <v>5</v>
      </c>
      <c r="P73" s="3" t="e">
        <f t="shared" si="5"/>
        <v>#DIV/0!</v>
      </c>
      <c r="AA73" s="85" t="e">
        <f t="shared" si="6"/>
        <v>#DIV/0!</v>
      </c>
      <c r="AB73" s="82" t="e">
        <f t="shared" si="7"/>
        <v>#DIV/0!</v>
      </c>
    </row>
    <row r="74" spans="1:28" x14ac:dyDescent="0.25">
      <c r="A74" s="82">
        <v>73</v>
      </c>
      <c r="L74" s="82" t="e">
        <f t="shared" si="4"/>
        <v>#DIV/0!</v>
      </c>
      <c r="N74" s="82">
        <f>IF(ISTEXT(polyA_express!$E$2),50-O74,IF(ISTEXT(#REF!),11-O74,IF(ISTEXT(rRNA_Depletion_express!$E$2),11-O74,)))</f>
        <v>0</v>
      </c>
      <c r="O74" s="2">
        <v>5</v>
      </c>
      <c r="P74" s="3" t="e">
        <f t="shared" si="5"/>
        <v>#DIV/0!</v>
      </c>
      <c r="AA74" s="85" t="e">
        <f t="shared" si="6"/>
        <v>#DIV/0!</v>
      </c>
      <c r="AB74" s="82" t="e">
        <f t="shared" si="7"/>
        <v>#DIV/0!</v>
      </c>
    </row>
    <row r="75" spans="1:28" x14ac:dyDescent="0.25">
      <c r="A75" s="82">
        <v>74</v>
      </c>
      <c r="L75" s="82" t="e">
        <f t="shared" si="4"/>
        <v>#DIV/0!</v>
      </c>
      <c r="N75" s="82">
        <f>IF(ISTEXT(polyA_express!$E$2),50-O75,IF(ISTEXT(#REF!),11-O75,IF(ISTEXT(rRNA_Depletion_express!$E$2),11-O75,)))</f>
        <v>0</v>
      </c>
      <c r="O75" s="2">
        <v>5</v>
      </c>
      <c r="P75" s="3" t="e">
        <f t="shared" si="5"/>
        <v>#DIV/0!</v>
      </c>
      <c r="AA75" s="85" t="e">
        <f t="shared" si="6"/>
        <v>#DIV/0!</v>
      </c>
      <c r="AB75" s="82" t="e">
        <f t="shared" si="7"/>
        <v>#DIV/0!</v>
      </c>
    </row>
    <row r="76" spans="1:28" x14ac:dyDescent="0.25">
      <c r="A76" s="82">
        <v>75</v>
      </c>
      <c r="L76" s="82" t="e">
        <f t="shared" si="4"/>
        <v>#DIV/0!</v>
      </c>
      <c r="N76" s="82">
        <f>IF(ISTEXT(polyA_express!$E$2),50-O76,IF(ISTEXT(#REF!),11-O76,IF(ISTEXT(rRNA_Depletion_express!$E$2),11-O76,)))</f>
        <v>0</v>
      </c>
      <c r="O76" s="2">
        <v>5</v>
      </c>
      <c r="P76" s="3" t="e">
        <f t="shared" si="5"/>
        <v>#DIV/0!</v>
      </c>
      <c r="AA76" s="85" t="e">
        <f t="shared" si="6"/>
        <v>#DIV/0!</v>
      </c>
      <c r="AB76" s="82" t="e">
        <f t="shared" si="7"/>
        <v>#DIV/0!</v>
      </c>
    </row>
    <row r="77" spans="1:28" x14ac:dyDescent="0.25">
      <c r="A77" s="82">
        <v>76</v>
      </c>
      <c r="L77" s="82" t="e">
        <f t="shared" si="4"/>
        <v>#DIV/0!</v>
      </c>
      <c r="N77" s="82">
        <f>IF(ISTEXT(polyA_express!$E$2),50-O77,IF(ISTEXT(#REF!),11-O77,IF(ISTEXT(rRNA_Depletion_express!$E$2),11-O77,)))</f>
        <v>0</v>
      </c>
      <c r="O77" s="2">
        <v>5</v>
      </c>
      <c r="P77" s="3" t="e">
        <f t="shared" si="5"/>
        <v>#DIV/0!</v>
      </c>
      <c r="AA77" s="85" t="e">
        <f t="shared" si="6"/>
        <v>#DIV/0!</v>
      </c>
      <c r="AB77" s="82" t="e">
        <f t="shared" si="7"/>
        <v>#DIV/0!</v>
      </c>
    </row>
    <row r="78" spans="1:28" x14ac:dyDescent="0.25">
      <c r="A78" s="82">
        <v>77</v>
      </c>
      <c r="L78" s="82" t="e">
        <f t="shared" si="4"/>
        <v>#DIV/0!</v>
      </c>
      <c r="N78" s="82">
        <f>IF(ISTEXT(polyA_express!$E$2),50-O78,IF(ISTEXT(#REF!),11-O78,IF(ISTEXT(rRNA_Depletion_express!$E$2),11-O78,)))</f>
        <v>0</v>
      </c>
      <c r="O78" s="2">
        <v>5</v>
      </c>
      <c r="P78" s="3" t="e">
        <f t="shared" si="5"/>
        <v>#DIV/0!</v>
      </c>
      <c r="AA78" s="85" t="e">
        <f t="shared" si="6"/>
        <v>#DIV/0!</v>
      </c>
      <c r="AB78" s="82" t="e">
        <f t="shared" si="7"/>
        <v>#DIV/0!</v>
      </c>
    </row>
    <row r="79" spans="1:28" x14ac:dyDescent="0.25">
      <c r="A79" s="82">
        <v>78</v>
      </c>
      <c r="L79" s="82" t="e">
        <f t="shared" si="4"/>
        <v>#DIV/0!</v>
      </c>
      <c r="N79" s="82">
        <f>IF(ISTEXT(polyA_express!$E$2),50-O79,IF(ISTEXT(#REF!),11-O79,IF(ISTEXT(rRNA_Depletion_express!$E$2),11-O79,)))</f>
        <v>0</v>
      </c>
      <c r="O79" s="2">
        <v>5</v>
      </c>
      <c r="P79" s="3" t="e">
        <f t="shared" si="5"/>
        <v>#DIV/0!</v>
      </c>
      <c r="AA79" s="85" t="e">
        <f t="shared" si="6"/>
        <v>#DIV/0!</v>
      </c>
      <c r="AB79" s="82" t="e">
        <f t="shared" si="7"/>
        <v>#DIV/0!</v>
      </c>
    </row>
    <row r="80" spans="1:28" x14ac:dyDescent="0.25">
      <c r="A80" s="82">
        <v>79</v>
      </c>
      <c r="L80" s="82" t="e">
        <f t="shared" si="4"/>
        <v>#DIV/0!</v>
      </c>
      <c r="N80" s="82">
        <f>IF(ISTEXT(polyA_express!$E$2),50-O80,IF(ISTEXT(#REF!),11-O80,IF(ISTEXT(rRNA_Depletion_express!$E$2),11-O80,)))</f>
        <v>0</v>
      </c>
      <c r="O80" s="2">
        <v>5</v>
      </c>
      <c r="P80" s="3" t="e">
        <f t="shared" si="5"/>
        <v>#DIV/0!</v>
      </c>
      <c r="AA80" s="85" t="e">
        <f t="shared" si="6"/>
        <v>#DIV/0!</v>
      </c>
      <c r="AB80" s="82" t="e">
        <f t="shared" si="7"/>
        <v>#DIV/0!</v>
      </c>
    </row>
    <row r="81" spans="1:28" x14ac:dyDescent="0.25">
      <c r="A81" s="82">
        <v>80</v>
      </c>
      <c r="L81" s="82" t="e">
        <f t="shared" si="4"/>
        <v>#DIV/0!</v>
      </c>
      <c r="N81" s="82">
        <f>IF(ISTEXT(polyA_express!$E$2),50-O81,IF(ISTEXT(#REF!),11-O81,IF(ISTEXT(rRNA_Depletion_express!$E$2),11-O81,)))</f>
        <v>0</v>
      </c>
      <c r="O81" s="2">
        <v>5</v>
      </c>
      <c r="P81" s="3" t="e">
        <f t="shared" si="5"/>
        <v>#DIV/0!</v>
      </c>
      <c r="AA81" s="85" t="e">
        <f t="shared" si="6"/>
        <v>#DIV/0!</v>
      </c>
      <c r="AB81" s="82" t="e">
        <f t="shared" si="7"/>
        <v>#DIV/0!</v>
      </c>
    </row>
    <row r="82" spans="1:28" x14ac:dyDescent="0.25">
      <c r="A82" s="82">
        <v>81</v>
      </c>
      <c r="L82" s="82" t="e">
        <f t="shared" si="4"/>
        <v>#DIV/0!</v>
      </c>
      <c r="N82" s="82">
        <f>IF(ISTEXT(polyA_express!$E$2),50-O82,IF(ISTEXT(#REF!),11-O82,IF(ISTEXT(rRNA_Depletion_express!$E$2),11-O82,)))</f>
        <v>0</v>
      </c>
      <c r="O82" s="2">
        <v>5</v>
      </c>
      <c r="P82" s="3" t="e">
        <f t="shared" si="5"/>
        <v>#DIV/0!</v>
      </c>
      <c r="AA82" s="85" t="e">
        <f t="shared" si="6"/>
        <v>#DIV/0!</v>
      </c>
      <c r="AB82" s="82" t="e">
        <f t="shared" si="7"/>
        <v>#DIV/0!</v>
      </c>
    </row>
    <row r="83" spans="1:28" x14ac:dyDescent="0.25">
      <c r="A83" s="82">
        <v>82</v>
      </c>
      <c r="L83" s="82" t="e">
        <f t="shared" si="4"/>
        <v>#DIV/0!</v>
      </c>
      <c r="N83" s="82">
        <f>IF(ISTEXT(polyA_express!$E$2),50-O83,IF(ISTEXT(#REF!),11-O83,IF(ISTEXT(rRNA_Depletion_express!$E$2),11-O83,)))</f>
        <v>0</v>
      </c>
      <c r="O83" s="2">
        <v>5</v>
      </c>
      <c r="P83" s="3" t="e">
        <f t="shared" si="5"/>
        <v>#DIV/0!</v>
      </c>
      <c r="AA83" s="85" t="e">
        <f t="shared" si="6"/>
        <v>#DIV/0!</v>
      </c>
      <c r="AB83" s="82" t="e">
        <f t="shared" si="7"/>
        <v>#DIV/0!</v>
      </c>
    </row>
    <row r="84" spans="1:28" x14ac:dyDescent="0.25">
      <c r="A84" s="82">
        <v>83</v>
      </c>
      <c r="L84" s="82" t="e">
        <f t="shared" si="4"/>
        <v>#DIV/0!</v>
      </c>
      <c r="N84" s="82">
        <f>IF(ISTEXT(polyA_express!$E$2),50-O84,IF(ISTEXT(#REF!),11-O84,IF(ISTEXT(rRNA_Depletion_express!$E$2),11-O84,)))</f>
        <v>0</v>
      </c>
      <c r="O84" s="2">
        <v>5</v>
      </c>
      <c r="P84" s="3" t="e">
        <f t="shared" si="5"/>
        <v>#DIV/0!</v>
      </c>
      <c r="AA84" s="85" t="e">
        <f t="shared" si="6"/>
        <v>#DIV/0!</v>
      </c>
      <c r="AB84" s="82" t="e">
        <f t="shared" si="7"/>
        <v>#DIV/0!</v>
      </c>
    </row>
    <row r="85" spans="1:28" x14ac:dyDescent="0.25">
      <c r="A85" s="82">
        <v>84</v>
      </c>
      <c r="L85" s="82" t="e">
        <f t="shared" si="4"/>
        <v>#DIV/0!</v>
      </c>
      <c r="N85" s="82">
        <f>IF(ISTEXT(polyA_express!$E$2),50-O85,IF(ISTEXT(#REF!),11-O85,IF(ISTEXT(rRNA_Depletion_express!$E$2),11-O85,)))</f>
        <v>0</v>
      </c>
      <c r="O85" s="2">
        <v>5</v>
      </c>
      <c r="P85" s="3" t="e">
        <f t="shared" si="5"/>
        <v>#DIV/0!</v>
      </c>
      <c r="AA85" s="85" t="e">
        <f t="shared" si="6"/>
        <v>#DIV/0!</v>
      </c>
      <c r="AB85" s="82" t="e">
        <f t="shared" si="7"/>
        <v>#DIV/0!</v>
      </c>
    </row>
    <row r="86" spans="1:28" x14ac:dyDescent="0.25">
      <c r="A86" s="82">
        <v>85</v>
      </c>
      <c r="L86" s="82" t="e">
        <f t="shared" si="4"/>
        <v>#DIV/0!</v>
      </c>
      <c r="N86" s="82">
        <f>IF(ISTEXT(polyA_express!$E$2),50-O86,IF(ISTEXT(#REF!),11-O86,IF(ISTEXT(rRNA_Depletion_express!$E$2),11-O86,)))</f>
        <v>0</v>
      </c>
      <c r="O86" s="2">
        <v>5</v>
      </c>
      <c r="P86" s="3" t="e">
        <f t="shared" si="5"/>
        <v>#DIV/0!</v>
      </c>
      <c r="AA86" s="85" t="e">
        <f t="shared" si="6"/>
        <v>#DIV/0!</v>
      </c>
      <c r="AB86" s="82" t="e">
        <f t="shared" si="7"/>
        <v>#DIV/0!</v>
      </c>
    </row>
    <row r="87" spans="1:28" x14ac:dyDescent="0.25">
      <c r="A87" s="82">
        <v>86</v>
      </c>
      <c r="L87" s="82" t="e">
        <f t="shared" si="4"/>
        <v>#DIV/0!</v>
      </c>
      <c r="N87" s="82">
        <f>IF(ISTEXT(polyA_express!$E$2),50-O87,IF(ISTEXT(#REF!),11-O87,IF(ISTEXT(rRNA_Depletion_express!$E$2),11-O87,)))</f>
        <v>0</v>
      </c>
      <c r="O87" s="2">
        <v>5</v>
      </c>
      <c r="P87" s="3" t="e">
        <f t="shared" si="5"/>
        <v>#DIV/0!</v>
      </c>
      <c r="AA87" s="85" t="e">
        <f t="shared" si="6"/>
        <v>#DIV/0!</v>
      </c>
      <c r="AB87" s="82" t="e">
        <f t="shared" si="7"/>
        <v>#DIV/0!</v>
      </c>
    </row>
    <row r="88" spans="1:28" x14ac:dyDescent="0.25">
      <c r="A88" s="82">
        <v>87</v>
      </c>
      <c r="L88" s="82" t="e">
        <f t="shared" si="4"/>
        <v>#DIV/0!</v>
      </c>
      <c r="N88" s="82">
        <f>IF(ISTEXT(polyA_express!$E$2),50-O88,IF(ISTEXT(#REF!),11-O88,IF(ISTEXT(rRNA_Depletion_express!$E$2),11-O88,)))</f>
        <v>0</v>
      </c>
      <c r="O88" s="2">
        <v>5</v>
      </c>
      <c r="P88" s="3" t="e">
        <f t="shared" si="5"/>
        <v>#DIV/0!</v>
      </c>
      <c r="AA88" s="85" t="e">
        <f t="shared" si="6"/>
        <v>#DIV/0!</v>
      </c>
      <c r="AB88" s="82" t="e">
        <f t="shared" si="7"/>
        <v>#DIV/0!</v>
      </c>
    </row>
    <row r="89" spans="1:28" x14ac:dyDescent="0.25">
      <c r="A89" s="82">
        <v>88</v>
      </c>
      <c r="L89" s="82" t="e">
        <f t="shared" si="4"/>
        <v>#DIV/0!</v>
      </c>
      <c r="N89" s="82">
        <f>IF(ISTEXT(polyA_express!$E$2),50-O89,IF(ISTEXT(#REF!),11-O89,IF(ISTEXT(rRNA_Depletion_express!$E$2),11-O89,)))</f>
        <v>0</v>
      </c>
      <c r="O89" s="2">
        <v>5</v>
      </c>
      <c r="P89" s="3" t="e">
        <f t="shared" si="5"/>
        <v>#DIV/0!</v>
      </c>
      <c r="AA89" s="85" t="e">
        <f t="shared" si="6"/>
        <v>#DIV/0!</v>
      </c>
      <c r="AB89" s="82" t="e">
        <f t="shared" si="7"/>
        <v>#DIV/0!</v>
      </c>
    </row>
    <row r="90" spans="1:28" x14ac:dyDescent="0.25">
      <c r="A90" s="82">
        <v>89</v>
      </c>
      <c r="L90" s="82" t="e">
        <f t="shared" si="4"/>
        <v>#DIV/0!</v>
      </c>
      <c r="N90" s="82">
        <f>IF(ISTEXT(polyA_express!$E$2),50-O90,IF(ISTEXT(#REF!),11-O90,IF(ISTEXT(rRNA_Depletion_express!$E$2),11-O90,)))</f>
        <v>0</v>
      </c>
      <c r="O90" s="2">
        <v>5</v>
      </c>
      <c r="P90" s="3" t="e">
        <f t="shared" si="5"/>
        <v>#DIV/0!</v>
      </c>
      <c r="AA90" s="85" t="e">
        <f t="shared" si="6"/>
        <v>#DIV/0!</v>
      </c>
      <c r="AB90" s="82" t="e">
        <f t="shared" si="7"/>
        <v>#DIV/0!</v>
      </c>
    </row>
    <row r="91" spans="1:28" x14ac:dyDescent="0.25">
      <c r="A91" s="82">
        <v>90</v>
      </c>
      <c r="L91" s="82" t="e">
        <f t="shared" si="4"/>
        <v>#DIV/0!</v>
      </c>
      <c r="N91" s="82">
        <f>IF(ISTEXT(polyA_express!$E$2),50-O91,IF(ISTEXT(#REF!),11-O91,IF(ISTEXT(rRNA_Depletion_express!$E$2),11-O91,)))</f>
        <v>0</v>
      </c>
      <c r="O91" s="2">
        <v>5</v>
      </c>
      <c r="P91" s="3" t="e">
        <f t="shared" si="5"/>
        <v>#DIV/0!</v>
      </c>
      <c r="AA91" s="85" t="e">
        <f t="shared" si="6"/>
        <v>#DIV/0!</v>
      </c>
      <c r="AB91" s="82" t="e">
        <f t="shared" si="7"/>
        <v>#DIV/0!</v>
      </c>
    </row>
    <row r="92" spans="1:28" x14ac:dyDescent="0.25">
      <c r="A92" s="82">
        <v>91</v>
      </c>
      <c r="L92" s="82" t="e">
        <f t="shared" si="4"/>
        <v>#DIV/0!</v>
      </c>
      <c r="N92" s="82">
        <f>IF(ISTEXT(polyA_express!$E$2),50-O92,IF(ISTEXT(#REF!),11-O92,IF(ISTEXT(rRNA_Depletion_express!$E$2),11-O92,)))</f>
        <v>0</v>
      </c>
      <c r="O92" s="2">
        <v>5</v>
      </c>
      <c r="P92" s="3" t="e">
        <f t="shared" si="5"/>
        <v>#DIV/0!</v>
      </c>
      <c r="AA92" s="85" t="e">
        <f t="shared" si="6"/>
        <v>#DIV/0!</v>
      </c>
      <c r="AB92" s="82" t="e">
        <f t="shared" si="7"/>
        <v>#DIV/0!</v>
      </c>
    </row>
    <row r="93" spans="1:28" x14ac:dyDescent="0.25">
      <c r="A93" s="82">
        <v>92</v>
      </c>
      <c r="L93" s="82" t="e">
        <f t="shared" si="4"/>
        <v>#DIV/0!</v>
      </c>
      <c r="N93" s="82">
        <f>IF(ISTEXT(polyA_express!$E$2),50-O93,IF(ISTEXT(#REF!),11-O93,IF(ISTEXT(rRNA_Depletion_express!$E$2),11-O93,)))</f>
        <v>0</v>
      </c>
      <c r="O93" s="2">
        <v>5</v>
      </c>
      <c r="P93" s="3" t="e">
        <f t="shared" si="5"/>
        <v>#DIV/0!</v>
      </c>
      <c r="AA93" s="85" t="e">
        <f t="shared" si="6"/>
        <v>#DIV/0!</v>
      </c>
      <c r="AB93" s="82" t="e">
        <f t="shared" si="7"/>
        <v>#DIV/0!</v>
      </c>
    </row>
    <row r="94" spans="1:28" x14ac:dyDescent="0.25">
      <c r="A94" s="82">
        <v>93</v>
      </c>
      <c r="L94" s="82" t="e">
        <f t="shared" si="4"/>
        <v>#DIV/0!</v>
      </c>
      <c r="N94" s="82">
        <f>IF(ISTEXT(polyA_express!$E$2),50-O94,IF(ISTEXT(#REF!),11-O94,IF(ISTEXT(rRNA_Depletion_express!$E$2),11-O94,)))</f>
        <v>0</v>
      </c>
      <c r="O94" s="2">
        <v>5</v>
      </c>
      <c r="P94" s="3" t="e">
        <f t="shared" si="5"/>
        <v>#DIV/0!</v>
      </c>
      <c r="AA94" s="85" t="e">
        <f t="shared" si="6"/>
        <v>#DIV/0!</v>
      </c>
      <c r="AB94" s="82" t="e">
        <f t="shared" si="7"/>
        <v>#DIV/0!</v>
      </c>
    </row>
    <row r="95" spans="1:28" x14ac:dyDescent="0.25">
      <c r="A95" s="82">
        <v>94</v>
      </c>
      <c r="L95" s="82" t="e">
        <f t="shared" si="4"/>
        <v>#DIV/0!</v>
      </c>
      <c r="N95" s="82">
        <f>IF(ISTEXT(polyA_express!$E$2),50-O95,IF(ISTEXT(#REF!),11-O95,IF(ISTEXT(rRNA_Depletion_express!$E$2),11-O95,)))</f>
        <v>0</v>
      </c>
      <c r="O95" s="2">
        <v>5</v>
      </c>
      <c r="P95" s="3" t="e">
        <f t="shared" si="5"/>
        <v>#DIV/0!</v>
      </c>
      <c r="AA95" s="85" t="e">
        <f t="shared" si="6"/>
        <v>#DIV/0!</v>
      </c>
      <c r="AB95" s="82" t="e">
        <f t="shared" si="7"/>
        <v>#DIV/0!</v>
      </c>
    </row>
    <row r="96" spans="1:28" x14ac:dyDescent="0.25">
      <c r="A96" s="82">
        <v>95</v>
      </c>
      <c r="L96" s="82" t="e">
        <f t="shared" si="4"/>
        <v>#DIV/0!</v>
      </c>
      <c r="N96" s="82">
        <f>IF(ISTEXT(polyA_express!$E$2),50-O96,IF(ISTEXT(#REF!),11-O96,IF(ISTEXT(rRNA_Depletion_express!$E$2),11-O96,)))</f>
        <v>0</v>
      </c>
      <c r="O96" s="2">
        <v>5</v>
      </c>
      <c r="P96" s="3" t="e">
        <f t="shared" si="5"/>
        <v>#DIV/0!</v>
      </c>
      <c r="AA96" s="85" t="e">
        <f t="shared" si="6"/>
        <v>#DIV/0!</v>
      </c>
      <c r="AB96" s="82" t="e">
        <f t="shared" si="7"/>
        <v>#DIV/0!</v>
      </c>
    </row>
    <row r="97" spans="1:28" x14ac:dyDescent="0.25">
      <c r="A97" s="82">
        <v>96</v>
      </c>
      <c r="L97" s="82" t="e">
        <f t="shared" si="4"/>
        <v>#DIV/0!</v>
      </c>
      <c r="N97" s="82">
        <f>IF(ISTEXT(polyA_express!$E$2),50-O97,IF(ISTEXT(#REF!),11-O97,IF(ISTEXT(rRNA_Depletion_express!$E$2),11-O97,)))</f>
        <v>0</v>
      </c>
      <c r="O97" s="2">
        <v>5</v>
      </c>
      <c r="P97" s="3" t="e">
        <f t="shared" si="5"/>
        <v>#DIV/0!</v>
      </c>
      <c r="AA97" s="85" t="e">
        <f t="shared" si="6"/>
        <v>#DIV/0!</v>
      </c>
      <c r="AB97" s="82" t="e">
        <f t="shared" si="7"/>
        <v>#DIV/0!</v>
      </c>
    </row>
  </sheetData>
  <phoneticPr fontId="26" type="noConversion"/>
  <conditionalFormatting sqref="O2:O97">
    <cfRule type="iconSet" priority="1">
      <iconSet iconSet="4TrafficLights">
        <cfvo type="percent" val="0"/>
        <cfvo type="num" val="2"/>
        <cfvo type="num" val="3"/>
        <cfvo type="num" val="4"/>
      </iconSet>
    </cfRule>
  </conditionalFormatting>
  <conditionalFormatting sqref="P2:P97">
    <cfRule type="top10" dxfId="33" priority="13" bottom="1" rank="10"/>
  </conditionalFormatting>
  <pageMargins left="0.7" right="0.7" top="0.75" bottom="0.75" header="0.3" footer="0.3"/>
  <ignoredErrors>
    <ignoredError sqref="AA2:AB9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578E-4B3E-4627-94C8-A999D92CAB25}">
  <dimension ref="A1:AK170"/>
  <sheetViews>
    <sheetView tabSelected="1" zoomScale="81" workbookViewId="0">
      <selection activeCell="A7" sqref="A7:D7"/>
    </sheetView>
  </sheetViews>
  <sheetFormatPr defaultColWidth="8.85546875" defaultRowHeight="15" x14ac:dyDescent="0.25"/>
  <cols>
    <col min="1" max="1" width="5.85546875" customWidth="1"/>
    <col min="2" max="2" width="6.42578125" customWidth="1"/>
    <col min="4" max="4" width="10.28515625" customWidth="1"/>
    <col min="5" max="6" width="10.85546875" customWidth="1"/>
  </cols>
  <sheetData>
    <row r="1" spans="1:37" s="5" customFormat="1" ht="26.25" customHeight="1" x14ac:dyDescent="0.25">
      <c r="B1" s="6"/>
      <c r="C1" s="202" t="s">
        <v>238</v>
      </c>
      <c r="D1" s="202"/>
      <c r="E1" s="202"/>
      <c r="F1" s="202"/>
      <c r="G1" s="202"/>
      <c r="H1" s="202"/>
      <c r="I1" s="202"/>
      <c r="J1" s="202"/>
      <c r="Q1" s="6"/>
    </row>
    <row r="2" spans="1:37" s="5" customFormat="1" ht="26.25" customHeight="1" x14ac:dyDescent="0.25">
      <c r="A2" s="238" t="s">
        <v>40</v>
      </c>
      <c r="B2" s="238"/>
      <c r="C2" s="238"/>
      <c r="D2" s="238"/>
      <c r="E2" s="236"/>
      <c r="F2" s="236"/>
      <c r="G2" s="236"/>
    </row>
    <row r="3" spans="1:37" s="5" customFormat="1" ht="26.25" customHeight="1" x14ac:dyDescent="0.25">
      <c r="A3" s="203" t="s">
        <v>16</v>
      </c>
      <c r="B3" s="204"/>
      <c r="C3" s="204"/>
      <c r="D3" s="205"/>
      <c r="E3" s="236"/>
      <c r="F3" s="236"/>
      <c r="G3" s="236"/>
      <c r="J3" s="30"/>
      <c r="K3" s="35" t="s">
        <v>18</v>
      </c>
      <c r="L3" s="30">
        <v>1</v>
      </c>
    </row>
    <row r="4" spans="1:37" s="5" customFormat="1" ht="49.5" customHeight="1" x14ac:dyDescent="0.25">
      <c r="A4" s="235" t="s">
        <v>66</v>
      </c>
      <c r="B4" s="235"/>
      <c r="C4" s="235"/>
      <c r="D4" s="235"/>
      <c r="E4" s="236"/>
      <c r="F4" s="236"/>
      <c r="G4" s="236"/>
      <c r="J4" s="206" t="s">
        <v>28</v>
      </c>
      <c r="K4" s="207"/>
      <c r="L4" s="8"/>
      <c r="AK4" s="9"/>
    </row>
    <row r="5" spans="1:37" s="5" customFormat="1" ht="50.45" customHeight="1" x14ac:dyDescent="0.25">
      <c r="A5" s="235" t="s">
        <v>67</v>
      </c>
      <c r="B5" s="235"/>
      <c r="C5" s="235"/>
      <c r="D5" s="235"/>
      <c r="E5" s="236"/>
      <c r="F5" s="236"/>
      <c r="G5" s="236"/>
      <c r="AK5" s="9"/>
    </row>
    <row r="6" spans="1:37" s="5" customFormat="1" ht="50.45" customHeight="1" x14ac:dyDescent="0.25">
      <c r="A6" s="235" t="s">
        <v>247</v>
      </c>
      <c r="B6" s="235"/>
      <c r="C6" s="235"/>
      <c r="D6" s="235"/>
      <c r="E6" s="236"/>
      <c r="F6" s="236"/>
      <c r="G6" s="236"/>
      <c r="AK6" s="9"/>
    </row>
    <row r="7" spans="1:37" s="5" customFormat="1" ht="29.25" customHeight="1" x14ac:dyDescent="0.25">
      <c r="A7" s="101" t="s">
        <v>13</v>
      </c>
      <c r="B7" s="102"/>
      <c r="C7" s="102"/>
      <c r="D7" s="103"/>
      <c r="E7" s="237"/>
      <c r="F7" s="237"/>
      <c r="G7" s="237"/>
    </row>
    <row r="8" spans="1:37" s="5" customFormat="1" ht="26.25" customHeight="1" x14ac:dyDescent="0.25">
      <c r="A8" s="101" t="s">
        <v>14</v>
      </c>
      <c r="B8" s="102"/>
      <c r="C8" s="102"/>
      <c r="D8" s="103"/>
      <c r="E8" s="236"/>
      <c r="F8" s="236"/>
      <c r="G8" s="236"/>
    </row>
    <row r="9" spans="1:37" s="5" customFormat="1" ht="26.25" customHeight="1" x14ac:dyDescent="0.25">
      <c r="A9" s="184" t="s">
        <v>39</v>
      </c>
      <c r="B9" s="239"/>
      <c r="C9" s="239"/>
      <c r="D9" s="240"/>
      <c r="E9" s="187"/>
      <c r="F9" s="188"/>
      <c r="G9" s="189"/>
    </row>
    <row r="10" spans="1:37" s="5" customFormat="1" ht="26.25" customHeight="1" x14ac:dyDescent="0.25">
      <c r="A10" s="101" t="s">
        <v>43</v>
      </c>
      <c r="B10" s="102"/>
      <c r="C10" s="102"/>
      <c r="D10" s="103"/>
      <c r="E10" s="32"/>
      <c r="F10" s="10" t="b">
        <f>MOD(E10,8)=0</f>
        <v>1</v>
      </c>
      <c r="G10" s="10">
        <f>ROUNDDOWN((E10/8),0)</f>
        <v>0</v>
      </c>
      <c r="H10" s="10">
        <f>E10-G10*8</f>
        <v>0</v>
      </c>
      <c r="I10" s="33"/>
    </row>
    <row r="11" spans="1:37" s="5" customFormat="1" ht="20.45" customHeight="1" thickBot="1" x14ac:dyDescent="0.3">
      <c r="A11" s="101" t="s">
        <v>140</v>
      </c>
      <c r="B11" s="102"/>
      <c r="C11" s="102"/>
      <c r="D11" s="103"/>
      <c r="E11" s="32"/>
      <c r="F11" s="10" t="b">
        <f>MOD($E$11,12)=0</f>
        <v>1</v>
      </c>
      <c r="G11" s="10">
        <f>ROUNDDOWN(($E$11/12),0)</f>
        <v>0</v>
      </c>
      <c r="H11" s="10">
        <f>$E$11-$G$11*12</f>
        <v>0</v>
      </c>
      <c r="I11" s="33"/>
    </row>
    <row r="12" spans="1:37" s="5" customFormat="1" ht="26.25" customHeight="1" thickBot="1" x14ac:dyDescent="0.3">
      <c r="B12" s="190" t="s">
        <v>17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2"/>
    </row>
    <row r="13" spans="1:37" s="5" customFormat="1" ht="26.25" customHeight="1" thickBot="1" x14ac:dyDescent="0.3">
      <c r="A13" s="12"/>
      <c r="B13" s="4" t="s">
        <v>68</v>
      </c>
    </row>
    <row r="14" spans="1:37" s="14" customFormat="1" ht="17.45" customHeight="1" x14ac:dyDescent="0.25">
      <c r="A14" s="13"/>
      <c r="C14" s="15">
        <v>1</v>
      </c>
      <c r="D14" s="15">
        <v>2</v>
      </c>
      <c r="E14" s="15">
        <v>3</v>
      </c>
      <c r="F14" s="15">
        <v>4</v>
      </c>
      <c r="G14" s="15">
        <v>5</v>
      </c>
      <c r="H14" s="15">
        <v>6</v>
      </c>
      <c r="I14" s="15">
        <v>7</v>
      </c>
      <c r="J14" s="15">
        <v>8</v>
      </c>
      <c r="K14" s="15">
        <v>9</v>
      </c>
      <c r="L14" s="15">
        <v>10</v>
      </c>
      <c r="M14" s="15">
        <v>11</v>
      </c>
      <c r="N14" s="15">
        <v>12</v>
      </c>
      <c r="P14" s="5"/>
    </row>
    <row r="15" spans="1:37" s="5" customFormat="1" ht="23.45" customHeight="1" x14ac:dyDescent="0.25">
      <c r="A15" s="13"/>
      <c r="B15" s="16" t="s">
        <v>1</v>
      </c>
      <c r="C15" s="17">
        <f>IF(ISNUMBER($E$11),prep_table!$C$2,prep_table!$C$2)</f>
        <v>0</v>
      </c>
      <c r="D15" s="18">
        <f>IF(ISNUMBER($E$11),prep_table!$C$3,prep_table!$C$10)</f>
        <v>0</v>
      </c>
      <c r="E15" s="17">
        <f>IF(ISNUMBER($E$11),prep_table!$C$4,prep_table!$C$18)</f>
        <v>0</v>
      </c>
      <c r="F15" s="18">
        <f>IF(ISNUMBER($E$11),prep_table!$C$5,prep_table!$C$26)</f>
        <v>0</v>
      </c>
      <c r="G15" s="17">
        <f>IF(ISNUMBER($E$11),prep_table!$C$6,prep_table!$C$34)</f>
        <v>0</v>
      </c>
      <c r="H15" s="18">
        <f>IF(ISNUMBER($E$11),prep_table!$C$7,prep_table!$C$42)</f>
        <v>0</v>
      </c>
      <c r="I15" s="17">
        <f>IF(ISNUMBER($E$11),prep_table!$C$8,prep_table!$C$50)</f>
        <v>0</v>
      </c>
      <c r="J15" s="18">
        <f>IF(ISNUMBER($E$11),prep_table!$C$9,prep_table!$C$58)</f>
        <v>0</v>
      </c>
      <c r="K15" s="17">
        <f>IF(ISNUMBER($E$11),prep_table!$C$10,prep_table!$C$66)</f>
        <v>0</v>
      </c>
      <c r="L15" s="18">
        <f>IF(ISNUMBER($E$11),prep_table!$C$11,prep_table!$C$74)</f>
        <v>0</v>
      </c>
      <c r="M15" s="17">
        <f>IF(ISNUMBER($E$11),prep_table!$C$12,prep_table!$C$82)</f>
        <v>0</v>
      </c>
      <c r="N15" s="18">
        <f>IF(ISNUMBER($E$11),prep_table!$C$13,prep_table!$C$90)</f>
        <v>0</v>
      </c>
      <c r="O15" s="19"/>
    </row>
    <row r="16" spans="1:37" s="5" customFormat="1" ht="23.45" customHeight="1" x14ac:dyDescent="0.25">
      <c r="A16" s="13"/>
      <c r="B16" s="16" t="s">
        <v>2</v>
      </c>
      <c r="C16" s="17">
        <f>IF(ISNUMBER($E$11),prep_table!$C$14,prep_table!$C$3)</f>
        <v>0</v>
      </c>
      <c r="D16" s="18">
        <f>IF(ISNUMBER($E$11),prep_table!$C$15,prep_table!$C$11)</f>
        <v>0</v>
      </c>
      <c r="E16" s="17">
        <f>IF(ISNUMBER($E$11),prep_table!$C$16,prep_table!$C$19)</f>
        <v>0</v>
      </c>
      <c r="F16" s="18">
        <f>IF(ISNUMBER($E$11),prep_table!$C$17,prep_table!$C$27)</f>
        <v>0</v>
      </c>
      <c r="G16" s="17">
        <f>IF(ISNUMBER($E$11),prep_table!$C$18,prep_table!$C$35)</f>
        <v>0</v>
      </c>
      <c r="H16" s="18">
        <f>IF(ISNUMBER($E$11),prep_table!$C$19,prep_table!$C$43)</f>
        <v>0</v>
      </c>
      <c r="I16" s="17">
        <f>IF(ISNUMBER($E$11),prep_table!$C$20,prep_table!$C$51)</f>
        <v>0</v>
      </c>
      <c r="J16" s="18">
        <f>IF(ISNUMBER($E$11),prep_table!$C$21,prep_table!$C$59)</f>
        <v>0</v>
      </c>
      <c r="K16" s="17">
        <f>IF(ISNUMBER($E$11),prep_table!$C$22,prep_table!$C$67)</f>
        <v>0</v>
      </c>
      <c r="L16" s="18">
        <f>IF(ISNUMBER($E$11),prep_table!$C$23,prep_table!$C$75)</f>
        <v>0</v>
      </c>
      <c r="M16" s="17">
        <f>IF(ISNUMBER($E$11),prep_table!$C$24,prep_table!$C$83)</f>
        <v>0</v>
      </c>
      <c r="N16" s="18">
        <f>IF(ISNUMBER($E$11),prep_table!$C$25,prep_table!$C$91)</f>
        <v>0</v>
      </c>
      <c r="O16" s="19"/>
    </row>
    <row r="17" spans="1:29" s="5" customFormat="1" ht="23.45" customHeight="1" x14ac:dyDescent="0.25">
      <c r="A17" s="13"/>
      <c r="B17" s="16" t="s">
        <v>3</v>
      </c>
      <c r="C17" s="17">
        <f>IF(ISNUMBER($E$11),prep_table!$C$26,prep_table!$C$4)</f>
        <v>0</v>
      </c>
      <c r="D17" s="18">
        <f>IF(ISNUMBER($E$11),prep_table!$C$27,prep_table!$C$12)</f>
        <v>0</v>
      </c>
      <c r="E17" s="17">
        <f>IF(ISNUMBER($E$11),prep_table!$C$28,prep_table!$C$20)</f>
        <v>0</v>
      </c>
      <c r="F17" s="18">
        <f>IF(ISNUMBER($E$11),prep_table!$C$29,prep_table!$C$28)</f>
        <v>0</v>
      </c>
      <c r="G17" s="17">
        <f>IF(ISNUMBER($E$11),prep_table!$C$30,prep_table!$C$36)</f>
        <v>0</v>
      </c>
      <c r="H17" s="18">
        <f>IF(ISNUMBER($E$11),prep_table!$C$31,prep_table!$C$44)</f>
        <v>0</v>
      </c>
      <c r="I17" s="17">
        <f>IF(ISNUMBER($E$11),prep_table!$C$32,prep_table!$C$52)</f>
        <v>0</v>
      </c>
      <c r="J17" s="18">
        <f>IF(ISNUMBER($E$11),prep_table!$C$33,prep_table!$C$60)</f>
        <v>0</v>
      </c>
      <c r="K17" s="17">
        <f>IF(ISNUMBER($E$11),prep_table!$C$34,prep_table!$C$68)</f>
        <v>0</v>
      </c>
      <c r="L17" s="18">
        <f>IF(ISNUMBER($E$11),prep_table!$C$35,prep_table!$C$76)</f>
        <v>0</v>
      </c>
      <c r="M17" s="17">
        <f>IF(ISNUMBER($E$11),prep_table!$C$36,prep_table!$C$84)</f>
        <v>0</v>
      </c>
      <c r="N17" s="18">
        <f>IF(ISNUMBER($E$11),prep_table!$C$37,prep_table!$C$92)</f>
        <v>0</v>
      </c>
      <c r="O17" s="19"/>
    </row>
    <row r="18" spans="1:29" s="5" customFormat="1" ht="23.45" customHeight="1" x14ac:dyDescent="0.25">
      <c r="A18" s="13"/>
      <c r="B18" s="16" t="s">
        <v>4</v>
      </c>
      <c r="C18" s="17">
        <f>IF(ISNUMBER($E$11),prep_table!$C$38,prep_table!$C$5)</f>
        <v>0</v>
      </c>
      <c r="D18" s="18">
        <f>IF(ISNUMBER($E$11),prep_table!$C$39,prep_table!$C$13)</f>
        <v>0</v>
      </c>
      <c r="E18" s="17">
        <f>IF(ISNUMBER($E$11),prep_table!$C$40,prep_table!$C$21)</f>
        <v>0</v>
      </c>
      <c r="F18" s="18">
        <f>IF(ISNUMBER($E$11),prep_table!$C$41,prep_table!$C$29)</f>
        <v>0</v>
      </c>
      <c r="G18" s="17">
        <f>IF(ISNUMBER($E$11),prep_table!$C$42,prep_table!$C$37)</f>
        <v>0</v>
      </c>
      <c r="H18" s="18">
        <f>IF(ISNUMBER($E$11),prep_table!$C$43,prep_table!$C$45)</f>
        <v>0</v>
      </c>
      <c r="I18" s="17">
        <f>IF(ISNUMBER($E$11),prep_table!$C$44,prep_table!$C$53)</f>
        <v>0</v>
      </c>
      <c r="J18" s="18">
        <f>IF(ISNUMBER($E$11),prep_table!$C$45,prep_table!$C$61)</f>
        <v>0</v>
      </c>
      <c r="K18" s="17">
        <f>IF(ISNUMBER($E$11),prep_table!$C$46,prep_table!$C$69)</f>
        <v>0</v>
      </c>
      <c r="L18" s="18">
        <f>IF(ISNUMBER($E$11),prep_table!$C$47,prep_table!$C$77)</f>
        <v>0</v>
      </c>
      <c r="M18" s="17">
        <f>IF(ISNUMBER($E$11),prep_table!$C$48,prep_table!$C$85)</f>
        <v>0</v>
      </c>
      <c r="N18" s="18">
        <f>IF(ISNUMBER($E$11),prep_table!$C$49,prep_table!$C$93)</f>
        <v>0</v>
      </c>
      <c r="O18" s="19"/>
    </row>
    <row r="19" spans="1:29" s="5" customFormat="1" ht="23.45" customHeight="1" x14ac:dyDescent="0.25">
      <c r="A19" s="13"/>
      <c r="B19" s="16" t="s">
        <v>5</v>
      </c>
      <c r="C19" s="17">
        <f>IF(ISNUMBER($E$11),prep_table!$C$50,prep_table!$C$6)</f>
        <v>0</v>
      </c>
      <c r="D19" s="18">
        <f>IF(ISNUMBER($E$11),prep_table!$C$51,prep_table!$C$14)</f>
        <v>0</v>
      </c>
      <c r="E19" s="17">
        <f>IF(ISNUMBER($E$11),prep_table!$C$52,prep_table!$C$22)</f>
        <v>0</v>
      </c>
      <c r="F19" s="18">
        <f>IF(ISNUMBER($E$11),prep_table!$C$53,prep_table!$C$30)</f>
        <v>0</v>
      </c>
      <c r="G19" s="17">
        <f>IF(ISNUMBER($E$11),prep_table!$C$54,prep_table!$C$38)</f>
        <v>0</v>
      </c>
      <c r="H19" s="18">
        <f>IF(ISNUMBER($E$11),prep_table!$C$55,prep_table!$C$46)</f>
        <v>0</v>
      </c>
      <c r="I19" s="17">
        <f>IF(ISNUMBER($E$11),prep_table!$C$56,prep_table!$C$54)</f>
        <v>0</v>
      </c>
      <c r="J19" s="18">
        <f>IF(ISNUMBER($E$11),prep_table!$C$57,prep_table!$C$62)</f>
        <v>0</v>
      </c>
      <c r="K19" s="17">
        <f>IF(ISNUMBER($E$11),prep_table!$C$58,prep_table!$C$70)</f>
        <v>0</v>
      </c>
      <c r="L19" s="18">
        <f>IF(ISNUMBER($E$11),prep_table!$C$59,prep_table!$C$78)</f>
        <v>0</v>
      </c>
      <c r="M19" s="17">
        <f>IF(ISNUMBER($E$11),prep_table!$C$60,prep_table!$C$86)</f>
        <v>0</v>
      </c>
      <c r="N19" s="18">
        <f>IF(ISNUMBER($E$11),prep_table!$C$61,prep_table!$C$94)</f>
        <v>0</v>
      </c>
      <c r="O19" s="19"/>
    </row>
    <row r="20" spans="1:29" s="5" customFormat="1" ht="23.45" customHeight="1" x14ac:dyDescent="0.25">
      <c r="A20" s="13"/>
      <c r="B20" s="16" t="s">
        <v>6</v>
      </c>
      <c r="C20" s="17">
        <f>IF(ISNUMBER($E$11),prep_table!$C$62,prep_table!$C$7)</f>
        <v>0</v>
      </c>
      <c r="D20" s="18">
        <f>IF(ISNUMBER($E$11),prep_table!$C$63,prep_table!$C$15)</f>
        <v>0</v>
      </c>
      <c r="E20" s="17">
        <f>IF(ISNUMBER($E$11),prep_table!$C$64,prep_table!$C$23)</f>
        <v>0</v>
      </c>
      <c r="F20" s="18">
        <f>IF(ISNUMBER($E$11),prep_table!$C$65,prep_table!$C$31)</f>
        <v>0</v>
      </c>
      <c r="G20" s="17">
        <f>IF(ISNUMBER($E$11),prep_table!$C$66,prep_table!$C$39)</f>
        <v>0</v>
      </c>
      <c r="H20" s="18">
        <f>IF(ISNUMBER($E$11),prep_table!$C$67,prep_table!$C$47)</f>
        <v>0</v>
      </c>
      <c r="I20" s="17">
        <f>IF(ISNUMBER($E$11),prep_table!$C$68,prep_table!$C$55)</f>
        <v>0</v>
      </c>
      <c r="J20" s="18">
        <f>IF(ISNUMBER($E$11),prep_table!$C$69,prep_table!$C$63)</f>
        <v>0</v>
      </c>
      <c r="K20" s="17">
        <f>IF(ISNUMBER($E$11),prep_table!$C$70,prep_table!$C$71)</f>
        <v>0</v>
      </c>
      <c r="L20" s="18">
        <f>IF(ISNUMBER($E$11),prep_table!$C$71,prep_table!$C$79)</f>
        <v>0</v>
      </c>
      <c r="M20" s="17">
        <f>IF(ISNUMBER($E$11),prep_table!$C$72,prep_table!$C$87)</f>
        <v>0</v>
      </c>
      <c r="N20" s="18">
        <f>IF(ISNUMBER($E$11),prep_table!$C$73,prep_table!$C$95)</f>
        <v>0</v>
      </c>
      <c r="O20" s="19"/>
    </row>
    <row r="21" spans="1:29" s="5" customFormat="1" ht="23.45" customHeight="1" x14ac:dyDescent="0.25">
      <c r="A21" s="13"/>
      <c r="B21" s="16" t="s">
        <v>7</v>
      </c>
      <c r="C21" s="17">
        <f>IF(ISNUMBER($E$11),prep_table!$C$74,prep_table!$C$8)</f>
        <v>0</v>
      </c>
      <c r="D21" s="18">
        <f>IF(ISNUMBER($E$11),prep_table!$C$75,prep_table!$C$16)</f>
        <v>0</v>
      </c>
      <c r="E21" s="17">
        <f>IF(ISNUMBER($E$11),prep_table!$C$76,prep_table!$C$24)</f>
        <v>0</v>
      </c>
      <c r="F21" s="18">
        <f>IF(ISNUMBER($E$11),prep_table!$C$77,prep_table!$C$32)</f>
        <v>0</v>
      </c>
      <c r="G21" s="17">
        <f>IF(ISNUMBER($E$11),prep_table!$C$78,prep_table!$C$40)</f>
        <v>0</v>
      </c>
      <c r="H21" s="18">
        <f>IF(ISNUMBER($E$11),prep_table!$C$79,prep_table!$C$48)</f>
        <v>0</v>
      </c>
      <c r="I21" s="17">
        <f>IF(ISNUMBER($E$11),prep_table!$C$80,prep_table!$C$56)</f>
        <v>0</v>
      </c>
      <c r="J21" s="18">
        <f>IF(ISNUMBER($E$11),prep_table!$C$81,prep_table!$C$64)</f>
        <v>0</v>
      </c>
      <c r="K21" s="17">
        <f>IF(ISNUMBER($E$11),prep_table!$C$82,prep_table!$C$72)</f>
        <v>0</v>
      </c>
      <c r="L21" s="18">
        <f>IF(ISNUMBER($E$11),prep_table!$C$83,prep_table!$C$80)</f>
        <v>0</v>
      </c>
      <c r="M21" s="17">
        <f>IF(ISNUMBER($E$11),prep_table!$C$84,prep_table!$C$88)</f>
        <v>0</v>
      </c>
      <c r="N21" s="18">
        <f>IF(ISNUMBER($E$11),prep_table!$C$85,prep_table!$C$96)</f>
        <v>0</v>
      </c>
      <c r="O21" s="19"/>
    </row>
    <row r="22" spans="1:29" s="5" customFormat="1" ht="23.45" customHeight="1" x14ac:dyDescent="0.25">
      <c r="A22" s="13"/>
      <c r="B22" s="16" t="s">
        <v>8</v>
      </c>
      <c r="C22" s="17">
        <f>IF(ISNUMBER($E$11),prep_table!$C$86,prep_table!$C$9)</f>
        <v>0</v>
      </c>
      <c r="D22" s="18">
        <f>IF(ISNUMBER($E$11),prep_table!$C$87,prep_table!$C$17)</f>
        <v>0</v>
      </c>
      <c r="E22" s="17">
        <f>IF(ISNUMBER($E$11),prep_table!$C$88,prep_table!$C$25)</f>
        <v>0</v>
      </c>
      <c r="F22" s="18">
        <f>IF(ISNUMBER($E$11),prep_table!$C$89,prep_table!$C$33)</f>
        <v>0</v>
      </c>
      <c r="G22" s="17">
        <f>IF(ISNUMBER($E$11),prep_table!$C$90,prep_table!$C$41)</f>
        <v>0</v>
      </c>
      <c r="H22" s="18">
        <f>IF(ISNUMBER($E$11),prep_table!$C$91,prep_table!$C$49)</f>
        <v>0</v>
      </c>
      <c r="I22" s="17">
        <f>IF(ISNUMBER($E$11),prep_table!$C$92,prep_table!$C$57)</f>
        <v>0</v>
      </c>
      <c r="J22" s="18">
        <f>IF(ISNUMBER($E$11),prep_table!$C$93,prep_table!$C$65)</f>
        <v>0</v>
      </c>
      <c r="K22" s="17">
        <f>IF(ISNUMBER($E$11),prep_table!$C$94,prep_table!$C$73)</f>
        <v>0</v>
      </c>
      <c r="L22" s="18">
        <f>IF(ISNUMBER($E$11),prep_table!$C$95,prep_table!$C$81)</f>
        <v>0</v>
      </c>
      <c r="M22" s="17">
        <f>IF(ISNUMBER($E$11),prep_table!$C$96,prep_table!$C$89)</f>
        <v>0</v>
      </c>
      <c r="N22" s="18">
        <f>IF(ISNUMBER($E$11),prep_table!$C$97,prep_table!$C$97)</f>
        <v>0</v>
      </c>
      <c r="O22" s="19"/>
    </row>
    <row r="23" spans="1:29" s="5" customFormat="1" ht="15" customHeight="1" x14ac:dyDescent="0.25">
      <c r="A23" s="5" t="s">
        <v>25</v>
      </c>
      <c r="B23" s="14"/>
      <c r="C23" s="15">
        <v>1</v>
      </c>
      <c r="D23" s="15">
        <v>2</v>
      </c>
      <c r="E23" s="15">
        <v>3</v>
      </c>
      <c r="F23" s="15">
        <v>4</v>
      </c>
      <c r="G23" s="15">
        <v>5</v>
      </c>
      <c r="H23" s="15">
        <v>6</v>
      </c>
      <c r="I23" s="15">
        <v>7</v>
      </c>
      <c r="J23" s="15">
        <v>8</v>
      </c>
      <c r="K23" s="15">
        <v>9</v>
      </c>
      <c r="L23" s="15">
        <v>10</v>
      </c>
      <c r="M23" s="15">
        <v>11</v>
      </c>
      <c r="N23" s="15">
        <v>12</v>
      </c>
      <c r="O23" s="19"/>
      <c r="Q23" s="16"/>
      <c r="R23" s="50"/>
      <c r="S23" s="19"/>
      <c r="T23" s="50"/>
      <c r="U23" s="19"/>
      <c r="V23" s="50"/>
      <c r="W23" s="19"/>
      <c r="X23" s="50"/>
      <c r="Y23" s="19"/>
      <c r="Z23" s="50"/>
      <c r="AA23" s="19"/>
      <c r="AB23" s="50"/>
      <c r="AC23" s="19"/>
    </row>
    <row r="24" spans="1:29" s="5" customFormat="1" ht="23.45" customHeight="1" x14ac:dyDescent="0.25">
      <c r="B24" s="16" t="s">
        <v>1</v>
      </c>
      <c r="C24" s="34">
        <f>IF(ISNUMBER($E$11),prep_table!$O$2,prep_table!$O$2)</f>
        <v>5</v>
      </c>
      <c r="D24" s="34">
        <f>IF(ISNUMBER($E$11),prep_table!$O$3,prep_table!$O$10)</f>
        <v>5</v>
      </c>
      <c r="E24" s="34">
        <f>IF(ISNUMBER($E$11),prep_table!$O$4,prep_table!$O$18)</f>
        <v>5</v>
      </c>
      <c r="F24" s="34">
        <f>IF(ISNUMBER($E$11),prep_table!$O$5,prep_table!$O$26)</f>
        <v>5</v>
      </c>
      <c r="G24" s="34">
        <f>IF(ISNUMBER($E$11),prep_table!$O$6,prep_table!$O$34)</f>
        <v>5</v>
      </c>
      <c r="H24" s="34">
        <f>IF(ISNUMBER($E$11),prep_table!$O$7,prep_table!$O$42)</f>
        <v>5</v>
      </c>
      <c r="I24" s="34">
        <f>IF(ISNUMBER($E$11),prep_table!$O$8,prep_table!$O$50)</f>
        <v>5</v>
      </c>
      <c r="J24" s="34">
        <f>IF(ISNUMBER($E$11),prep_table!$O$9,prep_table!$O$58)</f>
        <v>5</v>
      </c>
      <c r="K24" s="34">
        <f>IF(ISNUMBER($E$11),prep_table!$O$10,prep_table!$O$66)</f>
        <v>5</v>
      </c>
      <c r="L24" s="34">
        <f>IF(ISNUMBER($E$11),prep_table!$O$11,prep_table!$O$74)</f>
        <v>5</v>
      </c>
      <c r="M24" s="34">
        <f>IF(ISNUMBER($E$11),prep_table!$O$12,prep_table!$O$82)</f>
        <v>5</v>
      </c>
      <c r="N24" s="34">
        <f>IF(ISNUMBER($E$11),prep_table!$O$13,prep_table!$O$90)</f>
        <v>5</v>
      </c>
      <c r="O24" s="19"/>
      <c r="Q24" s="16"/>
      <c r="R24" s="50"/>
      <c r="S24" s="19"/>
      <c r="T24" s="50"/>
      <c r="U24" s="19"/>
      <c r="V24" s="50"/>
      <c r="W24" s="19"/>
      <c r="X24" s="50"/>
      <c r="Y24" s="19"/>
      <c r="Z24" s="50"/>
      <c r="AA24" s="19"/>
      <c r="AB24" s="50"/>
      <c r="AC24" s="19"/>
    </row>
    <row r="25" spans="1:29" s="5" customFormat="1" ht="23.45" customHeight="1" x14ac:dyDescent="0.25">
      <c r="B25" s="16" t="s">
        <v>2</v>
      </c>
      <c r="C25" s="34">
        <f>IF(ISNUMBER($E$11),prep_table!$O$14,prep_table!$O$3)</f>
        <v>5</v>
      </c>
      <c r="D25" s="34">
        <f>IF(ISNUMBER($E$11),prep_table!$O$15,prep_table!$O$11)</f>
        <v>5</v>
      </c>
      <c r="E25" s="34">
        <f>IF(ISNUMBER($E$11),prep_table!$O$16,prep_table!$O$19)</f>
        <v>5</v>
      </c>
      <c r="F25" s="34">
        <f>IF(ISNUMBER($E$11),prep_table!$O$17,prep_table!$O$27)</f>
        <v>5</v>
      </c>
      <c r="G25" s="34">
        <f>IF(ISNUMBER($E$11),prep_table!$O$18,prep_table!$O$35)</f>
        <v>5</v>
      </c>
      <c r="H25" s="34">
        <f>IF(ISNUMBER($E$11),prep_table!$O$19,prep_table!$O$43)</f>
        <v>5</v>
      </c>
      <c r="I25" s="34">
        <f>IF(ISNUMBER($E$11),prep_table!$O$20,prep_table!$O$51)</f>
        <v>5</v>
      </c>
      <c r="J25" s="34">
        <f>IF(ISNUMBER($E$11),prep_table!$O$21,prep_table!$O$59)</f>
        <v>5</v>
      </c>
      <c r="K25" s="34">
        <f>IF(ISNUMBER($E$11),prep_table!$O$22,prep_table!$O$67)</f>
        <v>5</v>
      </c>
      <c r="L25" s="34">
        <f>IF(ISNUMBER($E$11),prep_table!$O$23,prep_table!$O$75)</f>
        <v>5</v>
      </c>
      <c r="M25" s="34">
        <f>IF(ISNUMBER($E$11),prep_table!$O$24,prep_table!$O$83)</f>
        <v>5</v>
      </c>
      <c r="N25" s="34">
        <f>IF(ISNUMBER($E$11),prep_table!$O$25,prep_table!$O$91)</f>
        <v>5</v>
      </c>
      <c r="O25" s="19"/>
      <c r="Q25" s="16"/>
      <c r="R25" s="50"/>
      <c r="S25" s="19"/>
      <c r="T25" s="50"/>
      <c r="U25" s="19"/>
      <c r="V25" s="50"/>
      <c r="W25" s="19"/>
      <c r="X25" s="50"/>
      <c r="Y25" s="19"/>
      <c r="Z25" s="50"/>
      <c r="AA25" s="19"/>
      <c r="AB25" s="50"/>
      <c r="AC25" s="19"/>
    </row>
    <row r="26" spans="1:29" s="5" customFormat="1" ht="23.45" customHeight="1" x14ac:dyDescent="0.25">
      <c r="B26" s="16" t="s">
        <v>3</v>
      </c>
      <c r="C26" s="34">
        <f>IF(ISNUMBER($E$11),prep_table!$O$26,prep_table!$O$4)</f>
        <v>5</v>
      </c>
      <c r="D26" s="34">
        <f>IF(ISNUMBER($E$11),prep_table!$O$27,prep_table!$O$12)</f>
        <v>5</v>
      </c>
      <c r="E26" s="34">
        <f>IF(ISNUMBER($E$11),prep_table!$O$28,prep_table!$O$20)</f>
        <v>5</v>
      </c>
      <c r="F26" s="34">
        <f>IF(ISNUMBER($E$11),prep_table!$O$29,prep_table!$O$28)</f>
        <v>5</v>
      </c>
      <c r="G26" s="34">
        <f>IF(ISNUMBER($E$11),prep_table!$O$30,prep_table!$O$36)</f>
        <v>5</v>
      </c>
      <c r="H26" s="34">
        <f>IF(ISNUMBER($E$11),prep_table!$O$31,prep_table!$O$44)</f>
        <v>5</v>
      </c>
      <c r="I26" s="34">
        <f>IF(ISNUMBER($E$11),prep_table!$O$32,prep_table!$O$52)</f>
        <v>5</v>
      </c>
      <c r="J26" s="34">
        <f>IF(ISNUMBER($E$11),prep_table!$O$33,prep_table!$O$60)</f>
        <v>5</v>
      </c>
      <c r="K26" s="34">
        <f>IF(ISNUMBER($E$11),prep_table!$O$34,prep_table!$O$68)</f>
        <v>5</v>
      </c>
      <c r="L26" s="34">
        <f>IF(ISNUMBER($E$11),prep_table!$O$35,prep_table!$O$76)</f>
        <v>5</v>
      </c>
      <c r="M26" s="34">
        <f>IF(ISNUMBER($E$11),prep_table!$O$36,prep_table!$O$84)</f>
        <v>5</v>
      </c>
      <c r="N26" s="34">
        <f>IF(ISNUMBER($E$11),prep_table!$O$37,prep_table!$O$92)</f>
        <v>5</v>
      </c>
      <c r="O26" s="19"/>
      <c r="Q26" s="16"/>
      <c r="R26" s="50"/>
      <c r="S26" s="19"/>
      <c r="T26" s="50"/>
      <c r="U26" s="19"/>
      <c r="V26" s="50"/>
      <c r="W26" s="19"/>
      <c r="X26" s="50"/>
      <c r="Y26" s="19"/>
      <c r="Z26" s="50"/>
      <c r="AA26" s="19"/>
      <c r="AB26" s="50"/>
      <c r="AC26" s="19"/>
    </row>
    <row r="27" spans="1:29" s="5" customFormat="1" ht="23.45" customHeight="1" x14ac:dyDescent="0.25">
      <c r="B27" s="16" t="s">
        <v>4</v>
      </c>
      <c r="C27" s="34">
        <f>IF(ISNUMBER($E$11),prep_table!$O$38,prep_table!$O$5)</f>
        <v>5</v>
      </c>
      <c r="D27" s="34">
        <f>IF(ISNUMBER($E$11),prep_table!$O$39,prep_table!$O$13)</f>
        <v>5</v>
      </c>
      <c r="E27" s="34">
        <f>IF(ISNUMBER($E$11),prep_table!$O$40,prep_table!$O$21)</f>
        <v>5</v>
      </c>
      <c r="F27" s="34">
        <f>IF(ISNUMBER($E$11),prep_table!$O$41,prep_table!$O$29)</f>
        <v>5</v>
      </c>
      <c r="G27" s="34">
        <f>IF(ISNUMBER($E$11),prep_table!$O$42,prep_table!$O$37)</f>
        <v>5</v>
      </c>
      <c r="H27" s="34">
        <f>IF(ISNUMBER($E$11),prep_table!$O$43,prep_table!$O$45)</f>
        <v>5</v>
      </c>
      <c r="I27" s="34">
        <f>IF(ISNUMBER($E$11),prep_table!$O$44,prep_table!$O$53)</f>
        <v>5</v>
      </c>
      <c r="J27" s="34">
        <f>IF(ISNUMBER($E$11),prep_table!$O$45,prep_table!$O$61)</f>
        <v>5</v>
      </c>
      <c r="K27" s="34">
        <f>IF(ISNUMBER($E$11),prep_table!$O$46,prep_table!$O$69)</f>
        <v>5</v>
      </c>
      <c r="L27" s="34">
        <f>IF(ISNUMBER($E$11),prep_table!$O$47,prep_table!$O$77)</f>
        <v>5</v>
      </c>
      <c r="M27" s="34">
        <f>IF(ISNUMBER($E$11),prep_table!$O$48,prep_table!$O$85)</f>
        <v>5</v>
      </c>
      <c r="N27" s="34">
        <f>IF(ISNUMBER($E$11),prep_table!$O$49,prep_table!$O$93)</f>
        <v>5</v>
      </c>
      <c r="O27" s="19"/>
      <c r="Q27" s="16"/>
      <c r="R27" s="50"/>
      <c r="S27" s="19"/>
      <c r="T27" s="50"/>
      <c r="U27" s="19"/>
      <c r="V27" s="50"/>
      <c r="W27" s="19"/>
      <c r="X27" s="50"/>
      <c r="Y27" s="19"/>
      <c r="Z27" s="50"/>
      <c r="AA27" s="19"/>
      <c r="AB27" s="50"/>
      <c r="AC27" s="19"/>
    </row>
    <row r="28" spans="1:29" s="5" customFormat="1" ht="23.45" customHeight="1" x14ac:dyDescent="0.25">
      <c r="B28" s="16" t="s">
        <v>5</v>
      </c>
      <c r="C28" s="34">
        <f>IF(ISNUMBER($E$11),prep_table!$O$50,prep_table!$O$6)</f>
        <v>5</v>
      </c>
      <c r="D28" s="34">
        <f>IF(ISNUMBER($E$11),prep_table!$O$51,prep_table!$O$14)</f>
        <v>5</v>
      </c>
      <c r="E28" s="34">
        <f>IF(ISNUMBER($E$11),prep_table!$O$52,prep_table!$O$22)</f>
        <v>5</v>
      </c>
      <c r="F28" s="34">
        <f>IF(ISNUMBER($E$11),prep_table!$O$53,prep_table!$O$30)</f>
        <v>5</v>
      </c>
      <c r="G28" s="34">
        <f>IF(ISNUMBER($E$11),prep_table!$O$54,prep_table!$O$38)</f>
        <v>5</v>
      </c>
      <c r="H28" s="34">
        <f>IF(ISNUMBER($E$11),prep_table!$O$55,prep_table!$O$46)</f>
        <v>5</v>
      </c>
      <c r="I28" s="34">
        <f>IF(ISNUMBER($E$11),prep_table!$O$56,prep_table!$O$54)</f>
        <v>5</v>
      </c>
      <c r="J28" s="34">
        <f>IF(ISNUMBER($E$11),prep_table!$O$57,prep_table!$O$62)</f>
        <v>5</v>
      </c>
      <c r="K28" s="34">
        <f>IF(ISNUMBER($E$11),prep_table!$O$58,prep_table!$O$70)</f>
        <v>5</v>
      </c>
      <c r="L28" s="34">
        <f>IF(ISNUMBER($E$11),prep_table!$O$59,prep_table!$O$78)</f>
        <v>5</v>
      </c>
      <c r="M28" s="34">
        <f>IF(ISNUMBER($E$11),prep_table!$O$60,prep_table!$O$86)</f>
        <v>5</v>
      </c>
      <c r="N28" s="34">
        <f>IF(ISNUMBER($E$11),prep_table!$O$61,prep_table!$O$94)</f>
        <v>5</v>
      </c>
      <c r="O28" s="19"/>
      <c r="Q28" s="16"/>
      <c r="R28" s="50"/>
      <c r="S28" s="19"/>
      <c r="T28" s="50"/>
      <c r="U28" s="19"/>
      <c r="V28" s="50"/>
      <c r="W28" s="19"/>
      <c r="X28" s="50"/>
      <c r="Y28" s="19"/>
      <c r="Z28" s="50"/>
      <c r="AA28" s="19"/>
      <c r="AB28" s="50"/>
      <c r="AC28" s="19"/>
    </row>
    <row r="29" spans="1:29" s="5" customFormat="1" ht="23.45" customHeight="1" x14ac:dyDescent="0.25">
      <c r="B29" s="16" t="s">
        <v>6</v>
      </c>
      <c r="C29" s="34">
        <f>IF(ISNUMBER($E$11),prep_table!$O$62,prep_table!$O$7)</f>
        <v>5</v>
      </c>
      <c r="D29" s="34">
        <f>IF(ISNUMBER($E$11),prep_table!$O$63,prep_table!$O$15)</f>
        <v>5</v>
      </c>
      <c r="E29" s="34">
        <f>IF(ISNUMBER($E$11),prep_table!$O$64,prep_table!$O$23)</f>
        <v>5</v>
      </c>
      <c r="F29" s="34">
        <f>IF(ISNUMBER($E$11),prep_table!$O$65,prep_table!$O$31)</f>
        <v>5</v>
      </c>
      <c r="G29" s="34">
        <f>IF(ISNUMBER($E$11),prep_table!$O$66,prep_table!$O$39)</f>
        <v>5</v>
      </c>
      <c r="H29" s="34">
        <f>IF(ISNUMBER($E$11),prep_table!$O$67,prep_table!$O$47)</f>
        <v>5</v>
      </c>
      <c r="I29" s="34">
        <f>IF(ISNUMBER($E$11),prep_table!$O$68,prep_table!$O$55)</f>
        <v>5</v>
      </c>
      <c r="J29" s="34">
        <f>IF(ISNUMBER($E$11),prep_table!$O$69,prep_table!$O$63)</f>
        <v>5</v>
      </c>
      <c r="K29" s="34">
        <f>IF(ISNUMBER($E$11),prep_table!$O$70,prep_table!$O$71)</f>
        <v>5</v>
      </c>
      <c r="L29" s="34">
        <f>IF(ISNUMBER($E$11),prep_table!$O$71,prep_table!$O$79)</f>
        <v>5</v>
      </c>
      <c r="M29" s="34">
        <f>IF(ISNUMBER($E$11),prep_table!$O$72,prep_table!$O$87)</f>
        <v>5</v>
      </c>
      <c r="N29" s="34">
        <f>IF(ISNUMBER($E$11),prep_table!$O$73,prep_table!$O$95)</f>
        <v>5</v>
      </c>
      <c r="O29" s="19"/>
      <c r="Q29" s="16"/>
      <c r="R29" s="50"/>
      <c r="S29" s="19"/>
      <c r="T29" s="50"/>
      <c r="U29" s="19"/>
      <c r="V29" s="50"/>
      <c r="W29" s="19"/>
      <c r="X29" s="50"/>
      <c r="Y29" s="19"/>
      <c r="Z29" s="50"/>
      <c r="AA29" s="19"/>
      <c r="AB29" s="50"/>
      <c r="AC29" s="19"/>
    </row>
    <row r="30" spans="1:29" s="5" customFormat="1" ht="23.45" customHeight="1" x14ac:dyDescent="0.25">
      <c r="B30" s="16" t="s">
        <v>7</v>
      </c>
      <c r="C30" s="34">
        <f>IF(ISNUMBER($E$11),prep_table!$O$74,prep_table!$O$8)</f>
        <v>5</v>
      </c>
      <c r="D30" s="34">
        <f>IF(ISNUMBER($E$11),prep_table!$O$75,prep_table!$O$16)</f>
        <v>5</v>
      </c>
      <c r="E30" s="34">
        <f>IF(ISNUMBER($E$11),prep_table!$O$76,prep_table!$O$24)</f>
        <v>5</v>
      </c>
      <c r="F30" s="34">
        <f>IF(ISNUMBER($E$11),prep_table!$O$77,prep_table!$O$32)</f>
        <v>5</v>
      </c>
      <c r="G30" s="34">
        <f>IF(ISNUMBER($E$11),prep_table!$O$78,prep_table!$O$40)</f>
        <v>5</v>
      </c>
      <c r="H30" s="34">
        <f>IF(ISNUMBER($E$11),prep_table!$O$79,prep_table!$O$48)</f>
        <v>5</v>
      </c>
      <c r="I30" s="34">
        <f>IF(ISNUMBER($E$11),prep_table!$O$80,prep_table!$O$56)</f>
        <v>5</v>
      </c>
      <c r="J30" s="34">
        <f>IF(ISNUMBER($E$11),prep_table!$O$81,prep_table!$O$64)</f>
        <v>5</v>
      </c>
      <c r="K30" s="34">
        <f>IF(ISNUMBER($E$11),prep_table!$O$82,prep_table!$O$72)</f>
        <v>5</v>
      </c>
      <c r="L30" s="34">
        <f>IF(ISNUMBER($E$11),prep_table!$O$83,prep_table!$O$80)</f>
        <v>5</v>
      </c>
      <c r="M30" s="34">
        <f>IF(ISNUMBER($E$11),prep_table!$O$84,prep_table!$O$88)</f>
        <v>5</v>
      </c>
      <c r="N30" s="34">
        <f>IF(ISNUMBER($E$11),prep_table!$O$85,prep_table!$O$96)</f>
        <v>5</v>
      </c>
      <c r="O30" s="19"/>
      <c r="Q30" s="16"/>
      <c r="R30" s="50"/>
      <c r="S30" s="19"/>
      <c r="T30" s="50"/>
      <c r="U30" s="19"/>
      <c r="V30" s="50"/>
      <c r="W30" s="19"/>
      <c r="X30" s="50"/>
      <c r="Y30" s="19"/>
      <c r="Z30" s="50"/>
      <c r="AA30" s="19"/>
      <c r="AB30" s="50"/>
      <c r="AC30" s="19"/>
    </row>
    <row r="31" spans="1:29" s="5" customFormat="1" ht="23.45" customHeight="1" x14ac:dyDescent="0.25">
      <c r="B31" s="16" t="s">
        <v>8</v>
      </c>
      <c r="C31" s="34">
        <f>IF(ISNUMBER($E$11),prep_table!$O$86,prep_table!$O$9)</f>
        <v>5</v>
      </c>
      <c r="D31" s="34">
        <f>IF(ISNUMBER($E$11),prep_table!$O$87,prep_table!$O$17)</f>
        <v>5</v>
      </c>
      <c r="E31" s="34">
        <f>IF(ISNUMBER($E$11),prep_table!$O$88,prep_table!$O$25)</f>
        <v>5</v>
      </c>
      <c r="F31" s="34">
        <f>IF(ISNUMBER($E$11),prep_table!$O$89,prep_table!$O$33)</f>
        <v>5</v>
      </c>
      <c r="G31" s="34">
        <f>IF(ISNUMBER($E$11),prep_table!$O$90,prep_table!$O$41)</f>
        <v>5</v>
      </c>
      <c r="H31" s="34">
        <f>IF(ISNUMBER($E$11),prep_table!$O$91,prep_table!$O$49)</f>
        <v>5</v>
      </c>
      <c r="I31" s="34">
        <f>IF(ISNUMBER($E$11),prep_table!$O$92,prep_table!$O$57)</f>
        <v>5</v>
      </c>
      <c r="J31" s="34">
        <f>IF(ISNUMBER($E$11),prep_table!$O$93,prep_table!$O$65)</f>
        <v>5</v>
      </c>
      <c r="K31" s="34">
        <f>IF(ISNUMBER($E$11),prep_table!$O$94,prep_table!$O$73)</f>
        <v>5</v>
      </c>
      <c r="L31" s="34">
        <f>IF(ISNUMBER($E$11),prep_table!$O$95,prep_table!$O$81)</f>
        <v>5</v>
      </c>
      <c r="M31" s="34">
        <f>IF(ISNUMBER($E$11),prep_table!$O$96,prep_table!$O$89)</f>
        <v>5</v>
      </c>
      <c r="N31" s="34">
        <f>IF(ISNUMBER($E$11),prep_table!$O$97,prep_table!$O$97)</f>
        <v>5</v>
      </c>
      <c r="O31" s="19"/>
      <c r="Q31" s="16"/>
      <c r="R31" s="50"/>
      <c r="S31" s="19"/>
      <c r="T31" s="50"/>
      <c r="U31" s="19"/>
      <c r="V31" s="50"/>
      <c r="W31" s="19"/>
      <c r="X31" s="50"/>
      <c r="Y31" s="19"/>
      <c r="Z31" s="50"/>
      <c r="AA31" s="19"/>
      <c r="AB31" s="50"/>
      <c r="AC31" s="19"/>
    </row>
    <row r="32" spans="1:29" s="5" customFormat="1" ht="15" customHeight="1" x14ac:dyDescent="0.25">
      <c r="A32" s="13" t="s">
        <v>139</v>
      </c>
      <c r="B32" s="14"/>
      <c r="C32" s="15">
        <v>1</v>
      </c>
      <c r="D32" s="15">
        <v>2</v>
      </c>
      <c r="E32" s="15">
        <v>3</v>
      </c>
      <c r="F32" s="15">
        <v>4</v>
      </c>
      <c r="G32" s="15">
        <v>5</v>
      </c>
      <c r="H32" s="15">
        <v>6</v>
      </c>
      <c r="I32" s="15">
        <v>7</v>
      </c>
      <c r="J32" s="15">
        <v>8</v>
      </c>
      <c r="K32" s="15">
        <v>9</v>
      </c>
      <c r="L32" s="15">
        <v>10</v>
      </c>
      <c r="M32" s="15">
        <v>11</v>
      </c>
      <c r="N32" s="15">
        <v>12</v>
      </c>
      <c r="O32" s="19"/>
    </row>
    <row r="33" spans="1:17" s="5" customFormat="1" ht="26.25" customHeight="1" x14ac:dyDescent="0.25">
      <c r="A33"/>
      <c r="B33" s="16" t="s">
        <v>1</v>
      </c>
      <c r="C33" s="34">
        <f>IF(ISNUMBER($E$11),prep_table!$N$2,prep_table!$N$2)</f>
        <v>0</v>
      </c>
      <c r="D33" s="34">
        <f>IF(ISNUMBER($E$11),prep_table!$N$3,prep_table!$N$10)</f>
        <v>0</v>
      </c>
      <c r="E33" s="34">
        <f>IF(ISNUMBER($E$11),prep_table!$N$4,prep_table!$N$18)</f>
        <v>0</v>
      </c>
      <c r="F33" s="34">
        <f>IF(ISNUMBER($E$11),prep_table!$N$5,prep_table!$N$26)</f>
        <v>0</v>
      </c>
      <c r="G33" s="34">
        <f>IF(ISNUMBER($E$11),prep_table!$N$6,prep_table!$N$34)</f>
        <v>0</v>
      </c>
      <c r="H33" s="34">
        <f>IF(ISNUMBER($E$11),prep_table!$N$7,prep_table!$N$42)</f>
        <v>0</v>
      </c>
      <c r="I33" s="34">
        <f>IF(ISNUMBER($E$11),prep_table!$N$8,prep_table!$N$50)</f>
        <v>0</v>
      </c>
      <c r="J33" s="34">
        <f>IF(ISNUMBER($E$11),prep_table!$N$9,prep_table!$N$58)</f>
        <v>0</v>
      </c>
      <c r="K33" s="34">
        <f>IF(ISNUMBER($E$11),prep_table!$N$10,prep_table!$N$66)</f>
        <v>0</v>
      </c>
      <c r="L33" s="34">
        <f>IF(ISNUMBER($E$11),prep_table!$N$11,prep_table!$N$74)</f>
        <v>0</v>
      </c>
      <c r="M33" s="34">
        <f>IF(ISNUMBER($E$11),prep_table!$N$12,prep_table!$N$82)</f>
        <v>0</v>
      </c>
      <c r="N33" s="34">
        <f>IF(ISNUMBER($E$11),prep_table!$N$13,prep_table!$N$90)</f>
        <v>0</v>
      </c>
      <c r="O33" s="19"/>
    </row>
    <row r="34" spans="1:17" s="5" customFormat="1" ht="26.25" customHeight="1" x14ac:dyDescent="0.25">
      <c r="A34"/>
      <c r="B34" s="16" t="s">
        <v>2</v>
      </c>
      <c r="C34" s="34">
        <f>IF(ISNUMBER($E$11),prep_table!$N$14,prep_table!$N$3)</f>
        <v>0</v>
      </c>
      <c r="D34" s="34">
        <f>IF(ISNUMBER($E$11),prep_table!$N$15,prep_table!$N$11)</f>
        <v>0</v>
      </c>
      <c r="E34" s="34">
        <f>IF(ISNUMBER($E$11),prep_table!$N$16,prep_table!$N$19)</f>
        <v>0</v>
      </c>
      <c r="F34" s="34">
        <f>IF(ISNUMBER($E$11),prep_table!$N$17,prep_table!$N$27)</f>
        <v>0</v>
      </c>
      <c r="G34" s="34">
        <f>IF(ISNUMBER($E$11),prep_table!$N$18,prep_table!$N$35)</f>
        <v>0</v>
      </c>
      <c r="H34" s="34">
        <f>IF(ISNUMBER($E$11),prep_table!$N$19,prep_table!$N$43)</f>
        <v>0</v>
      </c>
      <c r="I34" s="34">
        <f>IF(ISNUMBER($E$11),prep_table!$N$20,prep_table!$N$51)</f>
        <v>0</v>
      </c>
      <c r="J34" s="34">
        <f>IF(ISNUMBER($E$11),prep_table!$N$21,prep_table!$N$59)</f>
        <v>0</v>
      </c>
      <c r="K34" s="34">
        <f>IF(ISNUMBER($E$11),prep_table!$N$22,prep_table!$N$67)</f>
        <v>0</v>
      </c>
      <c r="L34" s="34">
        <f>IF(ISNUMBER($E$11),prep_table!$N$23,prep_table!$N$75)</f>
        <v>0</v>
      </c>
      <c r="M34" s="34">
        <f>IF(ISNUMBER($E$11),prep_table!$N$24,prep_table!$N$83)</f>
        <v>0</v>
      </c>
      <c r="N34" s="34">
        <f>IF(ISNUMBER($E$11),prep_table!$N$25,prep_table!$N$91)</f>
        <v>0</v>
      </c>
      <c r="O34" s="19"/>
    </row>
    <row r="35" spans="1:17" s="5" customFormat="1" ht="21.75" customHeight="1" x14ac:dyDescent="0.25">
      <c r="A35"/>
      <c r="B35" s="16" t="s">
        <v>3</v>
      </c>
      <c r="C35" s="34">
        <f>IF(ISNUMBER($E$11),prep_table!$N$26,prep_table!$N$4)</f>
        <v>0</v>
      </c>
      <c r="D35" s="34">
        <f>IF(ISNUMBER($E$11),prep_table!$N$27,prep_table!$N$12)</f>
        <v>0</v>
      </c>
      <c r="E35" s="34">
        <f>IF(ISNUMBER($E$11),prep_table!$N$28,prep_table!$N$20)</f>
        <v>0</v>
      </c>
      <c r="F35" s="34">
        <f>IF(ISNUMBER($E$11),prep_table!$N$29,prep_table!$N$28)</f>
        <v>0</v>
      </c>
      <c r="G35" s="34">
        <f>IF(ISNUMBER($E$11),prep_table!$N$30,prep_table!$N$36)</f>
        <v>0</v>
      </c>
      <c r="H35" s="34">
        <f>IF(ISNUMBER($E$11),prep_table!$N$31,prep_table!$N$44)</f>
        <v>0</v>
      </c>
      <c r="I35" s="34">
        <f>IF(ISNUMBER($E$11),prep_table!$N$32,prep_table!$N$52)</f>
        <v>0</v>
      </c>
      <c r="J35" s="34">
        <f>IF(ISNUMBER($E$11),prep_table!$N$33,prep_table!$N$60)</f>
        <v>0</v>
      </c>
      <c r="K35" s="34">
        <f>IF(ISNUMBER($E$11),prep_table!$N$34,prep_table!$N$68)</f>
        <v>0</v>
      </c>
      <c r="L35" s="34">
        <f>IF(ISNUMBER($E$11),prep_table!$N$35,prep_table!$N$76)</f>
        <v>0</v>
      </c>
      <c r="M35" s="34">
        <f>IF(ISNUMBER($E$11),prep_table!$N$36,prep_table!$N$84)</f>
        <v>0</v>
      </c>
      <c r="N35" s="34">
        <f>IF(ISNUMBER($E$11),prep_table!$N$37,prep_table!$N$92)</f>
        <v>0</v>
      </c>
      <c r="O35" s="19"/>
    </row>
    <row r="36" spans="1:17" s="5" customFormat="1" ht="26.25" customHeight="1" x14ac:dyDescent="0.25">
      <c r="A36"/>
      <c r="B36" s="16" t="s">
        <v>4</v>
      </c>
      <c r="C36" s="34">
        <f>IF(ISNUMBER($E$11),prep_table!$N$38,prep_table!$N$5)</f>
        <v>0</v>
      </c>
      <c r="D36" s="34">
        <f>IF(ISNUMBER($E$11),prep_table!$N$39,prep_table!$N$13)</f>
        <v>0</v>
      </c>
      <c r="E36" s="34">
        <f>IF(ISNUMBER($E$11),prep_table!$N$40,prep_table!$N$21)</f>
        <v>0</v>
      </c>
      <c r="F36" s="34">
        <f>IF(ISNUMBER($E$11),prep_table!$N$41,prep_table!$N$29)</f>
        <v>0</v>
      </c>
      <c r="G36" s="34">
        <f>IF(ISNUMBER($E$11),prep_table!$N$42,prep_table!$N$37)</f>
        <v>0</v>
      </c>
      <c r="H36" s="34">
        <f>IF(ISNUMBER($E$11),prep_table!$N$43,prep_table!$N$45)</f>
        <v>0</v>
      </c>
      <c r="I36" s="34">
        <f>IF(ISNUMBER($E$11),prep_table!$N$44,prep_table!$N$53)</f>
        <v>0</v>
      </c>
      <c r="J36" s="34">
        <f>IF(ISNUMBER($E$11),prep_table!$N$45,prep_table!$N$61)</f>
        <v>0</v>
      </c>
      <c r="K36" s="34">
        <f>IF(ISNUMBER($E$11),prep_table!$N$46,prep_table!$N$69)</f>
        <v>0</v>
      </c>
      <c r="L36" s="34">
        <f>IF(ISNUMBER($E$11),prep_table!$N$47,prep_table!$N$77)</f>
        <v>0</v>
      </c>
      <c r="M36" s="34">
        <f>IF(ISNUMBER($E$11),prep_table!$N$48,prep_table!$N$85)</f>
        <v>0</v>
      </c>
      <c r="N36" s="34">
        <f>IF(ISNUMBER($E$11),prep_table!$N$49,prep_table!$N$93)</f>
        <v>0</v>
      </c>
      <c r="O36" s="19"/>
      <c r="Q36" s="4"/>
    </row>
    <row r="37" spans="1:17" s="5" customFormat="1" ht="26.25" customHeight="1" x14ac:dyDescent="0.25">
      <c r="A37"/>
      <c r="B37" s="16" t="s">
        <v>5</v>
      </c>
      <c r="C37" s="34">
        <f>IF(ISNUMBER($E$11),prep_table!$N$50,prep_table!$N$6)</f>
        <v>0</v>
      </c>
      <c r="D37" s="34">
        <f>IF(ISNUMBER($E$11),prep_table!$N$51,prep_table!$N$14)</f>
        <v>0</v>
      </c>
      <c r="E37" s="34">
        <f>IF(ISNUMBER($E$11),prep_table!$N$52,prep_table!$N$22)</f>
        <v>0</v>
      </c>
      <c r="F37" s="34">
        <f>IF(ISNUMBER($E$11),prep_table!$N$53,prep_table!$N$30)</f>
        <v>0</v>
      </c>
      <c r="G37" s="34">
        <f>IF(ISNUMBER($E$11),prep_table!$N$54,prep_table!$N$38)</f>
        <v>0</v>
      </c>
      <c r="H37" s="34">
        <f>IF(ISNUMBER($E$11),prep_table!$N$55,prep_table!$N$46)</f>
        <v>0</v>
      </c>
      <c r="I37" s="34">
        <f>IF(ISNUMBER($E$11),prep_table!$N$56,prep_table!$N$54)</f>
        <v>0</v>
      </c>
      <c r="J37" s="34">
        <f>IF(ISNUMBER($E$11),prep_table!$N$57,prep_table!$N$62)</f>
        <v>0</v>
      </c>
      <c r="K37" s="34">
        <f>IF(ISNUMBER($E$11),prep_table!$N$58,prep_table!$N$70)</f>
        <v>0</v>
      </c>
      <c r="L37" s="34">
        <f>IF(ISNUMBER($E$11),prep_table!$N$59,prep_table!$N$78)</f>
        <v>0</v>
      </c>
      <c r="M37" s="34">
        <f>IF(ISNUMBER($E$11),prep_table!$N$60,prep_table!$N$86)</f>
        <v>0</v>
      </c>
      <c r="N37" s="34">
        <f>IF(ISNUMBER($E$11),prep_table!$N$61,prep_table!$N$94)</f>
        <v>0</v>
      </c>
      <c r="O37" s="19"/>
    </row>
    <row r="38" spans="1:17" s="5" customFormat="1" ht="26.25" customHeight="1" x14ac:dyDescent="0.25">
      <c r="A38"/>
      <c r="B38" s="16" t="s">
        <v>6</v>
      </c>
      <c r="C38" s="34">
        <f>IF(ISNUMBER($E$11),prep_table!$N$62,prep_table!$N$7)</f>
        <v>0</v>
      </c>
      <c r="D38" s="34">
        <f>IF(ISNUMBER($E$11),prep_table!$N$63,prep_table!$N$15)</f>
        <v>0</v>
      </c>
      <c r="E38" s="34">
        <f>IF(ISNUMBER($E$11),prep_table!$N$64,prep_table!$N$23)</f>
        <v>0</v>
      </c>
      <c r="F38" s="34">
        <f>IF(ISNUMBER($E$11),prep_table!$N$65,prep_table!$N$31)</f>
        <v>0</v>
      </c>
      <c r="G38" s="34">
        <f>IF(ISNUMBER($E$11),prep_table!$N$66,prep_table!$N$39)</f>
        <v>0</v>
      </c>
      <c r="H38" s="34">
        <f>IF(ISNUMBER($E$11),prep_table!$N$67,prep_table!$N$47)</f>
        <v>0</v>
      </c>
      <c r="I38" s="34">
        <f>IF(ISNUMBER($E$11),prep_table!$N$68,prep_table!$N$55)</f>
        <v>0</v>
      </c>
      <c r="J38" s="34">
        <f>IF(ISNUMBER($E$11),prep_table!$N$69,prep_table!$N$63)</f>
        <v>0</v>
      </c>
      <c r="K38" s="34">
        <f>IF(ISNUMBER($E$11),prep_table!$N$70,prep_table!$N$71)</f>
        <v>0</v>
      </c>
      <c r="L38" s="34">
        <f>IF(ISNUMBER($E$11),prep_table!$N$71,prep_table!$N$79)</f>
        <v>0</v>
      </c>
      <c r="M38" s="34">
        <f>IF(ISNUMBER($E$11),prep_table!$N$72,prep_table!$N$87)</f>
        <v>0</v>
      </c>
      <c r="N38" s="34">
        <f>IF(ISNUMBER($E$11),prep_table!$N$73,prep_table!$N$95)</f>
        <v>0</v>
      </c>
      <c r="O38" s="19"/>
    </row>
    <row r="39" spans="1:17" s="5" customFormat="1" ht="26.25" customHeight="1" x14ac:dyDescent="0.25">
      <c r="A39"/>
      <c r="B39" s="16" t="s">
        <v>7</v>
      </c>
      <c r="C39" s="34">
        <f>IF(ISNUMBER($E$11),prep_table!$N$74,prep_table!$N$8)</f>
        <v>0</v>
      </c>
      <c r="D39" s="34">
        <f>IF(ISNUMBER($E$11),prep_table!$N$75,prep_table!$N$16)</f>
        <v>0</v>
      </c>
      <c r="E39" s="34">
        <f>IF(ISNUMBER($E$11),prep_table!$N$76,prep_table!$N$24)</f>
        <v>0</v>
      </c>
      <c r="F39" s="34">
        <f>IF(ISNUMBER($E$11),prep_table!$N$77,prep_table!$N$32)</f>
        <v>0</v>
      </c>
      <c r="G39" s="34">
        <f>IF(ISNUMBER($E$11),prep_table!$N$78,prep_table!$N$40)</f>
        <v>0</v>
      </c>
      <c r="H39" s="34">
        <f>IF(ISNUMBER($E$11),prep_table!$N$79,prep_table!$N$48)</f>
        <v>0</v>
      </c>
      <c r="I39" s="34">
        <f>IF(ISNUMBER($E$11),prep_table!$N$80,prep_table!$N$56)</f>
        <v>0</v>
      </c>
      <c r="J39" s="34">
        <f>IF(ISNUMBER($E$11),prep_table!$N$81,prep_table!$N$64)</f>
        <v>0</v>
      </c>
      <c r="K39" s="34">
        <f>IF(ISNUMBER($E$11),prep_table!$N$82,prep_table!$N$72)</f>
        <v>0</v>
      </c>
      <c r="L39" s="34">
        <f>IF(ISNUMBER($E$11),prep_table!$N$83,prep_table!$N$80)</f>
        <v>0</v>
      </c>
      <c r="M39" s="34">
        <f>IF(ISNUMBER($E$11),prep_table!$N$84,prep_table!$N$88)</f>
        <v>0</v>
      </c>
      <c r="N39" s="34">
        <f>IF(ISNUMBER($E$11),prep_table!$N$85,prep_table!$N$96)</f>
        <v>0</v>
      </c>
      <c r="O39" s="19"/>
    </row>
    <row r="40" spans="1:17" s="5" customFormat="1" ht="26.25" customHeight="1" thickBot="1" x14ac:dyDescent="0.3">
      <c r="A40"/>
      <c r="B40" s="16" t="s">
        <v>8</v>
      </c>
      <c r="C40" s="34">
        <f>IF(ISNUMBER($E$11),prep_table!$N$86,prep_table!$N$9)</f>
        <v>0</v>
      </c>
      <c r="D40" s="34">
        <f>IF(ISNUMBER($E$11),prep_table!$N$87,prep_table!$N$17)</f>
        <v>0</v>
      </c>
      <c r="E40" s="34">
        <f>IF(ISNUMBER($E$11),prep_table!$N$88,prep_table!$N$25)</f>
        <v>0</v>
      </c>
      <c r="F40" s="34">
        <f>IF(ISNUMBER($E$11),prep_table!$N$89,prep_table!$N$33)</f>
        <v>0</v>
      </c>
      <c r="G40" s="34">
        <f>IF(ISNUMBER($E$11),prep_table!$N$90,prep_table!$N$41)</f>
        <v>0</v>
      </c>
      <c r="H40" s="34">
        <f>IF(ISNUMBER($E$11),prep_table!$N$91,prep_table!$N$49)</f>
        <v>0</v>
      </c>
      <c r="I40" s="34">
        <f>IF(ISNUMBER($E$11),prep_table!$N$92,prep_table!$N$57)</f>
        <v>0</v>
      </c>
      <c r="J40" s="34">
        <f>IF(ISNUMBER($E$11),prep_table!$N$93,prep_table!$N$65)</f>
        <v>0</v>
      </c>
      <c r="K40" s="34">
        <f>IF(ISNUMBER($E$11),prep_table!$N$94,prep_table!$N$73)</f>
        <v>0</v>
      </c>
      <c r="L40" s="34">
        <f>IF(ISNUMBER($E$11),prep_table!$N$95,prep_table!$N$81)</f>
        <v>0</v>
      </c>
      <c r="M40" s="34">
        <f>IF(ISNUMBER($E$11),prep_table!$N$96,prep_table!$N$89)</f>
        <v>0</v>
      </c>
      <c r="N40" s="34">
        <f>IF(ISNUMBER($E$11),prep_table!$N$97,prep_table!$N$97)</f>
        <v>0</v>
      </c>
      <c r="O40" s="19"/>
    </row>
    <row r="41" spans="1:17" s="5" customFormat="1" ht="26.25" customHeight="1" thickBot="1" x14ac:dyDescent="0.3">
      <c r="A41" s="13"/>
      <c r="B41" s="158" t="s">
        <v>69</v>
      </c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60"/>
      <c r="O41" s="19"/>
    </row>
    <row r="42" spans="1:17" s="5" customFormat="1" ht="26.25" customHeight="1" thickBot="1" x14ac:dyDescent="0.3">
      <c r="A42" s="12"/>
      <c r="B42" s="4" t="s">
        <v>70</v>
      </c>
      <c r="C42" s="4"/>
      <c r="D42" s="4"/>
      <c r="E42" s="4"/>
      <c r="H42" s="26" t="s">
        <v>71</v>
      </c>
      <c r="O42" s="19"/>
    </row>
    <row r="43" spans="1:17" s="5" customFormat="1" ht="33.75" customHeight="1" thickBot="1" x14ac:dyDescent="0.3">
      <c r="A43" s="4"/>
      <c r="B43" s="4"/>
      <c r="C43" s="4"/>
      <c r="D43" s="4"/>
      <c r="E43" s="68" t="s">
        <v>21</v>
      </c>
      <c r="F43" s="114" t="str">
        <f>IF(ISNUMBER($E$10),CONCATENATE(" Volume for ",$E$10," samples"),CONCATENATE(" Volume for ",$E$11," samples"))</f>
        <v xml:space="preserve"> Volume for  samples</v>
      </c>
      <c r="G43" s="114"/>
      <c r="H43" s="26"/>
      <c r="O43" s="19"/>
    </row>
    <row r="44" spans="1:17" s="5" customFormat="1" ht="26.25" customHeight="1" thickBot="1" x14ac:dyDescent="0.3">
      <c r="A44" s="12"/>
      <c r="B44" s="4" t="s">
        <v>19</v>
      </c>
      <c r="C44" s="233" t="s">
        <v>72</v>
      </c>
      <c r="D44" s="234"/>
      <c r="E44" s="20">
        <v>50</v>
      </c>
      <c r="F44" s="138">
        <f>IF(ISNUMBER($E$10),E44*$E$10*1.1,E44*$E$11*1.1)</f>
        <v>0</v>
      </c>
      <c r="G44" s="139"/>
      <c r="H44" s="21" t="s">
        <v>20</v>
      </c>
      <c r="O44" s="19"/>
      <c r="Q44" s="4"/>
    </row>
    <row r="45" spans="1:17" s="5" customFormat="1" ht="27" customHeight="1" thickBot="1" x14ac:dyDescent="0.3">
      <c r="A45" s="13"/>
      <c r="B45" s="4"/>
      <c r="C45" s="131" t="s">
        <v>73</v>
      </c>
      <c r="D45" s="132"/>
      <c r="E45" s="20">
        <v>50</v>
      </c>
      <c r="F45" s="138">
        <f>IF(ISNUMBER($E$10),E45*$E$10*1.1,E45*$E$11*1.1)</f>
        <v>0</v>
      </c>
      <c r="G45" s="139"/>
      <c r="H45" s="23" t="s">
        <v>20</v>
      </c>
      <c r="O45" s="19"/>
    </row>
    <row r="46" spans="1:17" s="5" customFormat="1" ht="15.95" customHeight="1" thickBot="1" x14ac:dyDescent="0.3">
      <c r="A46" s="13"/>
      <c r="B46" s="4"/>
      <c r="C46" s="4"/>
      <c r="D46" s="4"/>
      <c r="E46" s="37">
        <f>SUM(E44:E45)</f>
        <v>100</v>
      </c>
      <c r="F46" s="231">
        <f>SUM(F44:F45)</f>
        <v>0</v>
      </c>
      <c r="G46" s="232"/>
      <c r="H46" s="24" t="s">
        <v>20</v>
      </c>
      <c r="O46" s="19"/>
    </row>
    <row r="47" spans="1:17" s="5" customFormat="1" ht="26.25" customHeight="1" thickBot="1" x14ac:dyDescent="0.3">
      <c r="A47" s="12"/>
      <c r="B47" s="36" t="str">
        <f>IF(ISNUMBER($E$10),IF($F$10=TRUE,CONCATENATE("Pipet ",FIXED($E$10*200/8*1.1)," µL of Wash Buffer into each well of column 1 of Deep well plate"),CONCATENATE("Pipet ",FIXED(($G$10+1)*200*1.1)," µL of Wash Buffer into first ",$H$10," wells and ",FIXED(($G$10)*200*1.1)," µL into the other wells of Deep well plate column 1")), IF($F$11=TRUE,CONCATENATE("Pipet ",FIXED($E$11*200/12*1.1)," µL of Wash Buffer into each well of row A of Deep well plate"),CONCATENATE("Pipet ",FIXED(($G$11+1)*200*1.1)," µL of Wash Buffer into first ",$H$11," wells and ",FIXED(($G$11)*200*1.1)," µL into the other wells of Deep well plate row A")))</f>
        <v>Pipet 0.00 µL of Wash Buffer into each well of row A of Deep well plate</v>
      </c>
      <c r="C47" s="4"/>
      <c r="D47" s="4"/>
      <c r="E47" s="4"/>
      <c r="H47" s="26"/>
      <c r="O47" s="19"/>
    </row>
    <row r="48" spans="1:17" s="5" customFormat="1" ht="26.25" customHeight="1" thickBot="1" x14ac:dyDescent="0.3">
      <c r="A48" s="12"/>
      <c r="B48" s="36" t="str">
        <f>IF(ISNUMBER($E$10),IF($F$10=TRUE,CONCATENATE("Pipet ",FIXED($E$10*E46/8*1.1)," µL of TRIS/RNA binding buffer into each well of column 2 of Deep well plate"),CONCATENATE("Pipet ",FIXED(($G$10+1)*E46*1.1)," µL of TRIS/RNA binding buffer into first ",$H$10," wells and ",FIXED(($G$10)*E46*1.1)," µL into the other wells of Deep well plate column 2")),IF($F$11=TRUE,CONCATENATE("Pipet ",FIXED($E$11*E46/12*1.1)," µL of TRIS/RNA binding buffer into each well of row B of Deep well plate"),CONCATENATE("Pipet ",FIXED(($G$11+1)*E46*1.1)," µL of TRIS/RNA binding buffer into first ",$H$11," wells and ",FIXED(($G$11)*E46*1.1)," µL into the other wells of Deep well plate row B")))</f>
        <v>Pipet 0.00 µL of TRIS/RNA binding buffer into each well of row B of Deep well plate</v>
      </c>
      <c r="C48" s="4"/>
      <c r="D48" s="4"/>
      <c r="E48" s="4"/>
      <c r="H48" s="26"/>
      <c r="O48" s="19"/>
    </row>
    <row r="49" spans="1:15" s="5" customFormat="1" ht="26.25" customHeight="1" thickBot="1" x14ac:dyDescent="0.3">
      <c r="A49" s="12"/>
      <c r="B49" s="36" t="str">
        <f>IF(ISNUMBER($E$10),IF($F$10=TRUE,CONCATENATE("Pipet ",FIXED($E$10*200/8*1.1)," µL of Wash buffer into each well of column 3 of Deep well plate"),CONCATENATE("Pipet ",FIXED(($G$10+1)*200*1.1)," µL of Wash buffer into first ",$H$10," wells and ",FIXED(($G$10)*200*1.1)," µL into the other wells of Deep well plate column 3")), IF($F$11=TRUE,CONCATENATE("Pipet ",FIXED($E$11*200/12*1.1)," µL of Wash buffer into each well of row C of Deep well plate"),CONCATENATE("Pipet ",FIXED(($G$11+1)*200*1.1)," µL of Wash buffer into first ",$H$11," wells and ",FIXED(($G$11)*200*1.1)," µL into the other wells of Deep well plate row C")))</f>
        <v>Pipet 0.00 µL of Wash buffer into each well of row C of Deep well plate</v>
      </c>
      <c r="C49" s="4"/>
      <c r="D49" s="4"/>
      <c r="E49" s="4"/>
      <c r="H49" s="26"/>
      <c r="O49" s="19"/>
    </row>
    <row r="50" spans="1:15" s="5" customFormat="1" ht="26.25" customHeight="1" thickBot="1" x14ac:dyDescent="0.3">
      <c r="A50" s="13"/>
      <c r="B50" s="177" t="s">
        <v>74</v>
      </c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9"/>
      <c r="O50" s="19"/>
    </row>
    <row r="51" spans="1:15" s="5" customFormat="1" ht="26.25" customHeight="1" thickBot="1" x14ac:dyDescent="0.3">
      <c r="A51" s="12"/>
      <c r="B51" s="4" t="str">
        <f>IF(ISNUMBER($E$10),IF($F$10=TRUE,CONCATENATE("Prepare Mastermix (F) Ccording to the following table and pipet ",FIXED($E$10*E55/8*1.1)," µL into each well of column 1 of MM plate"),CONCATENATE("Prepare Mastermix (F) Ccording to the following table and pipet ",FIXED(($G$10+1)*E55*1.1)," µL into first ",$H$10," wells and ",FIXED(($G$10)*E55*1.1)," µL into the other wells of MM plate column 1")),IF($F$11=TRUE,CONCATENATE("Prepare Mastermix (F) Ccording to the following table and pipet ",FIXED($E$11*E55/12*1.1)," µL into each well of row A of MM plate"), CONCATENATE("Prepare Mastermix (F) Ccording to the following table and pipet ",FIXED(($G$11+1)*E55*1.1)," µL into first ",$H$11," wells and ",FIXED(($G$11)*E55*1.1)," µL into the other wells of MM plate row A")))</f>
        <v>Prepare Mastermix (F) Ccording to the following table and pipet 0.00 µL into each well of row A of MM plate</v>
      </c>
      <c r="D51" s="4"/>
      <c r="E51" s="4"/>
    </row>
    <row r="52" spans="1:15" s="5" customFormat="1" ht="28.5" customHeight="1" thickBot="1" x14ac:dyDescent="0.3">
      <c r="A52" s="13"/>
      <c r="B52" s="4"/>
      <c r="C52" s="4"/>
      <c r="E52" s="93" t="s">
        <v>21</v>
      </c>
      <c r="F52" s="114" t="str">
        <f>IF(ISNUMBER($E$10),CONCATENATE(" Volume for ",$E$10," samples"),CONCATENATE(" Volume for ",$E$11," samples"))</f>
        <v xml:space="preserve"> Volume for  samples</v>
      </c>
      <c r="G52" s="114"/>
    </row>
    <row r="53" spans="1:15" s="5" customFormat="1" ht="32.450000000000003" customHeight="1" thickBot="1" x14ac:dyDescent="0.3">
      <c r="A53" s="12"/>
      <c r="B53" s="4" t="s">
        <v>19</v>
      </c>
      <c r="C53" s="230" t="s">
        <v>75</v>
      </c>
      <c r="D53" s="230"/>
      <c r="E53" s="20">
        <v>4</v>
      </c>
      <c r="F53" s="138">
        <f>IF(ISNUMBER($E$10),E53*$E$10*1.1,E53*$E$11*1.1)</f>
        <v>0</v>
      </c>
      <c r="G53" s="139"/>
      <c r="H53" s="21" t="s">
        <v>20</v>
      </c>
      <c r="K53" s="11" t="s">
        <v>76</v>
      </c>
    </row>
    <row r="54" spans="1:15" s="5" customFormat="1" ht="22.5" customHeight="1" thickBot="1" x14ac:dyDescent="0.3">
      <c r="A54" s="13"/>
      <c r="C54" s="215" t="s">
        <v>77</v>
      </c>
      <c r="D54" s="215"/>
      <c r="E54" s="22">
        <v>4</v>
      </c>
      <c r="F54" s="138">
        <f>IF(ISNUMBER($E$10),E54*$E$10*1.1,E54*$E$11*1.1)</f>
        <v>0</v>
      </c>
      <c r="G54" s="139"/>
      <c r="H54" s="23" t="s">
        <v>20</v>
      </c>
    </row>
    <row r="55" spans="1:15" s="5" customFormat="1" ht="29.25" customHeight="1" thickBot="1" x14ac:dyDescent="0.3">
      <c r="A55" s="13"/>
      <c r="C55" s="4"/>
      <c r="E55" s="37">
        <f>SUM(E53:E54)</f>
        <v>8</v>
      </c>
      <c r="F55" s="231">
        <f>F53+F54</f>
        <v>0</v>
      </c>
      <c r="G55" s="232"/>
      <c r="H55" s="24" t="s">
        <v>20</v>
      </c>
      <c r="I55" s="5" t="s">
        <v>23</v>
      </c>
    </row>
    <row r="56" spans="1:15" s="5" customFormat="1" ht="29.25" customHeight="1" thickBot="1" x14ac:dyDescent="0.3">
      <c r="A56" s="13"/>
      <c r="B56" s="125" t="s">
        <v>78</v>
      </c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7"/>
    </row>
    <row r="57" spans="1:15" s="5" customFormat="1" ht="29.25" customHeight="1" thickBot="1" x14ac:dyDescent="0.3">
      <c r="A57" s="12"/>
      <c r="B57" s="39" t="s">
        <v>79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</row>
    <row r="58" spans="1:15" s="5" customFormat="1" ht="29.25" customHeight="1" thickBot="1" x14ac:dyDescent="0.3">
      <c r="A58" s="12"/>
      <c r="B58" s="83" t="s">
        <v>80</v>
      </c>
      <c r="C58" s="41"/>
      <c r="D58" s="41"/>
      <c r="E58" s="93" t="s">
        <v>21</v>
      </c>
      <c r="F58" s="114" t="str">
        <f>IF(ISNUMBER($E$10),CONCATENATE(" Volume for ",$E$10," samples"),CONCATENATE(" Volume for ",$E$11," samples"))</f>
        <v xml:space="preserve"> Volume for  samples</v>
      </c>
      <c r="G58" s="114"/>
      <c r="K58" s="41"/>
      <c r="L58" s="41"/>
      <c r="M58" s="41"/>
      <c r="N58" s="41"/>
    </row>
    <row r="59" spans="1:15" s="5" customFormat="1" ht="29.25" customHeight="1" x14ac:dyDescent="0.25">
      <c r="A59" s="13"/>
      <c r="B59" s="30"/>
      <c r="C59" s="229" t="s">
        <v>81</v>
      </c>
      <c r="D59" s="229"/>
      <c r="E59" s="20">
        <v>20</v>
      </c>
      <c r="F59" s="105">
        <f>IF(ISNUMBER($E$10),E59*$E$10*1.1,E59*$E$11*1.1)</f>
        <v>0</v>
      </c>
      <c r="G59" s="105"/>
      <c r="H59" s="21" t="s">
        <v>20</v>
      </c>
      <c r="K59" s="30"/>
      <c r="L59" s="30"/>
      <c r="M59" s="30"/>
      <c r="N59" s="30"/>
    </row>
    <row r="60" spans="1:15" s="5" customFormat="1" ht="29.25" customHeight="1" thickBot="1" x14ac:dyDescent="0.3">
      <c r="A60" s="13"/>
      <c r="B60" s="30"/>
      <c r="C60" s="220" t="s">
        <v>141</v>
      </c>
      <c r="D60" s="220"/>
      <c r="E60" s="20">
        <v>50</v>
      </c>
      <c r="F60" s="105">
        <f>IF(ISNUMBER($E$10),E60*$E$10*1.1,E60*$E$11*1.1)</f>
        <v>0</v>
      </c>
      <c r="G60" s="105"/>
      <c r="H60" s="21" t="s">
        <v>20</v>
      </c>
      <c r="K60" s="30"/>
      <c r="L60" s="30"/>
      <c r="M60" s="30"/>
      <c r="N60" s="30"/>
    </row>
    <row r="61" spans="1:15" s="5" customFormat="1" ht="29.25" customHeight="1" thickBot="1" x14ac:dyDescent="0.3">
      <c r="A61" s="12"/>
      <c r="B61" s="27" t="s">
        <v>82</v>
      </c>
      <c r="C61" s="4"/>
      <c r="E61"/>
      <c r="F61"/>
      <c r="G61"/>
      <c r="H61"/>
      <c r="I61"/>
      <c r="K61" s="30"/>
      <c r="L61" s="30"/>
      <c r="M61" s="30"/>
      <c r="N61" s="30"/>
    </row>
    <row r="62" spans="1:15" s="5" customFormat="1" ht="26.25" customHeight="1" thickBot="1" x14ac:dyDescent="0.3">
      <c r="A62" s="12"/>
      <c r="B62" s="4" t="s">
        <v>22</v>
      </c>
      <c r="D62" s="25" t="s">
        <v>83</v>
      </c>
    </row>
    <row r="63" spans="1:15" s="5" customFormat="1" ht="26.25" customHeight="1" thickBot="1" x14ac:dyDescent="0.3">
      <c r="B63" s="4"/>
      <c r="D63" s="25" t="s">
        <v>84</v>
      </c>
      <c r="F63" s="26" t="s">
        <v>85</v>
      </c>
    </row>
    <row r="64" spans="1:15" s="5" customFormat="1" ht="26.25" customHeight="1" thickBot="1" x14ac:dyDescent="0.3">
      <c r="A64" s="12"/>
      <c r="B64" s="4" t="s">
        <v>86</v>
      </c>
      <c r="F64" s="25"/>
    </row>
    <row r="65" spans="1:16" s="5" customFormat="1" ht="26.25" customHeight="1" thickBot="1" x14ac:dyDescent="0.3">
      <c r="A65" s="12"/>
      <c r="B65" s="4" t="s">
        <v>142</v>
      </c>
      <c r="F65" s="25"/>
      <c r="O65" s="4"/>
      <c r="P65" s="4"/>
    </row>
    <row r="66" spans="1:16" s="5" customFormat="1" ht="26.25" customHeight="1" thickBot="1" x14ac:dyDescent="0.3">
      <c r="A66" s="12"/>
      <c r="B66" s="4" t="s">
        <v>22</v>
      </c>
      <c r="D66" s="28" t="s">
        <v>83</v>
      </c>
      <c r="F66" s="25"/>
    </row>
    <row r="67" spans="1:16" s="5" customFormat="1" ht="26.25" customHeight="1" thickBot="1" x14ac:dyDescent="0.3">
      <c r="B67" s="4"/>
      <c r="D67" s="28" t="s">
        <v>84</v>
      </c>
    </row>
    <row r="68" spans="1:16" s="5" customFormat="1" ht="26.25" customHeight="1" thickBot="1" x14ac:dyDescent="0.3">
      <c r="A68" s="12"/>
      <c r="B68" s="4" t="s">
        <v>86</v>
      </c>
    </row>
    <row r="69" spans="1:16" s="5" customFormat="1" ht="26.25" customHeight="1" thickBot="1" x14ac:dyDescent="0.3">
      <c r="A69" s="12"/>
      <c r="B69" s="4" t="s">
        <v>143</v>
      </c>
    </row>
    <row r="70" spans="1:16" s="5" customFormat="1" ht="26.25" customHeight="1" thickBot="1" x14ac:dyDescent="0.3">
      <c r="A70" s="12"/>
      <c r="B70" s="4" t="s">
        <v>22</v>
      </c>
      <c r="D70" s="28" t="s">
        <v>87</v>
      </c>
    </row>
    <row r="71" spans="1:16" s="5" customFormat="1" ht="26.25" customHeight="1" thickBot="1" x14ac:dyDescent="0.3">
      <c r="B71" s="4"/>
      <c r="D71" s="28" t="s">
        <v>10</v>
      </c>
      <c r="F71" s="26" t="s">
        <v>88</v>
      </c>
    </row>
    <row r="72" spans="1:16" s="5" customFormat="1" ht="26.25" customHeight="1" thickBot="1" x14ac:dyDescent="0.3">
      <c r="A72" s="12"/>
      <c r="B72" s="4" t="s">
        <v>89</v>
      </c>
    </row>
    <row r="73" spans="1:16" s="5" customFormat="1" ht="26.25" customHeight="1" thickBot="1" x14ac:dyDescent="0.3">
      <c r="A73" s="13"/>
      <c r="B73" s="155" t="s">
        <v>90</v>
      </c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7"/>
    </row>
    <row r="74" spans="1:16" s="5" customFormat="1" ht="26.25" customHeight="1" thickBot="1" x14ac:dyDescent="0.3">
      <c r="A74" s="29"/>
      <c r="B74" s="4" t="s">
        <v>91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s="5" customFormat="1" ht="26.25" customHeight="1" thickBot="1" x14ac:dyDescent="0.3">
      <c r="A75" s="12"/>
      <c r="B75" s="4" t="str">
        <f>IF(ISNUMBER($E$10),IF($F$10=TRUE,CONCATENATE("Prepare Mastermix (FS1) According to the following table and pipet ",FIXED($E$10*(E80-5)/8*1.1)," µL into each well of column 2 of MM plate"),CONCATENATE("Prepare Mastermix (FS1) Ccording to the following table and pipet ",FIXED(($G$10+1)*(E80-5)*1.1)," µL into first ",$H$10," wells and ",FIXED(($G$10)*(E80-5)*1.1)," µL into the other wells of MM plate column 2")), IF($F$11=TRUE,CONCATENATE("Prepare Mastermix (FS1) According to the following table and pipet ",FIXED($E$11*(E80-5)/12*1.1)," µL into each well of row B of MM plate"),CONCATENATE("Prepare Mastermix (FS1) Ccording to the following table and pipet ",FIXED(($G$11+1)*(E80-5)*1.1)," µL into first ",$H$11," wells and ",FIXED(($G$11)*(E80-5)*1.1)," µL into the other wells of MM plate row B")))</f>
        <v>Prepare Mastermix (FS1) According to the following table and pipet 0.00 µL into each well of row B of MM plate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s="5" customFormat="1" ht="29.25" customHeight="1" thickBot="1" x14ac:dyDescent="0.3">
      <c r="A76" s="27"/>
      <c r="B76" s="27"/>
      <c r="C76" s="41"/>
      <c r="D76" s="41"/>
      <c r="E76" s="93" t="s">
        <v>21</v>
      </c>
      <c r="F76" s="114" t="str">
        <f>IF(ISNUMBER($E$10),CONCATENATE(" Volume for ",$E$10," samples"),CONCATENATE(" Volume for ",$E$11," samples"))</f>
        <v xml:space="preserve"> Volume for  samples</v>
      </c>
      <c r="G76" s="114"/>
      <c r="K76" s="41"/>
      <c r="L76" s="41"/>
      <c r="M76" s="41"/>
      <c r="N76" s="41"/>
    </row>
    <row r="77" spans="1:16" s="5" customFormat="1" ht="26.25" customHeight="1" thickBot="1" x14ac:dyDescent="0.3">
      <c r="A77" s="12"/>
      <c r="B77" s="4" t="s">
        <v>19</v>
      </c>
      <c r="C77" s="215" t="s">
        <v>92</v>
      </c>
      <c r="D77" s="215"/>
      <c r="E77" s="22">
        <v>5</v>
      </c>
      <c r="F77" s="117" t="s">
        <v>42</v>
      </c>
      <c r="G77" s="118"/>
      <c r="H77" s="70" t="s">
        <v>20</v>
      </c>
    </row>
    <row r="78" spans="1:16" s="5" customFormat="1" ht="33.6" customHeight="1" x14ac:dyDescent="0.25">
      <c r="A78" s="13"/>
      <c r="B78" s="4"/>
      <c r="C78" s="214" t="s">
        <v>93</v>
      </c>
      <c r="D78" s="214"/>
      <c r="E78" s="89">
        <v>4</v>
      </c>
      <c r="F78" s="109">
        <f>IF(ISNUMBER($E$10),E78*$E$10*1.1,E78*$E$11*1.1)</f>
        <v>0</v>
      </c>
      <c r="G78" s="110"/>
      <c r="H78" s="71" t="s">
        <v>20</v>
      </c>
    </row>
    <row r="79" spans="1:16" s="4" customFormat="1" ht="36.950000000000003" customHeight="1" thickBot="1" x14ac:dyDescent="0.3">
      <c r="A79" s="13"/>
      <c r="B79" s="5"/>
      <c r="C79" s="224" t="s">
        <v>94</v>
      </c>
      <c r="D79" s="224"/>
      <c r="E79" s="22">
        <v>1</v>
      </c>
      <c r="F79" s="109">
        <f>IF(ISNUMBER($E$10),E79*$E$10*1.1,E79*$E$11*1.1)</f>
        <v>0</v>
      </c>
      <c r="G79" s="110"/>
      <c r="H79" s="70" t="s">
        <v>20</v>
      </c>
      <c r="I79" s="5"/>
      <c r="J79" s="5"/>
      <c r="K79" s="5"/>
      <c r="L79" s="5"/>
      <c r="M79" s="5"/>
      <c r="N79" s="5"/>
      <c r="O79" s="5"/>
      <c r="P79" s="5"/>
    </row>
    <row r="80" spans="1:16" s="4" customFormat="1" ht="23.25" customHeight="1" thickBot="1" x14ac:dyDescent="0.3">
      <c r="A80" s="13"/>
      <c r="B80" s="5"/>
      <c r="C80" s="107" t="s">
        <v>160</v>
      </c>
      <c r="D80" s="108"/>
      <c r="E80" s="37">
        <f>SUM(E77:E79)</f>
        <v>10</v>
      </c>
      <c r="F80" s="210">
        <f>F78+F79</f>
        <v>0</v>
      </c>
      <c r="G80" s="211"/>
      <c r="H80" s="71" t="s">
        <v>20</v>
      </c>
      <c r="I80" s="5" t="s">
        <v>23</v>
      </c>
      <c r="J80" s="5"/>
      <c r="K80" s="5"/>
      <c r="L80" s="5"/>
      <c r="M80" s="5"/>
      <c r="N80" s="5"/>
      <c r="O80" s="5"/>
      <c r="P80" s="5"/>
    </row>
    <row r="81" spans="1:16" s="5" customFormat="1" ht="26.25" customHeight="1" thickBot="1" x14ac:dyDescent="0.3">
      <c r="A81" s="12"/>
      <c r="B81" s="4" t="s">
        <v>22</v>
      </c>
      <c r="D81" s="55" t="s">
        <v>95</v>
      </c>
    </row>
    <row r="82" spans="1:16" s="5" customFormat="1" ht="21.6" customHeight="1" x14ac:dyDescent="0.25">
      <c r="A82" s="13"/>
      <c r="D82" s="25" t="s">
        <v>96</v>
      </c>
    </row>
    <row r="83" spans="1:16" s="5" customFormat="1" ht="18.95" customHeight="1" thickBot="1" x14ac:dyDescent="0.3">
      <c r="A83" s="13"/>
      <c r="D83" s="4" t="s">
        <v>97</v>
      </c>
    </row>
    <row r="84" spans="1:16" s="5" customFormat="1" ht="23.25" customHeight="1" thickBot="1" x14ac:dyDescent="0.3">
      <c r="A84" s="13"/>
      <c r="B84" s="225" t="s">
        <v>98</v>
      </c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7"/>
    </row>
    <row r="85" spans="1:16" s="5" customFormat="1" ht="26.25" customHeight="1" thickBot="1" x14ac:dyDescent="0.3">
      <c r="A85" s="12"/>
      <c r="B85" s="4" t="str">
        <f>IF(ISNUMBER($E$10),IF($F$10=TRUE,CONCATENATE("Pipet ",FIXED($E$10*(E88)/8*1.1)," µL into each well of column 3 of MM plate"),CONCATENATE("Pipet ",FIXED(($G$10+1)*(E88)*1.1)," µL into first ",$H$10," wells and ",FIXED(($G$10)*(E88)*1.1)," µL into the other wells of MM plate column 3")), IF($F$11=TRUE,CONCATENATE("Pipet ",FIXED($E$11*(E88)/12*1.1)," µL into each well of row C of MM plate"),CONCATENATE("Pipet ",FIXED(($G$11+1)*(E88)*1.1)," µL into first ",$H$11," wells and ",FIXED(($G$11)*(E88)*1.1)," µL into the other wells of MM plate row C")))</f>
        <v>Pipet 0.00 µL into each well of row C of MM plate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s="5" customFormat="1" ht="27.75" customHeight="1" thickBot="1" x14ac:dyDescent="0.3">
      <c r="A86" s="27"/>
      <c r="B86" s="27"/>
      <c r="C86" s="41"/>
      <c r="D86" s="41"/>
      <c r="E86" s="93" t="s">
        <v>21</v>
      </c>
      <c r="F86" s="114" t="str">
        <f>IF(ISNUMBER($E$10),CONCATENATE(" Volume for ",$E$10," samples"),CONCATENATE(" Volume for ",$E$11," samples"))</f>
        <v xml:space="preserve"> Volume for  samples</v>
      </c>
      <c r="G86" s="114"/>
    </row>
    <row r="87" spans="1:16" s="5" customFormat="1" ht="23.25" customHeight="1" thickBot="1" x14ac:dyDescent="0.3">
      <c r="A87" s="12"/>
      <c r="B87" s="4" t="s">
        <v>19</v>
      </c>
      <c r="C87" s="215" t="s">
        <v>99</v>
      </c>
      <c r="D87" s="215"/>
      <c r="E87" s="22">
        <v>10</v>
      </c>
      <c r="F87" s="117" t="s">
        <v>42</v>
      </c>
      <c r="G87" s="118"/>
      <c r="H87" s="70" t="s">
        <v>20</v>
      </c>
      <c r="J87" s="228" t="s">
        <v>100</v>
      </c>
      <c r="K87" s="228"/>
      <c r="L87" s="228"/>
      <c r="M87" s="228"/>
      <c r="N87" s="228"/>
    </row>
    <row r="88" spans="1:16" s="5" customFormat="1" ht="40.5" customHeight="1" thickBot="1" x14ac:dyDescent="0.3">
      <c r="A88" s="13"/>
      <c r="C88" s="221" t="s">
        <v>101</v>
      </c>
      <c r="D88" s="221"/>
      <c r="E88" s="90">
        <v>30</v>
      </c>
      <c r="F88" s="109">
        <f>IF(ISNUMBER($E$10),E88*$E$10*1.1,E88*$E$11*1.1)</f>
        <v>0</v>
      </c>
      <c r="G88" s="110"/>
      <c r="H88" s="91" t="s">
        <v>20</v>
      </c>
      <c r="J88" s="228"/>
      <c r="K88" s="228"/>
      <c r="L88" s="228"/>
      <c r="M88" s="228"/>
      <c r="N88" s="228"/>
    </row>
    <row r="89" spans="1:16" s="5" customFormat="1" ht="26.25" customHeight="1" thickBot="1" x14ac:dyDescent="0.3">
      <c r="A89" s="13"/>
      <c r="C89" s="107" t="s">
        <v>160</v>
      </c>
      <c r="D89" s="108"/>
      <c r="E89" s="37">
        <f>SUM(E87:E88)</f>
        <v>40</v>
      </c>
      <c r="F89" s="210">
        <f>SUM(F87:G88)</f>
        <v>0</v>
      </c>
      <c r="G89" s="211"/>
      <c r="H89" s="71" t="s">
        <v>20</v>
      </c>
      <c r="I89" s="5" t="s">
        <v>9</v>
      </c>
    </row>
    <row r="90" spans="1:16" s="5" customFormat="1" ht="26.25" customHeight="1" thickBot="1" x14ac:dyDescent="0.3">
      <c r="A90" s="12"/>
      <c r="B90" s="4" t="s">
        <v>22</v>
      </c>
      <c r="D90" s="42" t="s">
        <v>102</v>
      </c>
    </row>
    <row r="91" spans="1:16" s="5" customFormat="1" ht="26.25" customHeight="1" thickBot="1" x14ac:dyDescent="0.3">
      <c r="A91" s="13"/>
      <c r="D91" s="28" t="s">
        <v>10</v>
      </c>
    </row>
    <row r="92" spans="1:16" s="5" customFormat="1" ht="23.25" customHeight="1" thickBot="1" x14ac:dyDescent="0.3">
      <c r="A92" s="13"/>
      <c r="B92" s="168" t="s">
        <v>103</v>
      </c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70"/>
    </row>
    <row r="93" spans="1:16" s="5" customFormat="1" ht="27" customHeight="1" thickBot="1" x14ac:dyDescent="0.3">
      <c r="A93" s="12"/>
      <c r="B93" s="4" t="s">
        <v>144</v>
      </c>
    </row>
    <row r="94" spans="1:16" s="5" customFormat="1" ht="23.25" customHeight="1" thickBot="1" x14ac:dyDescent="0.3">
      <c r="A94" s="13"/>
      <c r="B94" s="158" t="s">
        <v>104</v>
      </c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60"/>
    </row>
    <row r="95" spans="1:16" s="5" customFormat="1" ht="26.25" customHeight="1" thickBot="1" x14ac:dyDescent="0.3">
      <c r="A95" s="12"/>
      <c r="B95" s="4" t="str">
        <f>IF(ISNUMBER($E$10),IF($F$10=TRUE,CONCATENATE("Prepare Mastermix (E) according to the following table and pipet ",FIXED($E$10*($E$100-20)/8*1.1)," µL into each well of column 4 of MM plate"),CONCATENATE("Prepare Mastermix (E) Ccording to the following table and pipet ",FIXED(($G$10+1)*($E$100-20)*1.1)," µL into first ",$H$10," wells and ",FIXED(($G$10)*($E$100-20)*1.1)," µL into the other wells of MM plate column 4")),IF($F$11=TRUE,CONCATENATE("Prepare Mastermix (E) according to the following table and pipet ",FIXED($E$11*($E$100-20)/12*1.1)," µL into each well of row D of MM plate"),CONCATENATE("Prepare Mastermix (E) Ccording to the following table and pipet ",FIXED(($G$11+1)*($E$100-20)*1.1)," µL into first ",$H$11," wells and ",FIXED(($G$11)*($E$100-20)*1.1)," µL into the other wells of MM plate row D")))</f>
        <v>Prepare Mastermix (E) according to the following table and pipet 0.00 µL into each well of row D of MM plate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s="5" customFormat="1" ht="29.25" customHeight="1" thickBot="1" x14ac:dyDescent="0.3">
      <c r="A96" s="27"/>
      <c r="B96" s="27"/>
      <c r="C96" s="41"/>
      <c r="D96" s="41"/>
      <c r="E96" s="80" t="s">
        <v>21</v>
      </c>
      <c r="F96" s="114" t="str">
        <f>IF(ISNUMBER($E$10),CONCATENATE(" Volume for ",$E$10," samples"),CONCATENATE(" Volume for ",$E$11," samples"))</f>
        <v xml:space="preserve"> Volume for  samples</v>
      </c>
      <c r="G96" s="114"/>
      <c r="K96" s="41"/>
      <c r="L96" s="41"/>
      <c r="M96" s="41"/>
      <c r="N96" s="41"/>
    </row>
    <row r="97" spans="1:16" s="5" customFormat="1" ht="26.25" customHeight="1" thickBot="1" x14ac:dyDescent="0.3">
      <c r="A97" s="12"/>
      <c r="B97" s="4" t="s">
        <v>19</v>
      </c>
      <c r="C97" s="215" t="s">
        <v>105</v>
      </c>
      <c r="D97" s="215"/>
      <c r="E97" s="22">
        <v>20</v>
      </c>
      <c r="F97" s="117" t="s">
        <v>42</v>
      </c>
      <c r="G97" s="118"/>
      <c r="H97" s="70" t="s">
        <v>20</v>
      </c>
    </row>
    <row r="98" spans="1:16" s="5" customFormat="1" ht="26.25" customHeight="1" x14ac:dyDescent="0.25">
      <c r="A98" s="13"/>
      <c r="B98" s="4"/>
      <c r="C98" s="214" t="s">
        <v>106</v>
      </c>
      <c r="D98" s="214"/>
      <c r="E98" s="89">
        <v>2.5</v>
      </c>
      <c r="F98" s="109">
        <f>IF(ISNUMBER($E$10),E98*$E$10*1.1,E98*$E$11*1.1)</f>
        <v>0</v>
      </c>
      <c r="G98" s="110"/>
      <c r="H98" s="71" t="s">
        <v>20</v>
      </c>
      <c r="K98" s="11" t="s">
        <v>107</v>
      </c>
    </row>
    <row r="99" spans="1:16" s="4" customFormat="1" ht="26.25" customHeight="1" thickBot="1" x14ac:dyDescent="0.3">
      <c r="A99" s="13"/>
      <c r="B99" s="5"/>
      <c r="C99" s="215" t="s">
        <v>108</v>
      </c>
      <c r="D99" s="215"/>
      <c r="E99" s="22">
        <v>1.5</v>
      </c>
      <c r="F99" s="109">
        <f>IF(ISNUMBER($E$10),E99*$E$10*1.1,E99*$E$11*1.1)</f>
        <v>0</v>
      </c>
      <c r="G99" s="110"/>
      <c r="H99" s="70" t="s">
        <v>20</v>
      </c>
      <c r="I99" s="5"/>
      <c r="J99" s="5"/>
      <c r="K99" s="5"/>
      <c r="L99" s="5"/>
      <c r="M99" s="5"/>
      <c r="N99" s="5"/>
      <c r="O99" s="5"/>
      <c r="P99" s="5"/>
    </row>
    <row r="100" spans="1:16" s="4" customFormat="1" ht="23.25" customHeight="1" thickBot="1" x14ac:dyDescent="0.3">
      <c r="A100" s="13"/>
      <c r="B100" s="5"/>
      <c r="C100" s="107" t="s">
        <v>160</v>
      </c>
      <c r="D100" s="108"/>
      <c r="E100" s="37">
        <f>SUM($E$97:$E$99)</f>
        <v>24</v>
      </c>
      <c r="F100" s="216">
        <f>SUM($F$98:$G$99)</f>
        <v>0</v>
      </c>
      <c r="G100" s="217"/>
      <c r="H100" s="71" t="s">
        <v>20</v>
      </c>
      <c r="I100" s="5" t="s">
        <v>9</v>
      </c>
      <c r="J100" s="5"/>
      <c r="K100" s="5"/>
      <c r="L100" s="5"/>
      <c r="M100" s="5"/>
      <c r="N100" s="5"/>
      <c r="O100" s="5"/>
      <c r="P100" s="5"/>
    </row>
    <row r="101" spans="1:16" s="5" customFormat="1" ht="23.25" customHeight="1" thickBot="1" x14ac:dyDescent="0.3">
      <c r="A101" s="12"/>
      <c r="B101" s="4" t="s">
        <v>22</v>
      </c>
      <c r="D101" s="42" t="s">
        <v>109</v>
      </c>
    </row>
    <row r="102" spans="1:16" s="5" customFormat="1" ht="17.25" customHeight="1" x14ac:dyDescent="0.25">
      <c r="A102" s="13"/>
      <c r="B102" s="4"/>
      <c r="D102" s="42" t="s">
        <v>110</v>
      </c>
    </row>
    <row r="103" spans="1:16" s="5" customFormat="1" ht="18.95" customHeight="1" thickBot="1" x14ac:dyDescent="0.3">
      <c r="A103" s="13"/>
      <c r="D103" s="28" t="s">
        <v>10</v>
      </c>
    </row>
    <row r="104" spans="1:16" s="5" customFormat="1" ht="23.25" customHeight="1" thickBot="1" x14ac:dyDescent="0.3">
      <c r="A104" s="13"/>
      <c r="B104" s="143" t="s">
        <v>111</v>
      </c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9"/>
    </row>
    <row r="105" spans="1:16" s="5" customFormat="1" ht="23.25" customHeight="1" thickBot="1" x14ac:dyDescent="0.3">
      <c r="A105" s="12"/>
      <c r="B105" s="27" t="s">
        <v>112</v>
      </c>
      <c r="C105" s="30"/>
      <c r="D105" s="30"/>
      <c r="E105" s="30"/>
      <c r="F105" s="30"/>
      <c r="G105" s="30"/>
      <c r="H105" s="222" t="s">
        <v>113</v>
      </c>
      <c r="I105" s="223"/>
      <c r="J105" s="148" t="s">
        <v>114</v>
      </c>
      <c r="K105" s="146"/>
      <c r="L105" s="30"/>
      <c r="M105" s="30"/>
      <c r="N105" s="30"/>
    </row>
    <row r="106" spans="1:16" s="5" customFormat="1" ht="20.25" customHeight="1" x14ac:dyDescent="0.25">
      <c r="A106" s="13"/>
      <c r="B106" s="43"/>
      <c r="C106" s="30"/>
      <c r="D106" s="30"/>
      <c r="E106" s="30"/>
      <c r="F106" s="30"/>
      <c r="G106" s="30"/>
      <c r="H106" s="149" t="s">
        <v>115</v>
      </c>
      <c r="I106" s="149"/>
      <c r="J106" s="149" t="s">
        <v>116</v>
      </c>
      <c r="K106" s="149"/>
      <c r="L106" s="30"/>
      <c r="M106" s="30"/>
      <c r="N106" s="30"/>
    </row>
    <row r="107" spans="1:16" s="5" customFormat="1" ht="20.100000000000001" customHeight="1" thickBot="1" x14ac:dyDescent="0.3">
      <c r="A107" s="13"/>
      <c r="B107" s="43"/>
      <c r="C107" s="30"/>
      <c r="D107" s="30"/>
      <c r="E107" s="30"/>
      <c r="F107" s="30"/>
      <c r="G107" s="30"/>
      <c r="H107" s="150" t="s">
        <v>117</v>
      </c>
      <c r="I107" s="150"/>
      <c r="J107" s="150" t="s">
        <v>118</v>
      </c>
      <c r="K107" s="150"/>
      <c r="L107" s="30"/>
      <c r="M107" s="30"/>
      <c r="N107" s="30"/>
    </row>
    <row r="108" spans="1:16" s="5" customFormat="1" ht="23.25" customHeight="1" thickBot="1" x14ac:dyDescent="0.3">
      <c r="A108" s="31"/>
      <c r="B108" s="51" t="s">
        <v>137</v>
      </c>
      <c r="G108" s="56" t="s">
        <v>145</v>
      </c>
      <c r="H108" s="8"/>
    </row>
    <row r="109" spans="1:16" s="5" customFormat="1" ht="20.25" customHeight="1" x14ac:dyDescent="0.25">
      <c r="A109" s="13"/>
      <c r="B109" s="14"/>
      <c r="C109" s="15">
        <v>1</v>
      </c>
      <c r="D109" s="15">
        <v>2</v>
      </c>
      <c r="E109" s="15">
        <v>3</v>
      </c>
      <c r="F109" s="15">
        <v>4</v>
      </c>
      <c r="G109" s="15">
        <v>5</v>
      </c>
      <c r="H109" s="15">
        <v>6</v>
      </c>
      <c r="I109" s="15">
        <v>7</v>
      </c>
      <c r="J109" s="15">
        <v>8</v>
      </c>
      <c r="K109" s="15">
        <v>9</v>
      </c>
      <c r="L109" s="15">
        <v>10</v>
      </c>
      <c r="M109" s="15">
        <v>11</v>
      </c>
      <c r="N109" s="15">
        <v>12</v>
      </c>
    </row>
    <row r="110" spans="1:16" s="5" customFormat="1" ht="20.25" customHeight="1" x14ac:dyDescent="0.25">
      <c r="A110" s="13"/>
      <c r="B110" s="16" t="s">
        <v>1</v>
      </c>
      <c r="C110" s="18" t="str">
        <f t="shared" ref="C110:N110" si="0">IF(ISNUMBER($H$108),C15, " ")</f>
        <v xml:space="preserve"> </v>
      </c>
      <c r="D110" s="18" t="str">
        <f t="shared" si="0"/>
        <v xml:space="preserve"> </v>
      </c>
      <c r="E110" s="18" t="str">
        <f t="shared" si="0"/>
        <v xml:space="preserve"> </v>
      </c>
      <c r="F110" s="18" t="str">
        <f t="shared" si="0"/>
        <v xml:space="preserve"> </v>
      </c>
      <c r="G110" s="18" t="str">
        <f t="shared" si="0"/>
        <v xml:space="preserve"> </v>
      </c>
      <c r="H110" s="18" t="str">
        <f t="shared" si="0"/>
        <v xml:space="preserve"> </v>
      </c>
      <c r="I110" s="18" t="str">
        <f t="shared" si="0"/>
        <v xml:space="preserve"> </v>
      </c>
      <c r="J110" s="18" t="str">
        <f t="shared" si="0"/>
        <v xml:space="preserve"> </v>
      </c>
      <c r="K110" s="18" t="str">
        <f t="shared" si="0"/>
        <v xml:space="preserve"> </v>
      </c>
      <c r="L110" s="18" t="str">
        <f t="shared" si="0"/>
        <v xml:space="preserve"> </v>
      </c>
      <c r="M110" s="18" t="str">
        <f t="shared" si="0"/>
        <v xml:space="preserve"> </v>
      </c>
      <c r="N110" s="18" t="str">
        <f t="shared" si="0"/>
        <v xml:space="preserve"> </v>
      </c>
    </row>
    <row r="111" spans="1:16" s="5" customFormat="1" ht="20.25" customHeight="1" x14ac:dyDescent="0.25">
      <c r="B111" s="16" t="s">
        <v>2</v>
      </c>
      <c r="C111" s="18" t="str">
        <f t="shared" ref="C111:N111" si="1">IF(ISNUMBER($H$108),C16, " ")</f>
        <v xml:space="preserve"> </v>
      </c>
      <c r="D111" s="18" t="str">
        <f t="shared" si="1"/>
        <v xml:space="preserve"> </v>
      </c>
      <c r="E111" s="18" t="str">
        <f t="shared" si="1"/>
        <v xml:space="preserve"> </v>
      </c>
      <c r="F111" s="18" t="str">
        <f t="shared" si="1"/>
        <v xml:space="preserve"> </v>
      </c>
      <c r="G111" s="18" t="str">
        <f t="shared" si="1"/>
        <v xml:space="preserve"> </v>
      </c>
      <c r="H111" s="18" t="str">
        <f t="shared" si="1"/>
        <v xml:space="preserve"> </v>
      </c>
      <c r="I111" s="18" t="str">
        <f t="shared" si="1"/>
        <v xml:space="preserve"> </v>
      </c>
      <c r="J111" s="18" t="str">
        <f t="shared" si="1"/>
        <v xml:space="preserve"> </v>
      </c>
      <c r="K111" s="18" t="str">
        <f t="shared" si="1"/>
        <v xml:space="preserve"> </v>
      </c>
      <c r="L111" s="18" t="str">
        <f t="shared" si="1"/>
        <v xml:space="preserve"> </v>
      </c>
      <c r="M111" s="18" t="str">
        <f t="shared" si="1"/>
        <v xml:space="preserve"> </v>
      </c>
      <c r="N111" s="18" t="str">
        <f t="shared" si="1"/>
        <v xml:space="preserve"> </v>
      </c>
    </row>
    <row r="112" spans="1:16" s="5" customFormat="1" ht="20.25" customHeight="1" x14ac:dyDescent="0.25">
      <c r="B112" s="16" t="s">
        <v>3</v>
      </c>
      <c r="C112" s="18" t="str">
        <f t="shared" ref="C112:N112" si="2">IF(ISNUMBER($H$108),C17, " ")</f>
        <v xml:space="preserve"> </v>
      </c>
      <c r="D112" s="18" t="str">
        <f t="shared" si="2"/>
        <v xml:space="preserve"> </v>
      </c>
      <c r="E112" s="18" t="str">
        <f t="shared" si="2"/>
        <v xml:space="preserve"> </v>
      </c>
      <c r="F112" s="18" t="str">
        <f t="shared" si="2"/>
        <v xml:space="preserve"> </v>
      </c>
      <c r="G112" s="18" t="str">
        <f t="shared" si="2"/>
        <v xml:space="preserve"> </v>
      </c>
      <c r="H112" s="18" t="str">
        <f t="shared" si="2"/>
        <v xml:space="preserve"> </v>
      </c>
      <c r="I112" s="18" t="str">
        <f t="shared" si="2"/>
        <v xml:space="preserve"> </v>
      </c>
      <c r="J112" s="18" t="str">
        <f t="shared" si="2"/>
        <v xml:space="preserve"> </v>
      </c>
      <c r="K112" s="18" t="str">
        <f t="shared" si="2"/>
        <v xml:space="preserve"> </v>
      </c>
      <c r="L112" s="18" t="str">
        <f t="shared" si="2"/>
        <v xml:space="preserve"> </v>
      </c>
      <c r="M112" s="18" t="str">
        <f t="shared" si="2"/>
        <v xml:space="preserve"> </v>
      </c>
      <c r="N112" s="18" t="str">
        <f t="shared" si="2"/>
        <v xml:space="preserve"> </v>
      </c>
    </row>
    <row r="113" spans="1:16" s="5" customFormat="1" ht="20.25" customHeight="1" x14ac:dyDescent="0.25">
      <c r="B113" s="16" t="s">
        <v>4</v>
      </c>
      <c r="C113" s="18" t="str">
        <f t="shared" ref="C113:N113" si="3">IF(ISNUMBER($H$108),C18, " ")</f>
        <v xml:space="preserve"> </v>
      </c>
      <c r="D113" s="18" t="str">
        <f t="shared" si="3"/>
        <v xml:space="preserve"> </v>
      </c>
      <c r="E113" s="18" t="str">
        <f t="shared" si="3"/>
        <v xml:space="preserve"> </v>
      </c>
      <c r="F113" s="18" t="str">
        <f t="shared" si="3"/>
        <v xml:space="preserve"> </v>
      </c>
      <c r="G113" s="18" t="str">
        <f t="shared" si="3"/>
        <v xml:space="preserve"> </v>
      </c>
      <c r="H113" s="18" t="str">
        <f t="shared" si="3"/>
        <v xml:space="preserve"> </v>
      </c>
      <c r="I113" s="18" t="str">
        <f t="shared" si="3"/>
        <v xml:space="preserve"> </v>
      </c>
      <c r="J113" s="18" t="str">
        <f t="shared" si="3"/>
        <v xml:space="preserve"> </v>
      </c>
      <c r="K113" s="18" t="str">
        <f t="shared" si="3"/>
        <v xml:space="preserve"> </v>
      </c>
      <c r="L113" s="18" t="str">
        <f t="shared" si="3"/>
        <v xml:space="preserve"> </v>
      </c>
      <c r="M113" s="18" t="str">
        <f t="shared" si="3"/>
        <v xml:space="preserve"> </v>
      </c>
      <c r="N113" s="18" t="str">
        <f t="shared" si="3"/>
        <v xml:space="preserve"> </v>
      </c>
    </row>
    <row r="114" spans="1:16" s="5" customFormat="1" ht="20.25" customHeight="1" x14ac:dyDescent="0.25">
      <c r="B114" s="16" t="s">
        <v>5</v>
      </c>
      <c r="C114" s="18" t="str">
        <f t="shared" ref="C114:N114" si="4">IF(ISNUMBER($H$108),C19, " ")</f>
        <v xml:space="preserve"> </v>
      </c>
      <c r="D114" s="18" t="str">
        <f t="shared" si="4"/>
        <v xml:space="preserve"> </v>
      </c>
      <c r="E114" s="18" t="str">
        <f t="shared" si="4"/>
        <v xml:space="preserve"> </v>
      </c>
      <c r="F114" s="18" t="str">
        <f t="shared" si="4"/>
        <v xml:space="preserve"> </v>
      </c>
      <c r="G114" s="18" t="str">
        <f t="shared" si="4"/>
        <v xml:space="preserve"> </v>
      </c>
      <c r="H114" s="18" t="str">
        <f t="shared" si="4"/>
        <v xml:space="preserve"> </v>
      </c>
      <c r="I114" s="18" t="str">
        <f t="shared" si="4"/>
        <v xml:space="preserve"> </v>
      </c>
      <c r="J114" s="18" t="str">
        <f t="shared" si="4"/>
        <v xml:space="preserve"> </v>
      </c>
      <c r="K114" s="18" t="str">
        <f t="shared" si="4"/>
        <v xml:space="preserve"> </v>
      </c>
      <c r="L114" s="18" t="str">
        <f t="shared" si="4"/>
        <v xml:space="preserve"> </v>
      </c>
      <c r="M114" s="18" t="str">
        <f t="shared" si="4"/>
        <v xml:space="preserve"> </v>
      </c>
      <c r="N114" s="18" t="str">
        <f t="shared" si="4"/>
        <v xml:space="preserve"> </v>
      </c>
    </row>
    <row r="115" spans="1:16" s="5" customFormat="1" ht="20.25" customHeight="1" x14ac:dyDescent="0.25">
      <c r="B115" s="16" t="s">
        <v>6</v>
      </c>
      <c r="C115" s="18" t="str">
        <f t="shared" ref="C115:N115" si="5">IF(ISNUMBER($H$108),C20, " ")</f>
        <v xml:space="preserve"> </v>
      </c>
      <c r="D115" s="18" t="str">
        <f t="shared" si="5"/>
        <v xml:space="preserve"> </v>
      </c>
      <c r="E115" s="18" t="str">
        <f t="shared" si="5"/>
        <v xml:space="preserve"> </v>
      </c>
      <c r="F115" s="18" t="str">
        <f t="shared" si="5"/>
        <v xml:space="preserve"> </v>
      </c>
      <c r="G115" s="18" t="str">
        <f t="shared" si="5"/>
        <v xml:space="preserve"> </v>
      </c>
      <c r="H115" s="18" t="str">
        <f t="shared" si="5"/>
        <v xml:space="preserve"> </v>
      </c>
      <c r="I115" s="18" t="str">
        <f t="shared" si="5"/>
        <v xml:space="preserve"> </v>
      </c>
      <c r="J115" s="18" t="str">
        <f t="shared" si="5"/>
        <v xml:space="preserve"> </v>
      </c>
      <c r="K115" s="18" t="str">
        <f t="shared" si="5"/>
        <v xml:space="preserve"> </v>
      </c>
      <c r="L115" s="18" t="str">
        <f t="shared" si="5"/>
        <v xml:space="preserve"> </v>
      </c>
      <c r="M115" s="18" t="str">
        <f t="shared" si="5"/>
        <v xml:space="preserve"> </v>
      </c>
      <c r="N115" s="18" t="str">
        <f t="shared" si="5"/>
        <v xml:space="preserve"> </v>
      </c>
    </row>
    <row r="116" spans="1:16" s="5" customFormat="1" ht="20.25" customHeight="1" x14ac:dyDescent="0.25">
      <c r="B116" s="16" t="s">
        <v>7</v>
      </c>
      <c r="C116" s="18" t="str">
        <f t="shared" ref="C116:N116" si="6">IF(ISNUMBER($H$108),C21, " ")</f>
        <v xml:space="preserve"> </v>
      </c>
      <c r="D116" s="18" t="str">
        <f t="shared" si="6"/>
        <v xml:space="preserve"> </v>
      </c>
      <c r="E116" s="18" t="str">
        <f t="shared" si="6"/>
        <v xml:space="preserve"> </v>
      </c>
      <c r="F116" s="18" t="str">
        <f t="shared" si="6"/>
        <v xml:space="preserve"> </v>
      </c>
      <c r="G116" s="18" t="str">
        <f t="shared" si="6"/>
        <v xml:space="preserve"> </v>
      </c>
      <c r="H116" s="18" t="str">
        <f t="shared" si="6"/>
        <v xml:space="preserve"> </v>
      </c>
      <c r="I116" s="18" t="str">
        <f t="shared" si="6"/>
        <v xml:space="preserve"> </v>
      </c>
      <c r="J116" s="18" t="str">
        <f t="shared" si="6"/>
        <v xml:space="preserve"> </v>
      </c>
      <c r="K116" s="18" t="str">
        <f t="shared" si="6"/>
        <v xml:space="preserve"> </v>
      </c>
      <c r="L116" s="18" t="str">
        <f t="shared" si="6"/>
        <v xml:space="preserve"> </v>
      </c>
      <c r="M116" s="18" t="str">
        <f t="shared" si="6"/>
        <v xml:space="preserve"> </v>
      </c>
      <c r="N116" s="18" t="str">
        <f t="shared" si="6"/>
        <v xml:space="preserve"> </v>
      </c>
    </row>
    <row r="117" spans="1:16" s="5" customFormat="1" ht="20.25" customHeight="1" thickBot="1" x14ac:dyDescent="0.3">
      <c r="B117" s="16" t="s">
        <v>8</v>
      </c>
      <c r="C117" s="18" t="str">
        <f t="shared" ref="C117:N117" si="7">IF(ISNUMBER($H$108),C22, " ")</f>
        <v xml:space="preserve"> </v>
      </c>
      <c r="D117" s="18" t="str">
        <f t="shared" si="7"/>
        <v xml:space="preserve"> </v>
      </c>
      <c r="E117" s="18" t="str">
        <f t="shared" si="7"/>
        <v xml:space="preserve"> </v>
      </c>
      <c r="F117" s="18" t="str">
        <f t="shared" si="7"/>
        <v xml:space="preserve"> </v>
      </c>
      <c r="G117" s="18" t="str">
        <f t="shared" si="7"/>
        <v xml:space="preserve"> </v>
      </c>
      <c r="H117" s="18" t="str">
        <f t="shared" si="7"/>
        <v xml:space="preserve"> </v>
      </c>
      <c r="I117" s="18" t="str">
        <f t="shared" si="7"/>
        <v xml:space="preserve"> </v>
      </c>
      <c r="J117" s="18" t="str">
        <f t="shared" si="7"/>
        <v xml:space="preserve"> </v>
      </c>
      <c r="K117" s="18" t="str">
        <f t="shared" si="7"/>
        <v xml:space="preserve"> </v>
      </c>
      <c r="L117" s="18" t="str">
        <f t="shared" si="7"/>
        <v xml:space="preserve"> </v>
      </c>
      <c r="M117" s="18" t="str">
        <f t="shared" si="7"/>
        <v xml:space="preserve"> </v>
      </c>
      <c r="N117" s="18" t="str">
        <f t="shared" si="7"/>
        <v xml:space="preserve"> </v>
      </c>
    </row>
    <row r="118" spans="1:16" s="5" customFormat="1" ht="24.95" customHeight="1" thickBot="1" x14ac:dyDescent="0.3">
      <c r="A118" s="12"/>
      <c r="B118" s="4" t="str">
        <f>IF(ISNUMBER($E$10),IF($F$10=TRUE,CONCATENATE("Pipet ",FIXED($E$10*(E122)/8*1.1)," µL of Ligation MM into each well of column 5 of MM plate"),CONCATENATE("Pipet ",FIXED(($G$10+1)*(E122)*1.1)," µL of Ligation MM into first ",$H$10," wells and ",FIXED(($G$10)*(E122)*1.1)," µL into the other wells of MM plate column 5")), IF($F$11=TRUE,CONCATENATE("Pipet ",FIXED($E$11*(E122)/12*1.1)," µL of Ligation MM into each well of row E of MM plate"),CONCATENATE("Pipet ",FIXED(($G$11+1)*(E122)*1.1)," µL of Ligation MM into first ",$H$11," wells and ",FIXED(($G$11)*(E122)*1.1)," µL into the other wells of MM plate row E")))</f>
        <v>Pipet 0.00 µL of Ligation MM into each well of row E of MM plate</v>
      </c>
    </row>
    <row r="119" spans="1:16" s="5" customFormat="1" ht="29.25" customHeight="1" thickBot="1" x14ac:dyDescent="0.3">
      <c r="A119" s="27"/>
      <c r="B119" s="27"/>
      <c r="C119" s="41"/>
      <c r="D119" s="41"/>
      <c r="E119" s="38" t="s">
        <v>21</v>
      </c>
      <c r="F119" s="114" t="str">
        <f>IF(ISNUMBER($E$10),CONCATENATE(" Volume for ",$E$10," samples"),CONCATENATE(" Volume for ",$E$11," samples"))</f>
        <v xml:space="preserve"> Volume for  samples</v>
      </c>
      <c r="G119" s="114"/>
      <c r="K119" s="41"/>
      <c r="L119" s="41"/>
      <c r="M119" s="41"/>
      <c r="N119" s="41"/>
    </row>
    <row r="120" spans="1:16" s="5" customFormat="1" ht="26.25" customHeight="1" thickBot="1" x14ac:dyDescent="0.3">
      <c r="A120" s="12"/>
      <c r="B120" s="4" t="s">
        <v>19</v>
      </c>
      <c r="C120" s="220" t="s">
        <v>119</v>
      </c>
      <c r="D120" s="220"/>
      <c r="E120" s="20">
        <v>24</v>
      </c>
      <c r="F120" s="138" t="s">
        <v>42</v>
      </c>
      <c r="G120" s="139"/>
      <c r="H120" s="21" t="s">
        <v>20</v>
      </c>
    </row>
    <row r="121" spans="1:16" s="5" customFormat="1" ht="26.25" customHeight="1" thickBot="1" x14ac:dyDescent="0.3">
      <c r="A121" s="13"/>
      <c r="B121" s="4"/>
      <c r="C121" s="212" t="s">
        <v>242</v>
      </c>
      <c r="D121" s="212"/>
      <c r="E121" s="22">
        <v>2</v>
      </c>
      <c r="F121" s="117" t="s">
        <v>42</v>
      </c>
      <c r="G121" s="118"/>
      <c r="H121" s="23" t="s">
        <v>20</v>
      </c>
      <c r="K121" s="11"/>
    </row>
    <row r="122" spans="1:16" s="4" customFormat="1" ht="33" customHeight="1" thickBot="1" x14ac:dyDescent="0.3">
      <c r="A122" s="13"/>
      <c r="B122" s="5"/>
      <c r="C122" s="221" t="s">
        <v>120</v>
      </c>
      <c r="D122" s="221"/>
      <c r="E122" s="90">
        <v>12</v>
      </c>
      <c r="F122" s="109">
        <f>IF(ISNUMBER($E$10),E122*$E$10*1.1,E122*$E$11*1.1)</f>
        <v>0</v>
      </c>
      <c r="G122" s="110"/>
      <c r="H122" s="92" t="s">
        <v>20</v>
      </c>
      <c r="I122" s="5"/>
      <c r="J122" s="5"/>
      <c r="K122" s="5"/>
      <c r="L122" s="5"/>
      <c r="M122" s="5"/>
      <c r="N122" s="5"/>
      <c r="O122" s="5"/>
      <c r="P122" s="5"/>
    </row>
    <row r="123" spans="1:16" s="4" customFormat="1" ht="23.25" customHeight="1" thickBot="1" x14ac:dyDescent="0.3">
      <c r="A123" s="13"/>
      <c r="B123" s="5"/>
      <c r="C123" s="107" t="s">
        <v>160</v>
      </c>
      <c r="D123" s="108"/>
      <c r="E123" s="37">
        <f>SUM(E120:E122)</f>
        <v>38</v>
      </c>
      <c r="F123" s="210">
        <f>SUM(F121:G122)</f>
        <v>0</v>
      </c>
      <c r="G123" s="211"/>
      <c r="H123" s="24" t="s">
        <v>20</v>
      </c>
      <c r="I123" s="5" t="s">
        <v>9</v>
      </c>
      <c r="J123" s="5"/>
      <c r="K123" s="5"/>
      <c r="L123" s="5"/>
      <c r="M123" s="5"/>
      <c r="N123" s="5"/>
      <c r="O123" s="5"/>
      <c r="P123" s="5"/>
    </row>
    <row r="124" spans="1:16" s="5" customFormat="1" ht="26.25" customHeight="1" thickBot="1" x14ac:dyDescent="0.3">
      <c r="A124" s="12"/>
      <c r="B124" s="4" t="s">
        <v>22</v>
      </c>
      <c r="D124" s="52" t="s">
        <v>138</v>
      </c>
    </row>
    <row r="125" spans="1:16" s="5" customFormat="1" ht="24.95" customHeight="1" thickBot="1" x14ac:dyDescent="0.3">
      <c r="A125" s="12"/>
      <c r="B125" s="4" t="str">
        <f>IF(ISNUMBER($E$10),IF($F$10=TRUE,CONCATENATE("Pipet ",FIXED($E$10*(2)/8*1.1)," µL of USER into each well of column 6 of MM plate"),CONCATENATE("Pipet ",FIXED(($G$10+1)*(2)*1.1)," µL of USER into first ",$H$10," wells and ",FIXED(($G$10)*(2)*1.1)," µL into the other wells of MM plate column 6")), IF($F$11=TRUE,CONCATENATE("Pipet ",FIXED($E$11*(2)/12*1.1)," µL of USER into each well of row F of MM plate"),CONCATENATE("Pipet ",FIXED(($G$11+1)*(2)*1.1)," µL of USER into first ",$H$11," wells and ",FIXED(($G$11)*(2)*1.1)," µL into the other wells of MM plate row F")))</f>
        <v>Pipet 0.00 µL of USER into each well of row F of MM plate</v>
      </c>
    </row>
    <row r="126" spans="1:16" s="5" customFormat="1" ht="26.25" customHeight="1" thickBot="1" x14ac:dyDescent="0.3">
      <c r="A126" s="12"/>
      <c r="B126" s="4" t="s">
        <v>121</v>
      </c>
      <c r="F126" s="4" t="s">
        <v>122</v>
      </c>
      <c r="H126" s="7"/>
    </row>
    <row r="127" spans="1:16" s="5" customFormat="1" ht="26.25" customHeight="1" thickBot="1" x14ac:dyDescent="0.3">
      <c r="B127" s="111" t="s">
        <v>123</v>
      </c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3"/>
    </row>
    <row r="128" spans="1:16" s="5" customFormat="1" ht="26.25" customHeight="1" thickBot="1" x14ac:dyDescent="0.3">
      <c r="A128" s="12"/>
      <c r="B128" s="4" t="s">
        <v>124</v>
      </c>
      <c r="F128" s="4"/>
      <c r="H128" s="7"/>
    </row>
    <row r="129" spans="1:16" s="5" customFormat="1" ht="26.25" customHeight="1" thickBot="1" x14ac:dyDescent="0.3">
      <c r="A129" s="12"/>
      <c r="B129" s="4" t="str">
        <f>IF(ISNUMBER($E$10),IF($F$10=TRUE,CONCATENATE("Prepare Mastermix (PCR) according to the following table and pipet ",FIXED($E$10*(E134-20)/8*1.1)," µL into each well of column 7 of MM plate"),CONCATENATE("Prepare Mastermix (PCR) according to the following table and pipet ",FIXED(($G$10+1)*(E134-20)*1.1)," µL into first ",$H$10," wells and ",FIXED(($G$10)*(E134-20)*1.1)," µL into the other wells of MM plate column 7")), IF($F$11=TRUE,CONCATENATE("Prepare Mastermix (PCR) according to the following table and pipet ",FIXED($E$11*(E134-20)/12*1.1)," µL into each well of row G of MM plate"),CONCATENATE("Prepare Mastermix (PCR) Ccording to the following table and pipet ",FIXED(($G$11+1)*(E134-20)*1.1)," µL into first ",$H$11," wells and ",FIXED(($G$11)*(E134-20)*1.1)," µL into the other wells of MM plate row G")))</f>
        <v>Prepare Mastermix (PCR) according to the following table and pipet 0.00 µL into each well of row G of MM plate</v>
      </c>
      <c r="F129" s="4"/>
      <c r="H129" s="7"/>
    </row>
    <row r="130" spans="1:16" s="5" customFormat="1" ht="29.25" customHeight="1" thickBot="1" x14ac:dyDescent="0.3">
      <c r="A130" s="27"/>
      <c r="B130" s="27"/>
      <c r="C130" s="41"/>
      <c r="D130" s="41"/>
      <c r="E130" s="38" t="s">
        <v>21</v>
      </c>
      <c r="F130" s="114" t="str">
        <f>IF(ISNUMBER($E$10),CONCATENATE(" Volume for ",$E$10," samples"),CONCATENATE(" Volume for ",$E$11," samples"))</f>
        <v xml:space="preserve"> Volume for  samples</v>
      </c>
      <c r="G130" s="114"/>
      <c r="K130" s="41"/>
      <c r="L130" s="41"/>
      <c r="M130" s="41"/>
      <c r="N130" s="41"/>
    </row>
    <row r="131" spans="1:16" s="5" customFormat="1" ht="26.25" customHeight="1" thickBot="1" x14ac:dyDescent="0.3">
      <c r="A131" s="12"/>
      <c r="B131" s="4" t="s">
        <v>19</v>
      </c>
      <c r="C131" s="212" t="s">
        <v>125</v>
      </c>
      <c r="D131" s="212"/>
      <c r="E131" s="58">
        <v>20</v>
      </c>
      <c r="F131" s="117" t="s">
        <v>42</v>
      </c>
      <c r="G131" s="118"/>
      <c r="H131" s="70" t="s">
        <v>20</v>
      </c>
    </row>
    <row r="132" spans="1:16" s="5" customFormat="1" ht="26.25" customHeight="1" x14ac:dyDescent="0.25">
      <c r="A132" s="13"/>
      <c r="B132" s="4"/>
      <c r="C132" s="213" t="s">
        <v>126</v>
      </c>
      <c r="D132" s="213"/>
      <c r="E132" s="57">
        <v>22.5</v>
      </c>
      <c r="F132" s="109">
        <f>IF(ISNUMBER($E$10),E132*$E$10*1.1,E132*$E$11*1.1)</f>
        <v>0</v>
      </c>
      <c r="G132" s="110"/>
      <c r="H132" s="71" t="s">
        <v>20</v>
      </c>
      <c r="K132" s="11"/>
    </row>
    <row r="133" spans="1:16" s="4" customFormat="1" ht="26.25" customHeight="1" thickBot="1" x14ac:dyDescent="0.3">
      <c r="A133" s="13"/>
      <c r="B133" s="5"/>
      <c r="C133" s="212" t="s">
        <v>127</v>
      </c>
      <c r="D133" s="212"/>
      <c r="E133" s="58">
        <v>2.5</v>
      </c>
      <c r="F133" s="109">
        <f>IF(ISNUMBER($E$10),E133*$E$10*1.1,E133*$E$11*1.1)</f>
        <v>0</v>
      </c>
      <c r="G133" s="110"/>
      <c r="H133" s="70" t="s">
        <v>20</v>
      </c>
      <c r="I133" s="5"/>
      <c r="J133" s="5"/>
      <c r="K133" s="5"/>
      <c r="L133" s="5"/>
      <c r="M133" s="5"/>
      <c r="N133" s="5"/>
      <c r="O133" s="5"/>
      <c r="P133" s="5"/>
    </row>
    <row r="134" spans="1:16" s="4" customFormat="1" ht="23.1" customHeight="1" thickBot="1" x14ac:dyDescent="0.3">
      <c r="A134" s="13"/>
      <c r="B134" s="5"/>
      <c r="C134" s="107" t="s">
        <v>160</v>
      </c>
      <c r="D134" s="108"/>
      <c r="E134" s="37">
        <f>SUM(E131:E133)</f>
        <v>45</v>
      </c>
      <c r="F134" s="210">
        <f>SUM(F132:G133)</f>
        <v>0</v>
      </c>
      <c r="G134" s="211"/>
      <c r="H134" s="71" t="s">
        <v>20</v>
      </c>
      <c r="I134" s="5" t="s">
        <v>9</v>
      </c>
      <c r="J134" s="5"/>
      <c r="K134" s="5"/>
      <c r="L134" s="5"/>
      <c r="M134" s="5"/>
      <c r="N134" s="5"/>
      <c r="O134" s="5"/>
      <c r="P134" s="5"/>
    </row>
    <row r="135" spans="1:16" s="5" customFormat="1" ht="26.25" customHeight="1" thickBot="1" x14ac:dyDescent="0.3">
      <c r="A135" s="12"/>
      <c r="B135" s="4" t="s">
        <v>24</v>
      </c>
      <c r="F135" s="20" t="s">
        <v>128</v>
      </c>
      <c r="H135" s="7"/>
      <c r="I135" s="5" t="s">
        <v>129</v>
      </c>
      <c r="J135" s="44"/>
    </row>
    <row r="136" spans="1:16" s="5" customFormat="1" ht="20.25" customHeight="1" x14ac:dyDescent="0.25">
      <c r="A136" s="13"/>
      <c r="F136" s="59" t="s">
        <v>130</v>
      </c>
      <c r="G136" s="105" t="str">
        <f>IF(J135&gt;0,CONCATENATE(J135," cycles"),"___cycles")</f>
        <v>___cycles</v>
      </c>
    </row>
    <row r="137" spans="1:16" s="5" customFormat="1" ht="20.45" customHeight="1" x14ac:dyDescent="0.25">
      <c r="A137" s="13"/>
      <c r="F137" s="60" t="s">
        <v>131</v>
      </c>
      <c r="G137" s="105"/>
      <c r="I137" s="106" t="s">
        <v>113</v>
      </c>
      <c r="J137" s="106"/>
      <c r="K137" s="106" t="s">
        <v>132</v>
      </c>
      <c r="L137" s="106"/>
    </row>
    <row r="138" spans="1:16" s="5" customFormat="1" ht="26.25" customHeight="1" x14ac:dyDescent="0.25">
      <c r="A138" s="13"/>
      <c r="F138" s="61" t="s">
        <v>133</v>
      </c>
      <c r="I138" s="106" t="s">
        <v>134</v>
      </c>
      <c r="J138" s="106"/>
      <c r="K138" s="128" t="str">
        <f>"10 - 12"</f>
        <v>10 - 12</v>
      </c>
      <c r="L138" s="128"/>
    </row>
    <row r="139" spans="1:16" s="5" customFormat="1" ht="26.25" customHeight="1" thickBot="1" x14ac:dyDescent="0.3">
      <c r="F139" s="62" t="s">
        <v>11</v>
      </c>
      <c r="I139" s="106" t="s">
        <v>135</v>
      </c>
      <c r="J139" s="106"/>
      <c r="K139" s="128" t="str">
        <f>"12 - 14"</f>
        <v>12 - 14</v>
      </c>
      <c r="L139" s="128"/>
    </row>
    <row r="140" spans="1:16" s="5" customFormat="1" ht="26.25" customHeight="1" thickBot="1" x14ac:dyDescent="0.3">
      <c r="B140" s="122" t="s">
        <v>136</v>
      </c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4"/>
    </row>
    <row r="141" spans="1:16" s="5" customFormat="1" ht="26.25" customHeight="1" thickBot="1" x14ac:dyDescent="0.3">
      <c r="A141" s="12"/>
      <c r="B141" s="4" t="s">
        <v>146</v>
      </c>
      <c r="F141" s="28"/>
      <c r="I141" s="49"/>
    </row>
    <row r="142" spans="1:16" s="5" customFormat="1" ht="26.25" customHeight="1" thickBot="1" x14ac:dyDescent="0.3">
      <c r="A142" s="12"/>
      <c r="B142" s="125" t="s">
        <v>26</v>
      </c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7"/>
    </row>
    <row r="143" spans="1:16" s="5" customFormat="1" ht="26.25" customHeight="1" x14ac:dyDescent="0.25">
      <c r="B143" s="33" t="s">
        <v>41</v>
      </c>
    </row>
    <row r="144" spans="1:16" s="5" customFormat="1" ht="20.25" customHeight="1" x14ac:dyDescent="0.25">
      <c r="B144" s="14"/>
      <c r="C144" s="15">
        <v>1</v>
      </c>
      <c r="D144" s="15">
        <v>2</v>
      </c>
      <c r="E144" s="15">
        <v>3</v>
      </c>
      <c r="F144" s="15">
        <v>4</v>
      </c>
      <c r="G144" s="15">
        <v>5</v>
      </c>
      <c r="H144" s="15">
        <v>6</v>
      </c>
      <c r="I144" s="15">
        <v>7</v>
      </c>
      <c r="J144" s="15">
        <v>8</v>
      </c>
      <c r="K144" s="15">
        <v>9</v>
      </c>
      <c r="L144" s="15">
        <v>10</v>
      </c>
      <c r="M144" s="15">
        <v>11</v>
      </c>
      <c r="N144" s="15">
        <v>12</v>
      </c>
    </row>
    <row r="145" spans="1:14" s="5" customFormat="1" ht="26.25" customHeight="1" x14ac:dyDescent="0.25">
      <c r="B145" s="16" t="s">
        <v>1</v>
      </c>
      <c r="C145" s="17" t="e">
        <f>IF(ISNUMBER($E$11),prep_table!$AB$2,prep_table!$AB$2)</f>
        <v>#DIV/0!</v>
      </c>
      <c r="D145" s="18" t="e">
        <f>IF(ISNUMBER($E$11),prep_table!$AB$3,prep_table!$AB$10)</f>
        <v>#DIV/0!</v>
      </c>
      <c r="E145" s="17" t="e">
        <f>IF(ISNUMBER($E$11),prep_table!$AB$4,prep_table!$AB$18)</f>
        <v>#DIV/0!</v>
      </c>
      <c r="F145" s="18" t="e">
        <f>IF(ISNUMBER($E$11),prep_table!$AB$5,prep_table!$AB$26)</f>
        <v>#DIV/0!</v>
      </c>
      <c r="G145" s="17" t="e">
        <f>IF(ISNUMBER($E$11),prep_table!$AB$6,prep_table!$AB$34)</f>
        <v>#DIV/0!</v>
      </c>
      <c r="H145" s="18" t="e">
        <f>IF(ISNUMBER($E$11),prep_table!$AB$7,prep_table!$AB$42)</f>
        <v>#DIV/0!</v>
      </c>
      <c r="I145" s="17" t="e">
        <f>IF(ISNUMBER($E$11),prep_table!$AB$8,prep_table!$AB$50)</f>
        <v>#DIV/0!</v>
      </c>
      <c r="J145" s="18" t="e">
        <f>IF(ISNUMBER($E$11),prep_table!$AB$9,prep_table!$AB$58)</f>
        <v>#DIV/0!</v>
      </c>
      <c r="K145" s="17" t="e">
        <f>IF(ISNUMBER($E$11),prep_table!$AB$10,prep_table!$AB$66)</f>
        <v>#DIV/0!</v>
      </c>
      <c r="L145" s="18" t="e">
        <f>IF(ISNUMBER($E$11),prep_table!$AB$11,prep_table!$AB$74)</f>
        <v>#DIV/0!</v>
      </c>
      <c r="M145" s="17" t="e">
        <f>IF(ISNUMBER($E$11),prep_table!$AB$12,prep_table!$AB$82)</f>
        <v>#DIV/0!</v>
      </c>
      <c r="N145" s="18" t="e">
        <f>IF(ISNUMBER($E$11),prep_table!$AB$13,prep_table!$AB$90)</f>
        <v>#DIV/0!</v>
      </c>
    </row>
    <row r="146" spans="1:14" s="5" customFormat="1" ht="26.25" customHeight="1" x14ac:dyDescent="0.25">
      <c r="B146" s="16" t="s">
        <v>2</v>
      </c>
      <c r="C146" s="17" t="e">
        <f>IF(ISNUMBER($E$11),prep_table!$AB$14,prep_table!$AB$3)</f>
        <v>#DIV/0!</v>
      </c>
      <c r="D146" s="18" t="e">
        <f>IF(ISNUMBER($E$11),prep_table!$AB$15,prep_table!$AB$11)</f>
        <v>#DIV/0!</v>
      </c>
      <c r="E146" s="17" t="e">
        <f>IF(ISNUMBER($E$11),prep_table!$AB$16,prep_table!$AB$19)</f>
        <v>#DIV/0!</v>
      </c>
      <c r="F146" s="18" t="e">
        <f>IF(ISNUMBER($E$11),prep_table!$AB$17,prep_table!$AB$27)</f>
        <v>#DIV/0!</v>
      </c>
      <c r="G146" s="17" t="e">
        <f>IF(ISNUMBER($E$11),prep_table!$AB$18,prep_table!$AB$35)</f>
        <v>#DIV/0!</v>
      </c>
      <c r="H146" s="18" t="e">
        <f>IF(ISNUMBER($E$11),prep_table!$AB$19,prep_table!$AB$43)</f>
        <v>#DIV/0!</v>
      </c>
      <c r="I146" s="17" t="e">
        <f>IF(ISNUMBER($E$11),prep_table!$AB$20,prep_table!$AB$51)</f>
        <v>#DIV/0!</v>
      </c>
      <c r="J146" s="18" t="e">
        <f>IF(ISNUMBER($E$11),prep_table!$AB$21,prep_table!$AB$59)</f>
        <v>#DIV/0!</v>
      </c>
      <c r="K146" s="17" t="e">
        <f>IF(ISNUMBER($E$11),prep_table!$AB$22,prep_table!$AB$67)</f>
        <v>#DIV/0!</v>
      </c>
      <c r="L146" s="18" t="e">
        <f>IF(ISNUMBER($E$11),prep_table!$AB$23,prep_table!$AB$75)</f>
        <v>#DIV/0!</v>
      </c>
      <c r="M146" s="17" t="e">
        <f>IF(ISNUMBER($E$11),prep_table!$AB$24,prep_table!$AB$83)</f>
        <v>#DIV/0!</v>
      </c>
      <c r="N146" s="18" t="e">
        <f>IF(ISNUMBER($E$11),prep_table!$AB$25,prep_table!$AB$91)</f>
        <v>#DIV/0!</v>
      </c>
    </row>
    <row r="147" spans="1:14" s="5" customFormat="1" ht="26.25" customHeight="1" x14ac:dyDescent="0.25">
      <c r="B147" s="16" t="s">
        <v>3</v>
      </c>
      <c r="C147" s="17" t="e">
        <f>IF(ISNUMBER($E$11),prep_table!$AB$26,prep_table!$AB$4)</f>
        <v>#DIV/0!</v>
      </c>
      <c r="D147" s="18" t="e">
        <f>IF(ISNUMBER($E$11),prep_table!$AB$27,prep_table!$AB$12)</f>
        <v>#DIV/0!</v>
      </c>
      <c r="E147" s="17" t="e">
        <f>IF(ISNUMBER($E$11),prep_table!$AB$28,prep_table!$AB$20)</f>
        <v>#DIV/0!</v>
      </c>
      <c r="F147" s="18" t="e">
        <f>IF(ISNUMBER($E$11),prep_table!$AB$29,prep_table!$AB$28)</f>
        <v>#DIV/0!</v>
      </c>
      <c r="G147" s="17" t="e">
        <f>IF(ISNUMBER($E$11),prep_table!$AB$30,prep_table!$AB$36)</f>
        <v>#DIV/0!</v>
      </c>
      <c r="H147" s="18" t="e">
        <f>IF(ISNUMBER($E$11),prep_table!$AB$31,prep_table!$AB$44)</f>
        <v>#DIV/0!</v>
      </c>
      <c r="I147" s="17" t="e">
        <f>IF(ISNUMBER($E$11),prep_table!$AB$32,prep_table!$AB$52)</f>
        <v>#DIV/0!</v>
      </c>
      <c r="J147" s="18" t="e">
        <f>IF(ISNUMBER($E$11),prep_table!$AB$33,prep_table!$AB$60)</f>
        <v>#DIV/0!</v>
      </c>
      <c r="K147" s="17" t="e">
        <f>IF(ISNUMBER($E$11),prep_table!$AB$34,prep_table!$AB$68)</f>
        <v>#DIV/0!</v>
      </c>
      <c r="L147" s="18" t="e">
        <f>IF(ISNUMBER($E$11),prep_table!$AB$35,prep_table!$AB$76)</f>
        <v>#DIV/0!</v>
      </c>
      <c r="M147" s="17" t="e">
        <f>IF(ISNUMBER($E$11),prep_table!$AB$36,prep_table!$AB$84)</f>
        <v>#DIV/0!</v>
      </c>
      <c r="N147" s="18" t="e">
        <f>IF(ISNUMBER($E$11),prep_table!$AB$37,prep_table!$AB$92)</f>
        <v>#DIV/0!</v>
      </c>
    </row>
    <row r="148" spans="1:14" s="5" customFormat="1" ht="26.25" customHeight="1" x14ac:dyDescent="0.25">
      <c r="B148" s="16" t="s">
        <v>4</v>
      </c>
      <c r="C148" s="17" t="e">
        <f>IF(ISNUMBER($E$11),prep_table!$AB$38,prep_table!$AB$5)</f>
        <v>#DIV/0!</v>
      </c>
      <c r="D148" s="18" t="e">
        <f>IF(ISNUMBER($E$11),prep_table!$AB$39,prep_table!$AB$13)</f>
        <v>#DIV/0!</v>
      </c>
      <c r="E148" s="17" t="e">
        <f>IF(ISNUMBER($E$11),prep_table!$AB$40,prep_table!$AB$21)</f>
        <v>#DIV/0!</v>
      </c>
      <c r="F148" s="18" t="e">
        <f>IF(ISNUMBER($E$11),prep_table!$AB$41,prep_table!$AB$29)</f>
        <v>#DIV/0!</v>
      </c>
      <c r="G148" s="17" t="e">
        <f>IF(ISNUMBER($E$11),prep_table!$AB$42,prep_table!$AB$37)</f>
        <v>#DIV/0!</v>
      </c>
      <c r="H148" s="18" t="e">
        <f>IF(ISNUMBER($E$11),prep_table!$AB$43,prep_table!$AB$45)</f>
        <v>#DIV/0!</v>
      </c>
      <c r="I148" s="17" t="e">
        <f>IF(ISNUMBER($E$11),prep_table!$AB$44,prep_table!$AB$53)</f>
        <v>#DIV/0!</v>
      </c>
      <c r="J148" s="18" t="e">
        <f>IF(ISNUMBER($E$11),prep_table!$AB$45,prep_table!$AB$61)</f>
        <v>#DIV/0!</v>
      </c>
      <c r="K148" s="17" t="e">
        <f>IF(ISNUMBER($E$11),prep_table!$AB$46,prep_table!$AB$69)</f>
        <v>#DIV/0!</v>
      </c>
      <c r="L148" s="18" t="e">
        <f>IF(ISNUMBER($E$11),prep_table!$AB$47,prep_table!$AB$77)</f>
        <v>#DIV/0!</v>
      </c>
      <c r="M148" s="17" t="e">
        <f>IF(ISNUMBER($E$11),prep_table!$AB$48,prep_table!$AB$85)</f>
        <v>#DIV/0!</v>
      </c>
      <c r="N148" s="18" t="e">
        <f>IF(ISNUMBER($E$11),prep_table!$AB$49,prep_table!$AB$93)</f>
        <v>#DIV/0!</v>
      </c>
    </row>
    <row r="149" spans="1:14" s="5" customFormat="1" ht="26.25" customHeight="1" x14ac:dyDescent="0.25">
      <c r="B149" s="16" t="s">
        <v>5</v>
      </c>
      <c r="C149" s="17" t="e">
        <f>IF(ISNUMBER($E$11),prep_table!$AB$50,prep_table!$AB$6)</f>
        <v>#DIV/0!</v>
      </c>
      <c r="D149" s="18" t="e">
        <f>IF(ISNUMBER($E$11),prep_table!$AB$51,prep_table!$AB$14)</f>
        <v>#DIV/0!</v>
      </c>
      <c r="E149" s="17" t="e">
        <f>IF(ISNUMBER($E$11),prep_table!$AB$52,prep_table!$AB$22)</f>
        <v>#DIV/0!</v>
      </c>
      <c r="F149" s="18" t="e">
        <f>IF(ISNUMBER($E$11),prep_table!$AB$53,prep_table!$AB$30)</f>
        <v>#DIV/0!</v>
      </c>
      <c r="G149" s="17" t="e">
        <f>IF(ISNUMBER($E$11),prep_table!$AB$54,prep_table!$AB$38)</f>
        <v>#DIV/0!</v>
      </c>
      <c r="H149" s="18" t="e">
        <f>IF(ISNUMBER($E$11),prep_table!$AB$55,prep_table!$AB$46)</f>
        <v>#DIV/0!</v>
      </c>
      <c r="I149" s="17" t="e">
        <f>IF(ISNUMBER($E$11),prep_table!$AB$56,prep_table!$AB$54)</f>
        <v>#DIV/0!</v>
      </c>
      <c r="J149" s="18" t="e">
        <f>IF(ISNUMBER($E$11),prep_table!$AB$57,prep_table!$AB$62)</f>
        <v>#DIV/0!</v>
      </c>
      <c r="K149" s="17" t="e">
        <f>IF(ISNUMBER($E$11),prep_table!$AB$58,prep_table!$AB$70)</f>
        <v>#DIV/0!</v>
      </c>
      <c r="L149" s="18" t="e">
        <f>IF(ISNUMBER($E$11),prep_table!$AB$59,prep_table!$AB$78)</f>
        <v>#DIV/0!</v>
      </c>
      <c r="M149" s="17" t="e">
        <f>IF(ISNUMBER($E$11),prep_table!$AB$60,prep_table!$AB$86)</f>
        <v>#DIV/0!</v>
      </c>
      <c r="N149" s="18" t="e">
        <f>IF(ISNUMBER($E$11),prep_table!$AB$61,prep_table!$AB$94)</f>
        <v>#DIV/0!</v>
      </c>
    </row>
    <row r="150" spans="1:14" s="5" customFormat="1" ht="26.25" customHeight="1" x14ac:dyDescent="0.25">
      <c r="B150" s="16" t="s">
        <v>6</v>
      </c>
      <c r="C150" s="17" t="e">
        <f>IF(ISNUMBER($E$11),prep_table!$AB$62,prep_table!$AB$7)</f>
        <v>#DIV/0!</v>
      </c>
      <c r="D150" s="18" t="e">
        <f>IF(ISNUMBER($E$11),prep_table!$AB$63,prep_table!$AB$15)</f>
        <v>#DIV/0!</v>
      </c>
      <c r="E150" s="17" t="e">
        <f>IF(ISNUMBER($E$11),prep_table!$AB$64,prep_table!$AB$23)</f>
        <v>#DIV/0!</v>
      </c>
      <c r="F150" s="18" t="e">
        <f>IF(ISNUMBER($E$11),prep_table!$AB$65,prep_table!$AB$31)</f>
        <v>#DIV/0!</v>
      </c>
      <c r="G150" s="17" t="e">
        <f>IF(ISNUMBER($E$11),prep_table!$AB$66,prep_table!$AB$39)</f>
        <v>#DIV/0!</v>
      </c>
      <c r="H150" s="18" t="e">
        <f>IF(ISNUMBER($E$11),prep_table!$AB$67,prep_table!$AB$47)</f>
        <v>#DIV/0!</v>
      </c>
      <c r="I150" s="17" t="e">
        <f>IF(ISNUMBER($E$11),prep_table!$AB$68,prep_table!$AB$55)</f>
        <v>#DIV/0!</v>
      </c>
      <c r="J150" s="18" t="e">
        <f>IF(ISNUMBER($E$11),prep_table!$AB$69,prep_table!$AB$63)</f>
        <v>#DIV/0!</v>
      </c>
      <c r="K150" s="17" t="e">
        <f>IF(ISNUMBER($E$11),prep_table!$AB$70,prep_table!$AB$71)</f>
        <v>#DIV/0!</v>
      </c>
      <c r="L150" s="18" t="e">
        <f>IF(ISNUMBER($E$11),prep_table!$AB$71,prep_table!$AB$79)</f>
        <v>#DIV/0!</v>
      </c>
      <c r="M150" s="17" t="e">
        <f>IF(ISNUMBER($E$11),prep_table!$AB$72,prep_table!$AB$87)</f>
        <v>#DIV/0!</v>
      </c>
      <c r="N150" s="18" t="e">
        <f>IF(ISNUMBER($E$11),prep_table!$AB$73,prep_table!$AB$95)</f>
        <v>#DIV/0!</v>
      </c>
    </row>
    <row r="151" spans="1:14" s="5" customFormat="1" ht="26.25" customHeight="1" x14ac:dyDescent="0.25">
      <c r="B151" s="16" t="s">
        <v>7</v>
      </c>
      <c r="C151" s="17" t="e">
        <f>IF(ISNUMBER($E$11),prep_table!$AB$74,prep_table!$AB$8)</f>
        <v>#DIV/0!</v>
      </c>
      <c r="D151" s="18" t="e">
        <f>IF(ISNUMBER($E$11),prep_table!$AB$75,prep_table!$AB$16)</f>
        <v>#DIV/0!</v>
      </c>
      <c r="E151" s="17" t="e">
        <f>IF(ISNUMBER($E$11),prep_table!$AB$76,prep_table!$AB$24)</f>
        <v>#DIV/0!</v>
      </c>
      <c r="F151" s="18" t="e">
        <f>IF(ISNUMBER($E$11),prep_table!$AB$77,prep_table!$AB$32)</f>
        <v>#DIV/0!</v>
      </c>
      <c r="G151" s="17" t="e">
        <f>IF(ISNUMBER($E$11),prep_table!$AB$78,prep_table!$AB$40)</f>
        <v>#DIV/0!</v>
      </c>
      <c r="H151" s="18" t="e">
        <f>IF(ISNUMBER($E$11),prep_table!$AB$79,prep_table!$AB$48)</f>
        <v>#DIV/0!</v>
      </c>
      <c r="I151" s="17" t="e">
        <f>IF(ISNUMBER($E$11),prep_table!$AB$80,prep_table!$AB$56)</f>
        <v>#DIV/0!</v>
      </c>
      <c r="J151" s="18" t="e">
        <f>IF(ISNUMBER($E$11),prep_table!$AB$81,prep_table!$AB$64)</f>
        <v>#DIV/0!</v>
      </c>
      <c r="K151" s="17" t="e">
        <f>IF(ISNUMBER($E$11),prep_table!$AB$82,prep_table!$AB$72)</f>
        <v>#DIV/0!</v>
      </c>
      <c r="L151" s="18" t="e">
        <f>IF(ISNUMBER($E$11),prep_table!$AB$83,prep_table!$AB$80)</f>
        <v>#DIV/0!</v>
      </c>
      <c r="M151" s="17" t="e">
        <f>IF(ISNUMBER($E$11),prep_table!$AB$84,prep_table!$AB$88)</f>
        <v>#DIV/0!</v>
      </c>
      <c r="N151" s="18" t="e">
        <f>IF(ISNUMBER($E$11),prep_table!$AB$85,prep_table!$AB$96)</f>
        <v>#DIV/0!</v>
      </c>
    </row>
    <row r="152" spans="1:14" s="5" customFormat="1" ht="26.25" customHeight="1" thickBot="1" x14ac:dyDescent="0.3">
      <c r="B152" s="16" t="s">
        <v>8</v>
      </c>
      <c r="C152" s="17" t="e">
        <f>IF(ISNUMBER($E$11),prep_table!$AB$86,prep_table!$AB$9)</f>
        <v>#DIV/0!</v>
      </c>
      <c r="D152" s="18" t="e">
        <f>IF(ISNUMBER($E$11),prep_table!$AB$87,prep_table!$AB$17)</f>
        <v>#DIV/0!</v>
      </c>
      <c r="E152" s="17" t="e">
        <f>IF(ISNUMBER($E$11),prep_table!$AB$88,prep_table!$AB$25)</f>
        <v>#DIV/0!</v>
      </c>
      <c r="F152" s="18" t="e">
        <f>IF(ISNUMBER($E$11),prep_table!$AB$89,prep_table!$AB$33)</f>
        <v>#DIV/0!</v>
      </c>
      <c r="G152" s="17" t="e">
        <f>IF(ISNUMBER($E$11),prep_table!$AB$90,prep_table!$AB$41)</f>
        <v>#DIV/0!</v>
      </c>
      <c r="H152" s="18" t="e">
        <f>IF(ISNUMBER($E$11),prep_table!$AB$91,prep_table!$AB$49)</f>
        <v>#DIV/0!</v>
      </c>
      <c r="I152" s="17" t="e">
        <f>IF(ISNUMBER($E$11),prep_table!$AB$92,prep_table!$AB$57)</f>
        <v>#DIV/0!</v>
      </c>
      <c r="J152" s="18" t="e">
        <f>IF(ISNUMBER($E$11),prep_table!$AB$93,prep_table!$AB$65)</f>
        <v>#DIV/0!</v>
      </c>
      <c r="K152" s="17" t="e">
        <f>IF(ISNUMBER($E$11),prep_table!$AB$94,prep_table!$AB$73)</f>
        <v>#DIV/0!</v>
      </c>
      <c r="L152" s="18" t="e">
        <f>IF(ISNUMBER($E$11),prep_table!$AB$95,prep_table!$AB$81)</f>
        <v>#DIV/0!</v>
      </c>
      <c r="M152" s="17" t="e">
        <f>IF(ISNUMBER($E$11),prep_table!$AB$96,prep_table!$AB$89)</f>
        <v>#DIV/0!</v>
      </c>
      <c r="N152" s="18" t="e">
        <f>IF(ISNUMBER($E$11),prep_table!$AB$97,prep_table!$AB$97)</f>
        <v>#DIV/0!</v>
      </c>
    </row>
    <row r="153" spans="1:14" s="5" customFormat="1" ht="26.25" customHeight="1" thickBot="1" x14ac:dyDescent="0.3">
      <c r="A153" s="29"/>
      <c r="B153" s="63" t="s">
        <v>147</v>
      </c>
      <c r="C153" s="4"/>
      <c r="E153" s="64"/>
    </row>
    <row r="154" spans="1:14" s="5" customFormat="1" ht="26.25" customHeight="1" thickBot="1" x14ac:dyDescent="0.3">
      <c r="A154" s="29"/>
      <c r="B154" s="4" t="s">
        <v>222</v>
      </c>
      <c r="C154"/>
      <c r="D154"/>
      <c r="E154"/>
    </row>
    <row r="155" spans="1:14" s="5" customFormat="1" ht="20.25" customHeight="1" x14ac:dyDescent="0.25">
      <c r="A155" s="27"/>
      <c r="B155" s="4"/>
      <c r="C155" s="86" t="s">
        <v>223</v>
      </c>
      <c r="D155"/>
      <c r="E155" s="63" t="s">
        <v>239</v>
      </c>
    </row>
    <row r="156" spans="1:14" s="5" customFormat="1" ht="20.25" customHeight="1" x14ac:dyDescent="0.25">
      <c r="A156" s="27"/>
      <c r="B156" s="4"/>
      <c r="C156" s="86" t="s">
        <v>244</v>
      </c>
      <c r="D156"/>
      <c r="E156" s="94" t="s">
        <v>245</v>
      </c>
    </row>
    <row r="157" spans="1:14" s="5" customFormat="1" ht="26.25" customHeight="1" x14ac:dyDescent="0.25">
      <c r="A157" s="27"/>
      <c r="C157" s="104" t="s">
        <v>225</v>
      </c>
      <c r="D157" s="104"/>
      <c r="E157" s="104"/>
      <c r="F157" s="104"/>
      <c r="G157" s="104"/>
      <c r="H157" s="104"/>
      <c r="I157" s="104"/>
      <c r="J157" s="104"/>
      <c r="K157" s="105" t="s">
        <v>226</v>
      </c>
      <c r="L157" s="105"/>
    </row>
    <row r="158" spans="1:14" s="5" customFormat="1" ht="26.25" customHeight="1" x14ac:dyDescent="0.25">
      <c r="A158" s="27"/>
      <c r="C158" s="104" t="s">
        <v>227</v>
      </c>
      <c r="D158" s="104"/>
      <c r="E158" s="104"/>
      <c r="F158" s="104"/>
      <c r="G158" s="104"/>
      <c r="H158" s="104"/>
      <c r="I158" s="104"/>
      <c r="J158" s="104"/>
      <c r="K158" s="105" t="s">
        <v>228</v>
      </c>
      <c r="L158" s="105"/>
    </row>
    <row r="159" spans="1:14" s="5" customFormat="1" ht="26.25" customHeight="1" x14ac:dyDescent="0.25">
      <c r="A159" s="27"/>
      <c r="C159" s="104" t="s">
        <v>240</v>
      </c>
      <c r="D159" s="104"/>
      <c r="E159" s="104"/>
      <c r="F159" s="104"/>
      <c r="G159" s="104"/>
      <c r="H159" s="104"/>
      <c r="I159" s="104"/>
      <c r="J159" s="104"/>
      <c r="K159" s="105" t="s">
        <v>241</v>
      </c>
      <c r="L159" s="105"/>
    </row>
    <row r="160" spans="1:14" s="5" customFormat="1" ht="26.25" customHeight="1" x14ac:dyDescent="0.25">
      <c r="A160" s="27"/>
      <c r="C160" s="104" t="s">
        <v>231</v>
      </c>
      <c r="D160" s="104"/>
      <c r="E160" s="104"/>
      <c r="F160" s="104"/>
      <c r="G160" s="104"/>
      <c r="H160" s="104"/>
      <c r="I160" s="104"/>
      <c r="J160" s="104"/>
      <c r="K160" s="105" t="s">
        <v>232</v>
      </c>
      <c r="L160" s="105"/>
    </row>
    <row r="161" spans="1:13" s="5" customFormat="1" ht="26.25" customHeight="1" x14ac:dyDescent="0.25"/>
    <row r="162" spans="1:13" s="5" customFormat="1" ht="26.25" customHeight="1" x14ac:dyDescent="0.25"/>
    <row r="163" spans="1:13" s="5" customFormat="1" ht="35.25" customHeight="1" x14ac:dyDescent="0.25">
      <c r="C163" s="209" t="s">
        <v>31</v>
      </c>
      <c r="D163" s="209"/>
      <c r="E163" s="209"/>
      <c r="F163" s="208" t="s">
        <v>233</v>
      </c>
      <c r="G163" s="208"/>
      <c r="H163" s="208"/>
      <c r="I163" s="208"/>
    </row>
    <row r="164" spans="1:13" s="5" customFormat="1" ht="26.25" customHeight="1" x14ac:dyDescent="0.25">
      <c r="C164" s="208" t="s">
        <v>32</v>
      </c>
      <c r="D164" s="208"/>
      <c r="E164" s="208"/>
      <c r="F164" s="208" t="s">
        <v>29</v>
      </c>
      <c r="G164" s="208"/>
      <c r="H164" s="208"/>
      <c r="I164" s="208"/>
    </row>
    <row r="165" spans="1:13" ht="15.75" x14ac:dyDescent="0.25">
      <c r="A165" s="5"/>
      <c r="B165" s="5"/>
      <c r="C165" s="208" t="s">
        <v>33</v>
      </c>
      <c r="D165" s="208"/>
      <c r="E165" s="208"/>
      <c r="F165" s="208" t="s">
        <v>30</v>
      </c>
      <c r="G165" s="208"/>
      <c r="H165" s="208"/>
      <c r="I165" s="208"/>
      <c r="J165" s="5"/>
      <c r="K165" s="5"/>
      <c r="L165" s="5"/>
      <c r="M165" s="5"/>
    </row>
    <row r="166" spans="1:13" ht="15.75" x14ac:dyDescent="0.25">
      <c r="A166" s="5"/>
      <c r="B166" s="5"/>
      <c r="C166" s="95" t="s">
        <v>34</v>
      </c>
      <c r="D166" s="96"/>
      <c r="E166" s="97"/>
      <c r="F166" s="208" t="s">
        <v>238</v>
      </c>
      <c r="G166" s="208"/>
      <c r="H166" s="208"/>
      <c r="I166" s="208"/>
      <c r="J166" s="5"/>
      <c r="K166" s="5"/>
      <c r="L166" s="5"/>
      <c r="M166" s="5"/>
    </row>
    <row r="167" spans="1:13" ht="15.75" x14ac:dyDescent="0.25">
      <c r="A167" s="5"/>
      <c r="B167" s="5"/>
      <c r="C167" s="95" t="s">
        <v>35</v>
      </c>
      <c r="D167" s="96"/>
      <c r="E167" s="97"/>
      <c r="F167" s="208" t="s">
        <v>27</v>
      </c>
      <c r="G167" s="208"/>
      <c r="H167" s="208"/>
      <c r="I167" s="208"/>
      <c r="J167" s="5"/>
      <c r="K167" s="5"/>
      <c r="L167" s="5"/>
      <c r="M167" s="5"/>
    </row>
    <row r="168" spans="1:13" ht="15.75" x14ac:dyDescent="0.25">
      <c r="A168" s="5"/>
      <c r="B168" s="5"/>
      <c r="C168" s="95" t="s">
        <v>36</v>
      </c>
      <c r="D168" s="96"/>
      <c r="E168" s="97"/>
      <c r="F168" s="208" t="s">
        <v>234</v>
      </c>
      <c r="G168" s="208"/>
      <c r="H168" s="208"/>
      <c r="I168" s="208"/>
      <c r="J168" s="5"/>
      <c r="K168" s="5"/>
      <c r="L168" s="5"/>
      <c r="M168" s="5"/>
    </row>
    <row r="169" spans="1:13" ht="15.75" x14ac:dyDescent="0.25">
      <c r="A169" s="5"/>
      <c r="B169" s="5"/>
      <c r="C169" s="95" t="s">
        <v>38</v>
      </c>
      <c r="D169" s="96"/>
      <c r="E169" s="97"/>
      <c r="F169" s="95">
        <v>20250820</v>
      </c>
      <c r="G169" s="96"/>
      <c r="H169" s="96"/>
      <c r="I169" s="97"/>
      <c r="J169" s="5"/>
      <c r="K169" s="5"/>
      <c r="L169" s="5"/>
      <c r="M169" s="5"/>
    </row>
    <row r="170" spans="1:13" ht="15.75" x14ac:dyDescent="0.25">
      <c r="A170" s="5"/>
      <c r="B170" s="5"/>
      <c r="C170" s="95" t="s">
        <v>37</v>
      </c>
      <c r="D170" s="96"/>
      <c r="E170" s="97"/>
      <c r="F170" s="95">
        <v>20250820</v>
      </c>
      <c r="G170" s="96"/>
      <c r="H170" s="96"/>
      <c r="I170" s="97"/>
      <c r="J170" s="5"/>
      <c r="K170" s="5"/>
      <c r="L170" s="5"/>
      <c r="M170" s="5"/>
    </row>
  </sheetData>
  <mergeCells count="130">
    <mergeCell ref="C157:J157"/>
    <mergeCell ref="K157:L157"/>
    <mergeCell ref="C158:J158"/>
    <mergeCell ref="K158:L158"/>
    <mergeCell ref="C159:J159"/>
    <mergeCell ref="K159:L159"/>
    <mergeCell ref="C160:J160"/>
    <mergeCell ref="K160:L160"/>
    <mergeCell ref="C80:D80"/>
    <mergeCell ref="C89:D89"/>
    <mergeCell ref="C100:D100"/>
    <mergeCell ref="C123:D123"/>
    <mergeCell ref="C134:D134"/>
    <mergeCell ref="F89:G89"/>
    <mergeCell ref="B92:N92"/>
    <mergeCell ref="B94:N94"/>
    <mergeCell ref="F96:G96"/>
    <mergeCell ref="C97:D97"/>
    <mergeCell ref="F97:G97"/>
    <mergeCell ref="J105:K105"/>
    <mergeCell ref="H106:I106"/>
    <mergeCell ref="J106:K106"/>
    <mergeCell ref="H107:I107"/>
    <mergeCell ref="J107:K107"/>
    <mergeCell ref="C1:J1"/>
    <mergeCell ref="A2:D2"/>
    <mergeCell ref="E2:G2"/>
    <mergeCell ref="A3:D3"/>
    <mergeCell ref="E3:G3"/>
    <mergeCell ref="A4:D4"/>
    <mergeCell ref="E4:G4"/>
    <mergeCell ref="J4:K4"/>
    <mergeCell ref="A9:D9"/>
    <mergeCell ref="E9:G9"/>
    <mergeCell ref="A6:D6"/>
    <mergeCell ref="E6:G6"/>
    <mergeCell ref="A11:D11"/>
    <mergeCell ref="B12:N12"/>
    <mergeCell ref="B41:N41"/>
    <mergeCell ref="F43:G43"/>
    <mergeCell ref="A5:D5"/>
    <mergeCell ref="E5:G5"/>
    <mergeCell ref="A7:D7"/>
    <mergeCell ref="E7:G7"/>
    <mergeCell ref="A8:D8"/>
    <mergeCell ref="E8:G8"/>
    <mergeCell ref="F52:G52"/>
    <mergeCell ref="C53:D53"/>
    <mergeCell ref="F53:G53"/>
    <mergeCell ref="C54:D54"/>
    <mergeCell ref="F54:G54"/>
    <mergeCell ref="F55:G55"/>
    <mergeCell ref="C44:D44"/>
    <mergeCell ref="F44:G44"/>
    <mergeCell ref="C45:D45"/>
    <mergeCell ref="F45:G45"/>
    <mergeCell ref="F46:G46"/>
    <mergeCell ref="B50:N50"/>
    <mergeCell ref="B73:N73"/>
    <mergeCell ref="F76:G76"/>
    <mergeCell ref="C77:D77"/>
    <mergeCell ref="F77:G77"/>
    <mergeCell ref="C78:D78"/>
    <mergeCell ref="F78:G78"/>
    <mergeCell ref="B56:N56"/>
    <mergeCell ref="F58:G58"/>
    <mergeCell ref="C59:D59"/>
    <mergeCell ref="F59:G59"/>
    <mergeCell ref="C60:D60"/>
    <mergeCell ref="F60:G60"/>
    <mergeCell ref="C79:D79"/>
    <mergeCell ref="F79:G79"/>
    <mergeCell ref="F80:G80"/>
    <mergeCell ref="B84:N84"/>
    <mergeCell ref="F86:G86"/>
    <mergeCell ref="C87:D87"/>
    <mergeCell ref="F87:G87"/>
    <mergeCell ref="J87:N88"/>
    <mergeCell ref="C88:D88"/>
    <mergeCell ref="F88:G88"/>
    <mergeCell ref="C98:D98"/>
    <mergeCell ref="F98:G98"/>
    <mergeCell ref="C99:D99"/>
    <mergeCell ref="F99:G99"/>
    <mergeCell ref="F100:G100"/>
    <mergeCell ref="B104:N104"/>
    <mergeCell ref="F132:G132"/>
    <mergeCell ref="F119:G119"/>
    <mergeCell ref="C120:D120"/>
    <mergeCell ref="F120:G120"/>
    <mergeCell ref="C121:D121"/>
    <mergeCell ref="F121:G121"/>
    <mergeCell ref="C122:D122"/>
    <mergeCell ref="F122:G122"/>
    <mergeCell ref="H105:I105"/>
    <mergeCell ref="K138:L138"/>
    <mergeCell ref="I139:J139"/>
    <mergeCell ref="K139:L139"/>
    <mergeCell ref="B140:N140"/>
    <mergeCell ref="B142:N142"/>
    <mergeCell ref="C133:D133"/>
    <mergeCell ref="F133:G133"/>
    <mergeCell ref="F134:G134"/>
    <mergeCell ref="G136:G137"/>
    <mergeCell ref="I137:J137"/>
    <mergeCell ref="K137:L137"/>
    <mergeCell ref="C169:E169"/>
    <mergeCell ref="F169:I169"/>
    <mergeCell ref="C170:E170"/>
    <mergeCell ref="F170:I170"/>
    <mergeCell ref="A10:D10"/>
    <mergeCell ref="C166:E166"/>
    <mergeCell ref="F166:I166"/>
    <mergeCell ref="C167:E167"/>
    <mergeCell ref="F167:I167"/>
    <mergeCell ref="C168:E168"/>
    <mergeCell ref="F168:I168"/>
    <mergeCell ref="C163:E163"/>
    <mergeCell ref="F163:I163"/>
    <mergeCell ref="C164:E164"/>
    <mergeCell ref="F164:I164"/>
    <mergeCell ref="C165:E165"/>
    <mergeCell ref="F165:I165"/>
    <mergeCell ref="I138:J138"/>
    <mergeCell ref="F123:G123"/>
    <mergeCell ref="B127:N127"/>
    <mergeCell ref="F130:G130"/>
    <mergeCell ref="C131:D131"/>
    <mergeCell ref="F131:G131"/>
    <mergeCell ref="C132:D132"/>
  </mergeCells>
  <conditionalFormatting sqref="C24:N31">
    <cfRule type="cellIs" dxfId="32" priority="16" operator="equal">
      <formula>4.5</formula>
    </cfRule>
    <cfRule type="cellIs" dxfId="31" priority="17" operator="equal">
      <formula>3.5</formula>
    </cfRule>
    <cfRule type="cellIs" dxfId="30" priority="18" operator="equal">
      <formula>2.5</formula>
    </cfRule>
    <cfRule type="cellIs" dxfId="29" priority="19" operator="equal">
      <formula>1.5</formula>
    </cfRule>
    <cfRule type="cellIs" dxfId="28" priority="20" operator="equal">
      <formula>5</formula>
    </cfRule>
    <cfRule type="cellIs" dxfId="27" priority="21" operator="equal">
      <formula>4</formula>
    </cfRule>
    <cfRule type="cellIs" dxfId="26" priority="22" operator="equal">
      <formula>3</formula>
    </cfRule>
    <cfRule type="cellIs" dxfId="25" priority="23" operator="equal">
      <formula>2</formula>
    </cfRule>
    <cfRule type="cellIs" dxfId="24" priority="24" operator="equal">
      <formula>1</formula>
    </cfRule>
  </conditionalFormatting>
  <conditionalFormatting sqref="C33:N40">
    <cfRule type="cellIs" dxfId="23" priority="1" operator="equal">
      <formula>4.5</formula>
    </cfRule>
    <cfRule type="cellIs" dxfId="22" priority="2" operator="equal">
      <formula>3.5</formula>
    </cfRule>
    <cfRule type="cellIs" dxfId="21" priority="3" operator="equal">
      <formula>2.5</formula>
    </cfRule>
    <cfRule type="cellIs" dxfId="20" priority="4" operator="equal">
      <formula>1.5</formula>
    </cfRule>
    <cfRule type="cellIs" dxfId="19" priority="5" operator="equal">
      <formula>5</formula>
    </cfRule>
    <cfRule type="cellIs" dxfId="18" priority="6" operator="equal">
      <formula>4</formula>
    </cfRule>
    <cfRule type="cellIs" dxfId="17" priority="7" operator="equal">
      <formula>3</formula>
    </cfRule>
    <cfRule type="cellIs" dxfId="16" priority="8" operator="equal">
      <formula>2</formula>
    </cfRule>
    <cfRule type="cellIs" dxfId="15" priority="9" operator="equal">
      <formula>1</formula>
    </cfRule>
  </conditionalFormatting>
  <conditionalFormatting sqref="R23:AC31">
    <cfRule type="cellIs" dxfId="14" priority="25" operator="equal">
      <formula>0</formula>
    </cfRule>
    <cfRule type="cellIs" dxfId="13" priority="26" operator="equal">
      <formula>1</formula>
    </cfRule>
    <cfRule type="cellIs" dxfId="12" priority="27" operator="equal">
      <formula>2</formula>
    </cfRule>
    <cfRule type="cellIs" dxfId="11" priority="28" operator="equal">
      <formula>3</formula>
    </cfRule>
    <cfRule type="cellIs" dxfId="10" priority="29" operator="equal">
      <formula>4</formula>
    </cfRule>
    <cfRule type="cellIs" dxfId="9" priority="30" operator="equal">
      <formula>5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0</xdr:col>
                    <xdr:colOff>38100</xdr:colOff>
                    <xdr:row>141</xdr:row>
                    <xdr:rowOff>47625</xdr:rowOff>
                  </from>
                  <to>
                    <xdr:col>0</xdr:col>
                    <xdr:colOff>390525</xdr:colOff>
                    <xdr:row>141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134</xdr:row>
                    <xdr:rowOff>47625</xdr:rowOff>
                  </from>
                  <to>
                    <xdr:col>0</xdr:col>
                    <xdr:colOff>390525</xdr:colOff>
                    <xdr:row>134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>
                <anchor moveWithCells="1">
                  <from>
                    <xdr:col>0</xdr:col>
                    <xdr:colOff>38100</xdr:colOff>
                    <xdr:row>107</xdr:row>
                    <xdr:rowOff>47625</xdr:rowOff>
                  </from>
                  <to>
                    <xdr:col>0</xdr:col>
                    <xdr:colOff>390525</xdr:colOff>
                    <xdr:row>108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>
                <anchor moveWithCells="1">
                  <from>
                    <xdr:col>0</xdr:col>
                    <xdr:colOff>38100</xdr:colOff>
                    <xdr:row>94</xdr:row>
                    <xdr:rowOff>47625</xdr:rowOff>
                  </from>
                  <to>
                    <xdr:col>0</xdr:col>
                    <xdr:colOff>390525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>
                <anchor moveWithCells="1">
                  <from>
                    <xdr:col>0</xdr:col>
                    <xdr:colOff>38100</xdr:colOff>
                    <xdr:row>80</xdr:row>
                    <xdr:rowOff>47625</xdr:rowOff>
                  </from>
                  <to>
                    <xdr:col>0</xdr:col>
                    <xdr:colOff>390525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9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76</xdr:row>
                    <xdr:rowOff>47625</xdr:rowOff>
                  </from>
                  <to>
                    <xdr:col>0</xdr:col>
                    <xdr:colOff>390525</xdr:colOff>
                    <xdr:row>76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0" name="Check Box 8">
              <controlPr defaultSize="0" autoFill="0" autoLine="0" autoPict="0">
                <anchor moveWithCells="1">
                  <from>
                    <xdr:col>0</xdr:col>
                    <xdr:colOff>38100</xdr:colOff>
                    <xdr:row>73</xdr:row>
                    <xdr:rowOff>47625</xdr:rowOff>
                  </from>
                  <to>
                    <xdr:col>0</xdr:col>
                    <xdr:colOff>390525</xdr:colOff>
                    <xdr:row>73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1" name="Check Box 9">
              <controlPr defaultSize="0" autoFill="0" autoLine="0" autoPict="0">
                <anchor moveWithCells="1">
                  <from>
                    <xdr:col>0</xdr:col>
                    <xdr:colOff>38100</xdr:colOff>
                    <xdr:row>61</xdr:row>
                    <xdr:rowOff>47625</xdr:rowOff>
                  </from>
                  <to>
                    <xdr:col>0</xdr:col>
                    <xdr:colOff>390525</xdr:colOff>
                    <xdr:row>61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2" name="Check Box 10">
              <controlPr defaultSize="0" autoFill="0" autoLine="0" autoPict="0">
                <anchor moveWithCells="1">
                  <from>
                    <xdr:col>0</xdr:col>
                    <xdr:colOff>38100</xdr:colOff>
                    <xdr:row>50</xdr:row>
                    <xdr:rowOff>47625</xdr:rowOff>
                  </from>
                  <to>
                    <xdr:col>0</xdr:col>
                    <xdr:colOff>390525</xdr:colOff>
                    <xdr:row>50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3" name="Check Box 11">
              <controlPr defaultSize="0" autoFill="0" autoLine="0" autoPict="0">
                <anchor moveWithCells="1">
                  <from>
                    <xdr:col>0</xdr:col>
                    <xdr:colOff>38100</xdr:colOff>
                    <xdr:row>43</xdr:row>
                    <xdr:rowOff>47625</xdr:rowOff>
                  </from>
                  <to>
                    <xdr:col>0</xdr:col>
                    <xdr:colOff>390525</xdr:colOff>
                    <xdr:row>43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4" name="Check Box 12">
              <controlPr defaultSize="0" autoFill="0" autoLine="0" autoPict="0">
                <anchor moveWithCells="1">
                  <from>
                    <xdr:col>0</xdr:col>
                    <xdr:colOff>38100</xdr:colOff>
                    <xdr:row>41</xdr:row>
                    <xdr:rowOff>47625</xdr:rowOff>
                  </from>
                  <to>
                    <xdr:col>0</xdr:col>
                    <xdr:colOff>390525</xdr:colOff>
                    <xdr:row>41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5" name="Check Box 13">
              <controlPr defaultSize="0" autoFill="0" autoLine="0" autoPict="0">
                <anchor moveWithCells="1">
                  <from>
                    <xdr:col>0</xdr:col>
                    <xdr:colOff>38100</xdr:colOff>
                    <xdr:row>12</xdr:row>
                    <xdr:rowOff>47625</xdr:rowOff>
                  </from>
                  <to>
                    <xdr:col>0</xdr:col>
                    <xdr:colOff>390525</xdr:colOff>
                    <xdr:row>12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6" name="Check Box 14">
              <controlPr defaultSize="0" autoFill="0" autoLine="0" autoPict="0">
                <anchor moveWithCells="1">
                  <from>
                    <xdr:col>0</xdr:col>
                    <xdr:colOff>38100</xdr:colOff>
                    <xdr:row>47</xdr:row>
                    <xdr:rowOff>47625</xdr:rowOff>
                  </from>
                  <to>
                    <xdr:col>0</xdr:col>
                    <xdr:colOff>390525</xdr:colOff>
                    <xdr:row>47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7" name="Check Box 15">
              <controlPr defaultSize="0" autoFill="0" autoLine="0" autoPict="0">
                <anchor moveWithCells="1">
                  <from>
                    <xdr:col>0</xdr:col>
                    <xdr:colOff>38100</xdr:colOff>
                    <xdr:row>46</xdr:row>
                    <xdr:rowOff>47625</xdr:rowOff>
                  </from>
                  <to>
                    <xdr:col>0</xdr:col>
                    <xdr:colOff>390525</xdr:colOff>
                    <xdr:row>46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8" name="Check Box 16">
              <controlPr defaultSize="0" autoFill="0" autoLine="0" autoPict="0">
                <anchor moveWithCells="1">
                  <from>
                    <xdr:col>0</xdr:col>
                    <xdr:colOff>38100</xdr:colOff>
                    <xdr:row>48</xdr:row>
                    <xdr:rowOff>47625</xdr:rowOff>
                  </from>
                  <to>
                    <xdr:col>0</xdr:col>
                    <xdr:colOff>390525</xdr:colOff>
                    <xdr:row>48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9" name="Check Box 17">
              <controlPr defaultSize="0" autoFill="0" autoLine="0" autoPict="0">
                <anchor moveWithCells="1">
                  <from>
                    <xdr:col>0</xdr:col>
                    <xdr:colOff>38100</xdr:colOff>
                    <xdr:row>52</xdr:row>
                    <xdr:rowOff>47625</xdr:rowOff>
                  </from>
                  <to>
                    <xdr:col>0</xdr:col>
                    <xdr:colOff>390525</xdr:colOff>
                    <xdr:row>52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0" name="Check Box 18">
              <controlPr defaultSize="0" autoFill="0" autoLine="0" autoPict="0">
                <anchor moveWithCells="1">
                  <from>
                    <xdr:col>0</xdr:col>
                    <xdr:colOff>38100</xdr:colOff>
                    <xdr:row>56</xdr:row>
                    <xdr:rowOff>47625</xdr:rowOff>
                  </from>
                  <to>
                    <xdr:col>0</xdr:col>
                    <xdr:colOff>390525</xdr:colOff>
                    <xdr:row>56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1" name="Check Box 20">
              <controlPr defaultSize="0" autoFill="0" autoLine="0" autoPict="0">
                <anchor moveWithCells="1">
                  <from>
                    <xdr:col>0</xdr:col>
                    <xdr:colOff>38100</xdr:colOff>
                    <xdr:row>60</xdr:row>
                    <xdr:rowOff>47625</xdr:rowOff>
                  </from>
                  <to>
                    <xdr:col>0</xdr:col>
                    <xdr:colOff>390525</xdr:colOff>
                    <xdr:row>60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2" name="Check Box 21">
              <controlPr defaultSize="0" autoFill="0" autoLine="0" autoPict="0">
                <anchor moveWithCells="1">
                  <from>
                    <xdr:col>0</xdr:col>
                    <xdr:colOff>38100</xdr:colOff>
                    <xdr:row>63</xdr:row>
                    <xdr:rowOff>47625</xdr:rowOff>
                  </from>
                  <to>
                    <xdr:col>0</xdr:col>
                    <xdr:colOff>390525</xdr:colOff>
                    <xdr:row>63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3" name="Check Box 22">
              <controlPr defaultSize="0" autoFill="0" autoLine="0" autoPict="0">
                <anchor moveWithCells="1">
                  <from>
                    <xdr:col>0</xdr:col>
                    <xdr:colOff>38100</xdr:colOff>
                    <xdr:row>65</xdr:row>
                    <xdr:rowOff>47625</xdr:rowOff>
                  </from>
                  <to>
                    <xdr:col>0</xdr:col>
                    <xdr:colOff>390525</xdr:colOff>
                    <xdr:row>65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4" name="Check Box 23">
              <controlPr defaultSize="0" autoFill="0" autoLine="0" autoPict="0">
                <anchor moveWithCells="1">
                  <from>
                    <xdr:col>0</xdr:col>
                    <xdr:colOff>38100</xdr:colOff>
                    <xdr:row>67</xdr:row>
                    <xdr:rowOff>47625</xdr:rowOff>
                  </from>
                  <to>
                    <xdr:col>0</xdr:col>
                    <xdr:colOff>390525</xdr:colOff>
                    <xdr:row>67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5" name="Check Box 24">
              <controlPr defaultSize="0" autoFill="0" autoLine="0" autoPict="0">
                <anchor moveWithCells="1">
                  <from>
                    <xdr:col>0</xdr:col>
                    <xdr:colOff>38100</xdr:colOff>
                    <xdr:row>69</xdr:row>
                    <xdr:rowOff>47625</xdr:rowOff>
                  </from>
                  <to>
                    <xdr:col>0</xdr:col>
                    <xdr:colOff>390525</xdr:colOff>
                    <xdr:row>69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6" name="Check Box 25">
              <controlPr defaultSize="0" autoFill="0" autoLine="0" autoPict="0">
                <anchor moveWithCells="1">
                  <from>
                    <xdr:col>0</xdr:col>
                    <xdr:colOff>38100</xdr:colOff>
                    <xdr:row>71</xdr:row>
                    <xdr:rowOff>47625</xdr:rowOff>
                  </from>
                  <to>
                    <xdr:col>0</xdr:col>
                    <xdr:colOff>390525</xdr:colOff>
                    <xdr:row>71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7" name="Check Box 26">
              <controlPr defaultSize="0" autoFill="0" autoLine="0" autoPict="0">
                <anchor moveWithCells="1">
                  <from>
                    <xdr:col>0</xdr:col>
                    <xdr:colOff>38100</xdr:colOff>
                    <xdr:row>74</xdr:row>
                    <xdr:rowOff>47625</xdr:rowOff>
                  </from>
                  <to>
                    <xdr:col>0</xdr:col>
                    <xdr:colOff>390525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8" name="Check Box 27">
              <controlPr defaultSize="0" autoFill="0" autoLine="0" autoPict="0">
                <anchor moveWithCells="1">
                  <from>
                    <xdr:col>0</xdr:col>
                    <xdr:colOff>38100</xdr:colOff>
                    <xdr:row>86</xdr:row>
                    <xdr:rowOff>47625</xdr:rowOff>
                  </from>
                  <to>
                    <xdr:col>0</xdr:col>
                    <xdr:colOff>390525</xdr:colOff>
                    <xdr:row>86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29" name="Check Box 28">
              <controlPr defaultSize="0" autoFill="0" autoLine="0" autoPict="0">
                <anchor moveWithCells="1">
                  <from>
                    <xdr:col>0</xdr:col>
                    <xdr:colOff>38100</xdr:colOff>
                    <xdr:row>84</xdr:row>
                    <xdr:rowOff>47625</xdr:rowOff>
                  </from>
                  <to>
                    <xdr:col>0</xdr:col>
                    <xdr:colOff>390525</xdr:colOff>
                    <xdr:row>84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0" name="Check Box 29">
              <controlPr defaultSize="0" autoFill="0" autoLine="0" autoPict="0">
                <anchor moveWithCells="1">
                  <from>
                    <xdr:col>0</xdr:col>
                    <xdr:colOff>38100</xdr:colOff>
                    <xdr:row>84</xdr:row>
                    <xdr:rowOff>47625</xdr:rowOff>
                  </from>
                  <to>
                    <xdr:col>0</xdr:col>
                    <xdr:colOff>390525</xdr:colOff>
                    <xdr:row>84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1" name="Check Box 30">
              <controlPr defaultSize="0" autoFill="0" autoLine="0" autoPict="0">
                <anchor moveWithCells="1">
                  <from>
                    <xdr:col>0</xdr:col>
                    <xdr:colOff>38100</xdr:colOff>
                    <xdr:row>89</xdr:row>
                    <xdr:rowOff>47625</xdr:rowOff>
                  </from>
                  <to>
                    <xdr:col>0</xdr:col>
                    <xdr:colOff>390525</xdr:colOff>
                    <xdr:row>89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2" name="Check Box 32">
              <controlPr defaultSize="0" autoFill="0" autoLine="0" autoPict="0">
                <anchor moveWithCells="1">
                  <from>
                    <xdr:col>0</xdr:col>
                    <xdr:colOff>38100</xdr:colOff>
                    <xdr:row>96</xdr:row>
                    <xdr:rowOff>47625</xdr:rowOff>
                  </from>
                  <to>
                    <xdr:col>0</xdr:col>
                    <xdr:colOff>390525</xdr:colOff>
                    <xdr:row>96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3" name="Check Box 33">
              <controlPr defaultSize="0" autoFill="0" autoLine="0" autoPict="0">
                <anchor moveWithCells="1">
                  <from>
                    <xdr:col>0</xdr:col>
                    <xdr:colOff>38100</xdr:colOff>
                    <xdr:row>100</xdr:row>
                    <xdr:rowOff>47625</xdr:rowOff>
                  </from>
                  <to>
                    <xdr:col>0</xdr:col>
                    <xdr:colOff>390525</xdr:colOff>
                    <xdr:row>100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4" name="Check Box 34">
              <controlPr defaultSize="0" autoFill="0" autoLine="0" autoPict="0">
                <anchor moveWithCells="1">
                  <from>
                    <xdr:col>0</xdr:col>
                    <xdr:colOff>38100</xdr:colOff>
                    <xdr:row>104</xdr:row>
                    <xdr:rowOff>47625</xdr:rowOff>
                  </from>
                  <to>
                    <xdr:col>0</xdr:col>
                    <xdr:colOff>390525</xdr:colOff>
                    <xdr:row>105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5" name="Check Box 35">
              <controlPr defaultSize="0" autoFill="0" autoLine="0" autoPict="0">
                <anchor moveWithCells="1">
                  <from>
                    <xdr:col>0</xdr:col>
                    <xdr:colOff>38100</xdr:colOff>
                    <xdr:row>117</xdr:row>
                    <xdr:rowOff>47625</xdr:rowOff>
                  </from>
                  <to>
                    <xdr:col>0</xdr:col>
                    <xdr:colOff>390525</xdr:colOff>
                    <xdr:row>117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6" name="Check Box 36">
              <controlPr defaultSize="0" autoFill="0" autoLine="0" autoPict="0">
                <anchor moveWithCells="1">
                  <from>
                    <xdr:col>0</xdr:col>
                    <xdr:colOff>38100</xdr:colOff>
                    <xdr:row>119</xdr:row>
                    <xdr:rowOff>47625</xdr:rowOff>
                  </from>
                  <to>
                    <xdr:col>0</xdr:col>
                    <xdr:colOff>390525</xdr:colOff>
                    <xdr:row>119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37" name="Check Box 37">
              <controlPr defaultSize="0" autoFill="0" autoLine="0" autoPict="0">
                <anchor moveWithCells="1">
                  <from>
                    <xdr:col>0</xdr:col>
                    <xdr:colOff>38100</xdr:colOff>
                    <xdr:row>123</xdr:row>
                    <xdr:rowOff>47625</xdr:rowOff>
                  </from>
                  <to>
                    <xdr:col>0</xdr:col>
                    <xdr:colOff>390525</xdr:colOff>
                    <xdr:row>123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38" name="Check Box 38">
              <controlPr defaultSize="0" autoFill="0" autoLine="0" autoPict="0">
                <anchor moveWithCells="1">
                  <from>
                    <xdr:col>0</xdr:col>
                    <xdr:colOff>38100</xdr:colOff>
                    <xdr:row>124</xdr:row>
                    <xdr:rowOff>47625</xdr:rowOff>
                  </from>
                  <to>
                    <xdr:col>0</xdr:col>
                    <xdr:colOff>390525</xdr:colOff>
                    <xdr:row>124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39" name="Check Box 39">
              <controlPr defaultSize="0" autoFill="0" autoLine="0" autoPict="0">
                <anchor moveWithCells="1">
                  <from>
                    <xdr:col>0</xdr:col>
                    <xdr:colOff>38100</xdr:colOff>
                    <xdr:row>125</xdr:row>
                    <xdr:rowOff>47625</xdr:rowOff>
                  </from>
                  <to>
                    <xdr:col>0</xdr:col>
                    <xdr:colOff>390525</xdr:colOff>
                    <xdr:row>125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0" name="Check Box 40">
              <controlPr defaultSize="0" autoFill="0" autoLine="0" autoPict="0">
                <anchor moveWithCells="1">
                  <from>
                    <xdr:col>0</xdr:col>
                    <xdr:colOff>38100</xdr:colOff>
                    <xdr:row>127</xdr:row>
                    <xdr:rowOff>47625</xdr:rowOff>
                  </from>
                  <to>
                    <xdr:col>0</xdr:col>
                    <xdr:colOff>390525</xdr:colOff>
                    <xdr:row>127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1" name="Check Box 41">
              <controlPr defaultSize="0" autoFill="0" autoLine="0" autoPict="0">
                <anchor moveWithCells="1">
                  <from>
                    <xdr:col>0</xdr:col>
                    <xdr:colOff>38100</xdr:colOff>
                    <xdr:row>128</xdr:row>
                    <xdr:rowOff>47625</xdr:rowOff>
                  </from>
                  <to>
                    <xdr:col>0</xdr:col>
                    <xdr:colOff>390525</xdr:colOff>
                    <xdr:row>128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2" name="Check Box 42">
              <controlPr defaultSize="0" autoFill="0" autoLine="0" autoPict="0">
                <anchor moveWithCells="1">
                  <from>
                    <xdr:col>0</xdr:col>
                    <xdr:colOff>38100</xdr:colOff>
                    <xdr:row>130</xdr:row>
                    <xdr:rowOff>47625</xdr:rowOff>
                  </from>
                  <to>
                    <xdr:col>0</xdr:col>
                    <xdr:colOff>390525</xdr:colOff>
                    <xdr:row>130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3" name="Check Box 43">
              <controlPr defaultSize="0" autoFill="0" autoLine="0" autoPict="0">
                <anchor moveWithCells="1">
                  <from>
                    <xdr:col>0</xdr:col>
                    <xdr:colOff>38100</xdr:colOff>
                    <xdr:row>57</xdr:row>
                    <xdr:rowOff>47625</xdr:rowOff>
                  </from>
                  <to>
                    <xdr:col>0</xdr:col>
                    <xdr:colOff>390525</xdr:colOff>
                    <xdr:row>57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4" name="Check Box 44">
              <controlPr defaultSize="0" autoFill="0" autoLine="0" autoPict="0">
                <anchor moveWithCells="1">
                  <from>
                    <xdr:col>0</xdr:col>
                    <xdr:colOff>38100</xdr:colOff>
                    <xdr:row>64</xdr:row>
                    <xdr:rowOff>47625</xdr:rowOff>
                  </from>
                  <to>
                    <xdr:col>0</xdr:col>
                    <xdr:colOff>390525</xdr:colOff>
                    <xdr:row>64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5" name="Check Box 45">
              <controlPr defaultSize="0" autoFill="0" autoLine="0" autoPict="0">
                <anchor moveWithCells="1">
                  <from>
                    <xdr:col>0</xdr:col>
                    <xdr:colOff>38100</xdr:colOff>
                    <xdr:row>68</xdr:row>
                    <xdr:rowOff>47625</xdr:rowOff>
                  </from>
                  <to>
                    <xdr:col>0</xdr:col>
                    <xdr:colOff>390525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6" name="Check Box 46">
              <controlPr defaultSize="0" autoFill="0" autoLine="0" autoPict="0">
                <anchor moveWithCells="1">
                  <from>
                    <xdr:col>0</xdr:col>
                    <xdr:colOff>38100</xdr:colOff>
                    <xdr:row>92</xdr:row>
                    <xdr:rowOff>66675</xdr:rowOff>
                  </from>
                  <to>
                    <xdr:col>0</xdr:col>
                    <xdr:colOff>390525</xdr:colOff>
                    <xdr:row>92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47" name="Check Box 47">
              <controlPr defaultSize="0" autoFill="0" autoLine="0" autoPict="0">
                <anchor moveWithCells="1">
                  <from>
                    <xdr:col>0</xdr:col>
                    <xdr:colOff>38100</xdr:colOff>
                    <xdr:row>140</xdr:row>
                    <xdr:rowOff>47625</xdr:rowOff>
                  </from>
                  <to>
                    <xdr:col>0</xdr:col>
                    <xdr:colOff>390525</xdr:colOff>
                    <xdr:row>140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48" name="Check Box 48">
              <controlPr defaultSize="0" autoFill="0" autoLine="0" autoPict="0">
                <anchor moveWithCells="1">
                  <from>
                    <xdr:col>0</xdr:col>
                    <xdr:colOff>38100</xdr:colOff>
                    <xdr:row>152</xdr:row>
                    <xdr:rowOff>0</xdr:rowOff>
                  </from>
                  <to>
                    <xdr:col>0</xdr:col>
                    <xdr:colOff>390525</xdr:colOff>
                    <xdr:row>153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49" name="Check Box 49">
              <controlPr defaultSize="0" autoFill="0" autoLine="0" autoPict="0">
                <anchor moveWithCells="1">
                  <from>
                    <xdr:col>0</xdr:col>
                    <xdr:colOff>28575</xdr:colOff>
                    <xdr:row>152</xdr:row>
                    <xdr:rowOff>0</xdr:rowOff>
                  </from>
                  <to>
                    <xdr:col>0</xdr:col>
                    <xdr:colOff>390525</xdr:colOff>
                    <xdr:row>153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0" name="Check Box 50">
              <controlPr defaultSize="0" autoFill="0" autoLine="0" autoPict="0">
                <anchor moveWithCells="1">
                  <from>
                    <xdr:col>0</xdr:col>
                    <xdr:colOff>28575</xdr:colOff>
                    <xdr:row>153</xdr:row>
                    <xdr:rowOff>0</xdr:rowOff>
                  </from>
                  <to>
                    <xdr:col>0</xdr:col>
                    <xdr:colOff>390525</xdr:colOff>
                    <xdr:row>154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4B7C-1A8F-4C59-9863-66339052AF2E}">
  <dimension ref="A1:O179"/>
  <sheetViews>
    <sheetView zoomScaleNormal="100" workbookViewId="0">
      <selection activeCell="A6" sqref="A6:D6"/>
    </sheetView>
  </sheetViews>
  <sheetFormatPr defaultColWidth="8.85546875" defaultRowHeight="15.75" x14ac:dyDescent="0.25"/>
  <cols>
    <col min="1" max="1" width="4.42578125" style="5" customWidth="1"/>
    <col min="2" max="2" width="5.140625" style="5" customWidth="1"/>
    <col min="3" max="3" width="7.85546875" style="5" customWidth="1"/>
    <col min="4" max="4" width="12.42578125" style="5" customWidth="1"/>
    <col min="5" max="5" width="11.85546875" style="5" customWidth="1"/>
    <col min="6" max="6" width="13" style="5" customWidth="1"/>
    <col min="7" max="7" width="9.42578125" style="5" customWidth="1"/>
    <col min="8" max="11" width="7.42578125" style="5" customWidth="1"/>
    <col min="12" max="12" width="8.140625" style="5" customWidth="1"/>
    <col min="13" max="13" width="8" style="5" customWidth="1"/>
    <col min="14" max="15" width="8.5703125" style="5"/>
  </cols>
  <sheetData>
    <row r="1" spans="1:15" ht="24.95" customHeight="1" x14ac:dyDescent="0.25">
      <c r="B1" s="6"/>
      <c r="C1" s="202" t="s">
        <v>148</v>
      </c>
      <c r="D1" s="202"/>
      <c r="E1" s="202"/>
      <c r="F1" s="202"/>
      <c r="G1" s="202"/>
      <c r="H1" s="202"/>
      <c r="I1" s="202"/>
      <c r="J1" s="202"/>
    </row>
    <row r="2" spans="1:15" ht="24.95" customHeight="1" x14ac:dyDescent="0.25">
      <c r="A2" s="101" t="s">
        <v>40</v>
      </c>
      <c r="B2" s="102"/>
      <c r="C2" s="102"/>
      <c r="D2" s="103"/>
      <c r="E2" s="196"/>
      <c r="F2" s="197"/>
      <c r="G2" s="198"/>
    </row>
    <row r="3" spans="1:15" ht="24.95" customHeight="1" x14ac:dyDescent="0.25">
      <c r="A3" s="203" t="s">
        <v>16</v>
      </c>
      <c r="B3" s="204"/>
      <c r="C3" s="204"/>
      <c r="D3" s="205"/>
      <c r="E3" s="196"/>
      <c r="F3" s="197"/>
      <c r="G3" s="198"/>
      <c r="J3" s="30"/>
      <c r="K3" s="35" t="s">
        <v>18</v>
      </c>
      <c r="L3" s="30">
        <v>1</v>
      </c>
    </row>
    <row r="4" spans="1:15" ht="44.25" customHeight="1" x14ac:dyDescent="0.25">
      <c r="A4" s="193" t="s">
        <v>149</v>
      </c>
      <c r="B4" s="194"/>
      <c r="C4" s="194"/>
      <c r="D4" s="195"/>
      <c r="E4" s="196"/>
      <c r="F4" s="197"/>
      <c r="G4" s="198"/>
      <c r="J4" s="206" t="s">
        <v>28</v>
      </c>
      <c r="K4" s="207"/>
      <c r="L4" s="8"/>
    </row>
    <row r="5" spans="1:15" ht="54" customHeight="1" x14ac:dyDescent="0.25">
      <c r="A5" s="193" t="s">
        <v>67</v>
      </c>
      <c r="B5" s="194"/>
      <c r="C5" s="194"/>
      <c r="D5" s="195"/>
      <c r="E5" s="196"/>
      <c r="F5" s="197"/>
      <c r="G5" s="198"/>
    </row>
    <row r="6" spans="1:15" ht="54" customHeight="1" x14ac:dyDescent="0.25">
      <c r="A6" s="193" t="s">
        <v>150</v>
      </c>
      <c r="B6" s="194"/>
      <c r="C6" s="194"/>
      <c r="D6" s="195"/>
      <c r="E6" s="65"/>
      <c r="F6" s="66"/>
      <c r="G6" s="67"/>
    </row>
    <row r="7" spans="1:15" ht="24.95" customHeight="1" x14ac:dyDescent="0.25">
      <c r="A7" s="101" t="s">
        <v>13</v>
      </c>
      <c r="B7" s="102"/>
      <c r="C7" s="102"/>
      <c r="D7" s="103"/>
      <c r="E7" s="199"/>
      <c r="F7" s="200"/>
      <c r="G7" s="201"/>
    </row>
    <row r="8" spans="1:15" ht="24.95" customHeight="1" x14ac:dyDescent="0.25">
      <c r="A8" s="101" t="s">
        <v>14</v>
      </c>
      <c r="B8" s="102"/>
      <c r="C8" s="102"/>
      <c r="D8" s="103"/>
      <c r="E8" s="196"/>
      <c r="F8" s="197"/>
      <c r="G8" s="198"/>
    </row>
    <row r="9" spans="1:15" ht="24.95" customHeight="1" x14ac:dyDescent="0.25">
      <c r="A9" s="184" t="s">
        <v>39</v>
      </c>
      <c r="B9" s="185"/>
      <c r="C9" s="185"/>
      <c r="D9" s="186"/>
      <c r="E9" s="187"/>
      <c r="F9" s="188"/>
      <c r="G9" s="189"/>
    </row>
    <row r="10" spans="1:15" ht="24.95" customHeight="1" x14ac:dyDescent="0.25">
      <c r="A10" s="101" t="s">
        <v>235</v>
      </c>
      <c r="B10" s="102"/>
      <c r="C10" s="102"/>
      <c r="D10" s="103"/>
      <c r="E10" s="32">
        <v>16</v>
      </c>
      <c r="F10" s="10" t="b">
        <f>MOD($E$10,8)=0</f>
        <v>1</v>
      </c>
      <c r="G10" s="10">
        <f>ROUNDDOWN(($E$10/8),0)</f>
        <v>2</v>
      </c>
      <c r="H10" s="10">
        <f>$E$10-$G$10*8</f>
        <v>0</v>
      </c>
      <c r="I10" s="10"/>
    </row>
    <row r="11" spans="1:15" ht="24.95" customHeight="1" thickBot="1" x14ac:dyDescent="0.3">
      <c r="A11" s="101" t="s">
        <v>140</v>
      </c>
      <c r="B11" s="102"/>
      <c r="C11" s="102"/>
      <c r="D11" s="103"/>
      <c r="E11" s="32"/>
      <c r="F11" s="10" t="b">
        <f>MOD($E$11,12)=0</f>
        <v>1</v>
      </c>
      <c r="G11" s="10">
        <f>ROUNDDOWN(($E$11/12),0)</f>
        <v>0</v>
      </c>
      <c r="H11" s="10">
        <f>$E$11-$G$11*12</f>
        <v>0</v>
      </c>
      <c r="I11" s="10"/>
    </row>
    <row r="12" spans="1:15" ht="24.95" customHeight="1" thickBot="1" x14ac:dyDescent="0.3">
      <c r="B12" s="190" t="s">
        <v>17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2"/>
    </row>
    <row r="13" spans="1:15" ht="24.95" customHeight="1" thickBot="1" x14ac:dyDescent="0.3">
      <c r="A13" s="12"/>
      <c r="B13" s="4" t="s">
        <v>151</v>
      </c>
    </row>
    <row r="14" spans="1:15" ht="18.95" customHeight="1" x14ac:dyDescent="0.25">
      <c r="A14" s="13"/>
      <c r="B14" s="14"/>
      <c r="C14" s="15">
        <v>1</v>
      </c>
      <c r="D14" s="15">
        <v>2</v>
      </c>
      <c r="E14" s="15">
        <v>3</v>
      </c>
      <c r="F14" s="15">
        <v>4</v>
      </c>
      <c r="G14" s="15">
        <v>5</v>
      </c>
      <c r="H14" s="15">
        <v>6</v>
      </c>
      <c r="I14" s="15">
        <v>7</v>
      </c>
      <c r="J14" s="15">
        <v>8</v>
      </c>
      <c r="K14" s="15">
        <v>9</v>
      </c>
      <c r="L14" s="15">
        <v>10</v>
      </c>
      <c r="M14" s="15">
        <v>11</v>
      </c>
      <c r="N14" s="15">
        <v>12</v>
      </c>
      <c r="O14" s="14"/>
    </row>
    <row r="15" spans="1:15" ht="24.95" customHeight="1" x14ac:dyDescent="0.25">
      <c r="A15" s="13"/>
      <c r="B15" s="16" t="s">
        <v>1</v>
      </c>
      <c r="C15" s="17">
        <f>IF(ISNUMBER($E$11),prep_table!$C$2,prep_table!$C$2)</f>
        <v>0</v>
      </c>
      <c r="D15" s="18">
        <f>IF(ISNUMBER($E$11),prep_table!$C$3,prep_table!$C$10)</f>
        <v>0</v>
      </c>
      <c r="E15" s="17">
        <f>IF(ISNUMBER($E$11),prep_table!$C$4,prep_table!$C$18)</f>
        <v>0</v>
      </c>
      <c r="F15" s="18">
        <f>IF(ISNUMBER($E$11),prep_table!$C$5,prep_table!$C$26)</f>
        <v>0</v>
      </c>
      <c r="G15" s="17">
        <f>IF(ISNUMBER($E$11),prep_table!$C$6,prep_table!$C$34)</f>
        <v>0</v>
      </c>
      <c r="H15" s="18">
        <f>IF(ISNUMBER($E$11),prep_table!$C$7,prep_table!$C$42)</f>
        <v>0</v>
      </c>
      <c r="I15" s="17">
        <f>IF(ISNUMBER($E$11),prep_table!$C$8,prep_table!$C$50)</f>
        <v>0</v>
      </c>
      <c r="J15" s="18">
        <f>IF(ISNUMBER($E$11),prep_table!$C$9,prep_table!$C$58)</f>
        <v>0</v>
      </c>
      <c r="K15" s="17">
        <f>IF(ISNUMBER($E$11),prep_table!$C$10,prep_table!$C$66)</f>
        <v>0</v>
      </c>
      <c r="L15" s="18">
        <f>IF(ISNUMBER($E$11),prep_table!$C$11,prep_table!$C$74)</f>
        <v>0</v>
      </c>
      <c r="M15" s="17">
        <f>IF(ISNUMBER($E$11),prep_table!$C$12,prep_table!$C$82)</f>
        <v>0</v>
      </c>
      <c r="N15" s="18">
        <f>IF(ISNUMBER($E$11),prep_table!$C$13,prep_table!$C$90)</f>
        <v>0</v>
      </c>
      <c r="O15" s="19"/>
    </row>
    <row r="16" spans="1:15" ht="24.95" customHeight="1" x14ac:dyDescent="0.25">
      <c r="A16" s="13"/>
      <c r="B16" s="16" t="s">
        <v>2</v>
      </c>
      <c r="C16" s="17">
        <f>IF(ISNUMBER($E$11),prep_table!$C$14,prep_table!$C$3)</f>
        <v>0</v>
      </c>
      <c r="D16" s="18">
        <f>IF(ISNUMBER($E$11),prep_table!$C$15,prep_table!$C$11)</f>
        <v>0</v>
      </c>
      <c r="E16" s="17">
        <f>IF(ISNUMBER($E$11),prep_table!$C$16,prep_table!$C$19)</f>
        <v>0</v>
      </c>
      <c r="F16" s="18">
        <f>IF(ISNUMBER($E$11),prep_table!$C$17,prep_table!$C$27)</f>
        <v>0</v>
      </c>
      <c r="G16" s="17">
        <f>IF(ISNUMBER($E$11),prep_table!$C$18,prep_table!$C$35)</f>
        <v>0</v>
      </c>
      <c r="H16" s="18">
        <f>IF(ISNUMBER($E$11),prep_table!$C$19,prep_table!$C$43)</f>
        <v>0</v>
      </c>
      <c r="I16" s="17">
        <f>IF(ISNUMBER($E$11),prep_table!$C$20,prep_table!$C$51)</f>
        <v>0</v>
      </c>
      <c r="J16" s="18">
        <f>IF(ISNUMBER($E$11),prep_table!$C$21,prep_table!$C$59)</f>
        <v>0</v>
      </c>
      <c r="K16" s="17">
        <f>IF(ISNUMBER($E$11),prep_table!$C$22,prep_table!$C$67)</f>
        <v>0</v>
      </c>
      <c r="L16" s="18">
        <f>IF(ISNUMBER($E$11),prep_table!$C$23,prep_table!$C$75)</f>
        <v>0</v>
      </c>
      <c r="M16" s="17">
        <f>IF(ISNUMBER($E$11),prep_table!$C$24,prep_table!$C$83)</f>
        <v>0</v>
      </c>
      <c r="N16" s="18">
        <f>IF(ISNUMBER($E$11),prep_table!$C$25,prep_table!$C$91)</f>
        <v>0</v>
      </c>
      <c r="O16" s="19"/>
    </row>
    <row r="17" spans="1:15" ht="24.95" customHeight="1" x14ac:dyDescent="0.25">
      <c r="A17" s="13"/>
      <c r="B17" s="16" t="s">
        <v>3</v>
      </c>
      <c r="C17" s="17">
        <f>IF(ISNUMBER($E$11),prep_table!$C$26,prep_table!$C$4)</f>
        <v>0</v>
      </c>
      <c r="D17" s="18">
        <f>IF(ISNUMBER($E$11),prep_table!$C$27,prep_table!$C$12)</f>
        <v>0</v>
      </c>
      <c r="E17" s="17">
        <f>IF(ISNUMBER($E$11),prep_table!$C$28,prep_table!$C$20)</f>
        <v>0</v>
      </c>
      <c r="F17" s="18">
        <f>IF(ISNUMBER($E$11),prep_table!$C$29,prep_table!$C$28)</f>
        <v>0</v>
      </c>
      <c r="G17" s="17">
        <f>IF(ISNUMBER($E$11),prep_table!$C$30,prep_table!$C$36)</f>
        <v>0</v>
      </c>
      <c r="H17" s="18">
        <f>IF(ISNUMBER($E$11),prep_table!$C$31,prep_table!$C$44)</f>
        <v>0</v>
      </c>
      <c r="I17" s="17">
        <f>IF(ISNUMBER($E$11),prep_table!$C$32,prep_table!$C$52)</f>
        <v>0</v>
      </c>
      <c r="J17" s="18">
        <f>IF(ISNUMBER($E$11),prep_table!$C$33,prep_table!$C$60)</f>
        <v>0</v>
      </c>
      <c r="K17" s="17">
        <f>IF(ISNUMBER($E$11),prep_table!$C$34,prep_table!$C$68)</f>
        <v>0</v>
      </c>
      <c r="L17" s="18">
        <f>IF(ISNUMBER($E$11),prep_table!$C$35,prep_table!$C$76)</f>
        <v>0</v>
      </c>
      <c r="M17" s="17">
        <f>IF(ISNUMBER($E$11),prep_table!$C$36,prep_table!$C$84)</f>
        <v>0</v>
      </c>
      <c r="N17" s="18">
        <f>IF(ISNUMBER($E$11),prep_table!$C$37,prep_table!$C$92)</f>
        <v>0</v>
      </c>
      <c r="O17" s="19"/>
    </row>
    <row r="18" spans="1:15" ht="24.95" customHeight="1" x14ac:dyDescent="0.25">
      <c r="A18" s="13"/>
      <c r="B18" s="16" t="s">
        <v>4</v>
      </c>
      <c r="C18" s="17">
        <f>IF(ISNUMBER($E$11),prep_table!$C$38,prep_table!$C$5)</f>
        <v>0</v>
      </c>
      <c r="D18" s="18">
        <f>IF(ISNUMBER($E$11),prep_table!$C$39,prep_table!$C$13)</f>
        <v>0</v>
      </c>
      <c r="E18" s="17">
        <f>IF(ISNUMBER($E$11),prep_table!$C$40,prep_table!$C$21)</f>
        <v>0</v>
      </c>
      <c r="F18" s="18">
        <f>IF(ISNUMBER($E$11),prep_table!$C$41,prep_table!$C$29)</f>
        <v>0</v>
      </c>
      <c r="G18" s="17">
        <f>IF(ISNUMBER($E$11),prep_table!$C$42,prep_table!$C$37)</f>
        <v>0</v>
      </c>
      <c r="H18" s="18">
        <f>IF(ISNUMBER($E$11),prep_table!$C$43,prep_table!$C$45)</f>
        <v>0</v>
      </c>
      <c r="I18" s="17">
        <f>IF(ISNUMBER($E$11),prep_table!$C$44,prep_table!$C$53)</f>
        <v>0</v>
      </c>
      <c r="J18" s="18">
        <f>IF(ISNUMBER($E$11),prep_table!$C$45,prep_table!$C$61)</f>
        <v>0</v>
      </c>
      <c r="K18" s="17">
        <f>IF(ISNUMBER($E$11),prep_table!$C$46,prep_table!$C$69)</f>
        <v>0</v>
      </c>
      <c r="L18" s="18">
        <f>IF(ISNUMBER($E$11),prep_table!$C$47,prep_table!$C$77)</f>
        <v>0</v>
      </c>
      <c r="M18" s="17">
        <f>IF(ISNUMBER($E$11),prep_table!$C$48,prep_table!$C$85)</f>
        <v>0</v>
      </c>
      <c r="N18" s="18">
        <f>IF(ISNUMBER($E$11),prep_table!$C$49,prep_table!$C$93)</f>
        <v>0</v>
      </c>
      <c r="O18" s="19"/>
    </row>
    <row r="19" spans="1:15" ht="24.95" customHeight="1" x14ac:dyDescent="0.25">
      <c r="A19" s="13"/>
      <c r="B19" s="16" t="s">
        <v>5</v>
      </c>
      <c r="C19" s="17">
        <f>IF(ISNUMBER($E$11),prep_table!$C$50,prep_table!$C$6)</f>
        <v>0</v>
      </c>
      <c r="D19" s="18">
        <f>IF(ISNUMBER($E$11),prep_table!$C$51,prep_table!$C$14)</f>
        <v>0</v>
      </c>
      <c r="E19" s="17">
        <f>IF(ISNUMBER($E$11),prep_table!$C$52,prep_table!$C$22)</f>
        <v>0</v>
      </c>
      <c r="F19" s="18">
        <f>IF(ISNUMBER($E$11),prep_table!$C$53,prep_table!$C$30)</f>
        <v>0</v>
      </c>
      <c r="G19" s="17">
        <f>IF(ISNUMBER($E$11),prep_table!$C$54,prep_table!$C$38)</f>
        <v>0</v>
      </c>
      <c r="H19" s="18">
        <f>IF(ISNUMBER($E$11),prep_table!$C$55,prep_table!$C$46)</f>
        <v>0</v>
      </c>
      <c r="I19" s="17">
        <f>IF(ISNUMBER($E$11),prep_table!$C$56,prep_table!$C$54)</f>
        <v>0</v>
      </c>
      <c r="J19" s="18">
        <f>IF(ISNUMBER($E$11),prep_table!$C$57,prep_table!$C$62)</f>
        <v>0</v>
      </c>
      <c r="K19" s="17">
        <f>IF(ISNUMBER($E$11),prep_table!$C$58,prep_table!$C$70)</f>
        <v>0</v>
      </c>
      <c r="L19" s="18">
        <f>IF(ISNUMBER($E$11),prep_table!$C$59,prep_table!$C$78)</f>
        <v>0</v>
      </c>
      <c r="M19" s="17">
        <f>IF(ISNUMBER($E$11),prep_table!$C$60,prep_table!$C$86)</f>
        <v>0</v>
      </c>
      <c r="N19" s="18">
        <f>IF(ISNUMBER($E$11),prep_table!$C$61,prep_table!$C$94)</f>
        <v>0</v>
      </c>
      <c r="O19" s="19"/>
    </row>
    <row r="20" spans="1:15" ht="24.95" customHeight="1" x14ac:dyDescent="0.25">
      <c r="A20" s="13"/>
      <c r="B20" s="16" t="s">
        <v>6</v>
      </c>
      <c r="C20" s="17">
        <f>IF(ISNUMBER($E$11),prep_table!$C$62,prep_table!$C$7)</f>
        <v>0</v>
      </c>
      <c r="D20" s="18">
        <f>IF(ISNUMBER($E$11),prep_table!$C$63,prep_table!$C$15)</f>
        <v>0</v>
      </c>
      <c r="E20" s="17">
        <f>IF(ISNUMBER($E$11),prep_table!$C$64,prep_table!$C$23)</f>
        <v>0</v>
      </c>
      <c r="F20" s="18">
        <f>IF(ISNUMBER($E$11),prep_table!$C$65,prep_table!$C$31)</f>
        <v>0</v>
      </c>
      <c r="G20" s="17">
        <f>IF(ISNUMBER($E$11),prep_table!$C$66,prep_table!$C$39)</f>
        <v>0</v>
      </c>
      <c r="H20" s="18">
        <f>IF(ISNUMBER($E$11),prep_table!$C$67,prep_table!$C$47)</f>
        <v>0</v>
      </c>
      <c r="I20" s="17">
        <f>IF(ISNUMBER($E$11),prep_table!$C$68,prep_table!$C$55)</f>
        <v>0</v>
      </c>
      <c r="J20" s="18">
        <f>IF(ISNUMBER($E$11),prep_table!$C$69,prep_table!$C$63)</f>
        <v>0</v>
      </c>
      <c r="K20" s="17">
        <f>IF(ISNUMBER($E$11),prep_table!$C$70,prep_table!$C$71)</f>
        <v>0</v>
      </c>
      <c r="L20" s="18">
        <f>IF(ISNUMBER($E$11),prep_table!$C$71,prep_table!$C$79)</f>
        <v>0</v>
      </c>
      <c r="M20" s="17">
        <f>IF(ISNUMBER($E$11),prep_table!$C$72,prep_table!$C$87)</f>
        <v>0</v>
      </c>
      <c r="N20" s="18">
        <f>IF(ISNUMBER($E$11),prep_table!$C$73,prep_table!$C$95)</f>
        <v>0</v>
      </c>
      <c r="O20" s="19"/>
    </row>
    <row r="21" spans="1:15" ht="24.95" customHeight="1" x14ac:dyDescent="0.25">
      <c r="A21" s="13"/>
      <c r="B21" s="16" t="s">
        <v>7</v>
      </c>
      <c r="C21" s="17">
        <f>IF(ISNUMBER($E$11),prep_table!$C$74,prep_table!$C$8)</f>
        <v>0</v>
      </c>
      <c r="D21" s="18">
        <f>IF(ISNUMBER($E$11),prep_table!$C$75,prep_table!$C$16)</f>
        <v>0</v>
      </c>
      <c r="E21" s="17">
        <f>IF(ISNUMBER($E$11),prep_table!$C$76,prep_table!$C$24)</f>
        <v>0</v>
      </c>
      <c r="F21" s="18">
        <f>IF(ISNUMBER($E$11),prep_table!$C$77,prep_table!$C$32)</f>
        <v>0</v>
      </c>
      <c r="G21" s="17">
        <f>IF(ISNUMBER($E$11),prep_table!$C$78,prep_table!$C$40)</f>
        <v>0</v>
      </c>
      <c r="H21" s="18">
        <f>IF(ISNUMBER($E$11),prep_table!$C$79,prep_table!$C$48)</f>
        <v>0</v>
      </c>
      <c r="I21" s="17">
        <f>IF(ISNUMBER($E$11),prep_table!$C$80,prep_table!$C$56)</f>
        <v>0</v>
      </c>
      <c r="J21" s="18">
        <f>IF(ISNUMBER($E$11),prep_table!$C$81,prep_table!$C$64)</f>
        <v>0</v>
      </c>
      <c r="K21" s="17">
        <f>IF(ISNUMBER($E$11),prep_table!$C$82,prep_table!$C$72)</f>
        <v>0</v>
      </c>
      <c r="L21" s="18">
        <f>IF(ISNUMBER($E$11),prep_table!$C$83,prep_table!$C$80)</f>
        <v>0</v>
      </c>
      <c r="M21" s="17">
        <f>IF(ISNUMBER($E$11),prep_table!$C$84,prep_table!$C$88)</f>
        <v>0</v>
      </c>
      <c r="N21" s="18">
        <f>IF(ISNUMBER($E$11),prep_table!$C$85,prep_table!$C$96)</f>
        <v>0</v>
      </c>
      <c r="O21" s="19"/>
    </row>
    <row r="22" spans="1:15" ht="24.95" customHeight="1" x14ac:dyDescent="0.25">
      <c r="A22" s="13"/>
      <c r="B22" s="16" t="s">
        <v>8</v>
      </c>
      <c r="C22" s="17">
        <f>IF(ISNUMBER($E$11),prep_table!$C$86,prep_table!$C$9)</f>
        <v>0</v>
      </c>
      <c r="D22" s="18">
        <f>IF(ISNUMBER($E$11),prep_table!$C$87,prep_table!$C$17)</f>
        <v>0</v>
      </c>
      <c r="E22" s="17">
        <f>IF(ISNUMBER($E$11),prep_table!$C$88,prep_table!$C$25)</f>
        <v>0</v>
      </c>
      <c r="F22" s="18">
        <f>IF(ISNUMBER($E$11),prep_table!$C$89,prep_table!$C$33)</f>
        <v>0</v>
      </c>
      <c r="G22" s="17">
        <f>IF(ISNUMBER($E$11),prep_table!$C$90,prep_table!$C$41)</f>
        <v>0</v>
      </c>
      <c r="H22" s="18">
        <f>IF(ISNUMBER($E$11),prep_table!$C$91,prep_table!$C$49)</f>
        <v>0</v>
      </c>
      <c r="I22" s="17">
        <f>IF(ISNUMBER($E$11),prep_table!$C$92,prep_table!$C$57)</f>
        <v>0</v>
      </c>
      <c r="J22" s="18">
        <f>IF(ISNUMBER($E$11),prep_table!$C$93,prep_table!$C$65)</f>
        <v>0</v>
      </c>
      <c r="K22" s="17">
        <f>IF(ISNUMBER($E$11),prep_table!$C$94,prep_table!$C$73)</f>
        <v>0</v>
      </c>
      <c r="L22" s="18">
        <f>IF(ISNUMBER($E$11),prep_table!$C$95,prep_table!$C$81)</f>
        <v>0</v>
      </c>
      <c r="M22" s="17">
        <f>IF(ISNUMBER($E$11),prep_table!$C$96,prep_table!$C$89)</f>
        <v>0</v>
      </c>
      <c r="N22" s="18">
        <f>IF(ISNUMBER($E$11),prep_table!$C$97,prep_table!$C$97)</f>
        <v>0</v>
      </c>
      <c r="O22" s="19"/>
    </row>
    <row r="23" spans="1:15" ht="16.5" customHeight="1" x14ac:dyDescent="0.25">
      <c r="A23" s="5" t="s">
        <v>25</v>
      </c>
      <c r="C23" s="15">
        <v>1</v>
      </c>
      <c r="D23" s="15">
        <v>2</v>
      </c>
      <c r="E23" s="15">
        <v>3</v>
      </c>
      <c r="F23" s="15">
        <v>4</v>
      </c>
      <c r="G23" s="15">
        <v>5</v>
      </c>
      <c r="H23" s="15">
        <v>6</v>
      </c>
      <c r="I23" s="15">
        <v>7</v>
      </c>
      <c r="J23" s="15">
        <v>8</v>
      </c>
      <c r="K23" s="15">
        <v>9</v>
      </c>
      <c r="L23" s="15">
        <v>10</v>
      </c>
      <c r="M23" s="15">
        <v>11</v>
      </c>
      <c r="N23" s="15">
        <v>12</v>
      </c>
      <c r="O23" s="19"/>
    </row>
    <row r="24" spans="1:15" ht="24.95" customHeight="1" x14ac:dyDescent="0.25">
      <c r="B24" s="16" t="s">
        <v>1</v>
      </c>
      <c r="C24" s="34">
        <f>IF(ISNUMBER($E$11),prep_table!$O$2,prep_table!$O$2)</f>
        <v>5</v>
      </c>
      <c r="D24" s="34">
        <f>IF(ISNUMBER($E$11),prep_table!$O$3,prep_table!$O$10)</f>
        <v>5</v>
      </c>
      <c r="E24" s="34">
        <f>IF(ISNUMBER($E$11),prep_table!$O$4,prep_table!$O$18)</f>
        <v>5</v>
      </c>
      <c r="F24" s="34">
        <f>IF(ISNUMBER($E$11),prep_table!$O$5,prep_table!$O$26)</f>
        <v>5</v>
      </c>
      <c r="G24" s="34">
        <f>IF(ISNUMBER($E$11),prep_table!$O$6,prep_table!$O$34)</f>
        <v>5</v>
      </c>
      <c r="H24" s="34">
        <f>IF(ISNUMBER($E$11),prep_table!$O$7,prep_table!$O$42)</f>
        <v>5</v>
      </c>
      <c r="I24" s="34">
        <f>IF(ISNUMBER($E$11),prep_table!$O$8,prep_table!$O$50)</f>
        <v>5</v>
      </c>
      <c r="J24" s="34">
        <f>IF(ISNUMBER($E$11),prep_table!$O$9,prep_table!$O$58)</f>
        <v>5</v>
      </c>
      <c r="K24" s="34">
        <f>IF(ISNUMBER($E$11),prep_table!$O$10,prep_table!$O$66)</f>
        <v>5</v>
      </c>
      <c r="L24" s="34">
        <f>IF(ISNUMBER($E$11),prep_table!$O$11,prep_table!$O$74)</f>
        <v>5</v>
      </c>
      <c r="M24" s="34">
        <f>IF(ISNUMBER($E$11),prep_table!$O$12,prep_table!$O$82)</f>
        <v>5</v>
      </c>
      <c r="N24" s="34">
        <f>IF(ISNUMBER($E$11),prep_table!$O$13,prep_table!$O$90)</f>
        <v>5</v>
      </c>
      <c r="O24" s="19"/>
    </row>
    <row r="25" spans="1:15" ht="24.95" customHeight="1" x14ac:dyDescent="0.25">
      <c r="B25" s="16" t="s">
        <v>2</v>
      </c>
      <c r="C25" s="34">
        <f>IF(ISNUMBER($E$11),prep_table!$O$14,prep_table!$O$3)</f>
        <v>5</v>
      </c>
      <c r="D25" s="34">
        <f>IF(ISNUMBER($E$11),prep_table!$O$15,prep_table!$O$11)</f>
        <v>5</v>
      </c>
      <c r="E25" s="34">
        <f>IF(ISNUMBER($E$11),prep_table!$O$16,prep_table!$O$19)</f>
        <v>5</v>
      </c>
      <c r="F25" s="34">
        <f>IF(ISNUMBER($E$11),prep_table!$O$17,prep_table!$O$27)</f>
        <v>5</v>
      </c>
      <c r="G25" s="34">
        <f>IF(ISNUMBER($E$11),prep_table!$O$18,prep_table!$O$35)</f>
        <v>5</v>
      </c>
      <c r="H25" s="34">
        <f>IF(ISNUMBER($E$11),prep_table!$O$19,prep_table!$O$43)</f>
        <v>5</v>
      </c>
      <c r="I25" s="34">
        <f>IF(ISNUMBER($E$11),prep_table!$O$20,prep_table!$O$51)</f>
        <v>5</v>
      </c>
      <c r="J25" s="34">
        <f>IF(ISNUMBER($E$11),prep_table!$O$21,prep_table!$O$59)</f>
        <v>5</v>
      </c>
      <c r="K25" s="34">
        <f>IF(ISNUMBER($E$11),prep_table!$O$22,prep_table!$O$67)</f>
        <v>5</v>
      </c>
      <c r="L25" s="34">
        <f>IF(ISNUMBER($E$11),prep_table!$O$23,prep_table!$O$75)</f>
        <v>5</v>
      </c>
      <c r="M25" s="34">
        <f>IF(ISNUMBER($E$11),prep_table!$O$24,prep_table!$O$83)</f>
        <v>5</v>
      </c>
      <c r="N25" s="34">
        <f>IF(ISNUMBER($E$11),prep_table!$O$25,prep_table!$O$91)</f>
        <v>5</v>
      </c>
      <c r="O25" s="19"/>
    </row>
    <row r="26" spans="1:15" ht="24.95" customHeight="1" x14ac:dyDescent="0.25">
      <c r="B26" s="16" t="s">
        <v>3</v>
      </c>
      <c r="C26" s="34">
        <f>IF(ISNUMBER($E$11),prep_table!$O$26,prep_table!$O$4)</f>
        <v>5</v>
      </c>
      <c r="D26" s="34">
        <f>IF(ISNUMBER($E$11),prep_table!$O$27,prep_table!$O$12)</f>
        <v>5</v>
      </c>
      <c r="E26" s="34">
        <f>IF(ISNUMBER($E$11),prep_table!$O$28,prep_table!$O$20)</f>
        <v>5</v>
      </c>
      <c r="F26" s="34">
        <f>IF(ISNUMBER($E$11),prep_table!$O$29,prep_table!$O$28)</f>
        <v>5</v>
      </c>
      <c r="G26" s="34">
        <f>IF(ISNUMBER($E$11),prep_table!$O$30,prep_table!$O$36)</f>
        <v>5</v>
      </c>
      <c r="H26" s="34">
        <f>IF(ISNUMBER($E$11),prep_table!$O$31,prep_table!$O$44)</f>
        <v>5</v>
      </c>
      <c r="I26" s="34">
        <f>IF(ISNUMBER($E$11),prep_table!$O$32,prep_table!$O$52)</f>
        <v>5</v>
      </c>
      <c r="J26" s="34">
        <f>IF(ISNUMBER($E$11),prep_table!$O$33,prep_table!$O$60)</f>
        <v>5</v>
      </c>
      <c r="K26" s="34">
        <f>IF(ISNUMBER($E$11),prep_table!$O$34,prep_table!$O$68)</f>
        <v>5</v>
      </c>
      <c r="L26" s="34">
        <f>IF(ISNUMBER($E$11),prep_table!$O$35,prep_table!$O$76)</f>
        <v>5</v>
      </c>
      <c r="M26" s="34">
        <f>IF(ISNUMBER($E$11),prep_table!$O$36,prep_table!$O$84)</f>
        <v>5</v>
      </c>
      <c r="N26" s="34">
        <f>IF(ISNUMBER($E$11),prep_table!$O$37,prep_table!$O$92)</f>
        <v>5</v>
      </c>
      <c r="O26" s="19"/>
    </row>
    <row r="27" spans="1:15" ht="24.95" customHeight="1" x14ac:dyDescent="0.25">
      <c r="B27" s="16" t="s">
        <v>4</v>
      </c>
      <c r="C27" s="34">
        <f>IF(ISNUMBER($E$11),prep_table!$O$38,prep_table!$O$5)</f>
        <v>5</v>
      </c>
      <c r="D27" s="34">
        <f>IF(ISNUMBER($E$11),prep_table!$O$39,prep_table!$O$13)</f>
        <v>5</v>
      </c>
      <c r="E27" s="34">
        <f>IF(ISNUMBER($E$11),prep_table!$O$40,prep_table!$O$21)</f>
        <v>5</v>
      </c>
      <c r="F27" s="34">
        <f>IF(ISNUMBER($E$11),prep_table!$O$41,prep_table!$O$29)</f>
        <v>5</v>
      </c>
      <c r="G27" s="34">
        <f>IF(ISNUMBER($E$11),prep_table!$O$42,prep_table!$O$37)</f>
        <v>5</v>
      </c>
      <c r="H27" s="34">
        <f>IF(ISNUMBER($E$11),prep_table!$O$43,prep_table!$O$45)</f>
        <v>5</v>
      </c>
      <c r="I27" s="34">
        <f>IF(ISNUMBER($E$11),prep_table!$O$44,prep_table!$O$53)</f>
        <v>5</v>
      </c>
      <c r="J27" s="34">
        <f>IF(ISNUMBER($E$11),prep_table!$O$45,prep_table!$O$61)</f>
        <v>5</v>
      </c>
      <c r="K27" s="34">
        <f>IF(ISNUMBER($E$11),prep_table!$O$46,prep_table!$O$69)</f>
        <v>5</v>
      </c>
      <c r="L27" s="34">
        <f>IF(ISNUMBER($E$11),prep_table!$O$47,prep_table!$O$77)</f>
        <v>5</v>
      </c>
      <c r="M27" s="34">
        <f>IF(ISNUMBER($E$11),prep_table!$O$48,prep_table!$O$85)</f>
        <v>5</v>
      </c>
      <c r="N27" s="34">
        <f>IF(ISNUMBER($E$11),prep_table!$O$49,prep_table!$O$93)</f>
        <v>5</v>
      </c>
      <c r="O27" s="19"/>
    </row>
    <row r="28" spans="1:15" ht="24.95" customHeight="1" x14ac:dyDescent="0.25">
      <c r="B28" s="16" t="s">
        <v>5</v>
      </c>
      <c r="C28" s="34">
        <f>IF(ISNUMBER($E$11),prep_table!$O$50,prep_table!$O$6)</f>
        <v>5</v>
      </c>
      <c r="D28" s="34">
        <f>IF(ISNUMBER($E$11),prep_table!$O$51,prep_table!$O$14)</f>
        <v>5</v>
      </c>
      <c r="E28" s="34">
        <f>IF(ISNUMBER($E$11),prep_table!$O$52,prep_table!$O$22)</f>
        <v>5</v>
      </c>
      <c r="F28" s="34">
        <f>IF(ISNUMBER($E$11),prep_table!$O$53,prep_table!$O$30)</f>
        <v>5</v>
      </c>
      <c r="G28" s="34">
        <f>IF(ISNUMBER($E$11),prep_table!$O$54,prep_table!$O$38)</f>
        <v>5</v>
      </c>
      <c r="H28" s="34">
        <f>IF(ISNUMBER($E$11),prep_table!$O$55,prep_table!$O$46)</f>
        <v>5</v>
      </c>
      <c r="I28" s="34">
        <f>IF(ISNUMBER($E$11),prep_table!$O$56,prep_table!$O$54)</f>
        <v>5</v>
      </c>
      <c r="J28" s="34">
        <f>IF(ISNUMBER($E$11),prep_table!$O$57,prep_table!$O$62)</f>
        <v>5</v>
      </c>
      <c r="K28" s="34">
        <f>IF(ISNUMBER($E$11),prep_table!$O$58,prep_table!$O$70)</f>
        <v>5</v>
      </c>
      <c r="L28" s="34">
        <f>IF(ISNUMBER($E$11),prep_table!$O$59,prep_table!$O$78)</f>
        <v>5</v>
      </c>
      <c r="M28" s="34">
        <f>IF(ISNUMBER($E$11),prep_table!$O$60,prep_table!$O$86)</f>
        <v>5</v>
      </c>
      <c r="N28" s="34">
        <f>IF(ISNUMBER($E$11),prep_table!$O$61,prep_table!$O$94)</f>
        <v>5</v>
      </c>
      <c r="O28" s="19"/>
    </row>
    <row r="29" spans="1:15" ht="24.95" customHeight="1" x14ac:dyDescent="0.25">
      <c r="B29" s="16" t="s">
        <v>6</v>
      </c>
      <c r="C29" s="34">
        <f>IF(ISNUMBER($E$11),prep_table!$O$62,prep_table!$O$7)</f>
        <v>5</v>
      </c>
      <c r="D29" s="34">
        <f>IF(ISNUMBER($E$11),prep_table!$O$63,prep_table!$O$15)</f>
        <v>5</v>
      </c>
      <c r="E29" s="34">
        <f>IF(ISNUMBER($E$11),prep_table!$O$64,prep_table!$O$23)</f>
        <v>5</v>
      </c>
      <c r="F29" s="34">
        <f>IF(ISNUMBER($E$11),prep_table!$O$65,prep_table!$O$31)</f>
        <v>5</v>
      </c>
      <c r="G29" s="34">
        <f>IF(ISNUMBER($E$11),prep_table!$O$66,prep_table!$O$39)</f>
        <v>5</v>
      </c>
      <c r="H29" s="34">
        <f>IF(ISNUMBER($E$11),prep_table!$O$67,prep_table!$O$47)</f>
        <v>5</v>
      </c>
      <c r="I29" s="34">
        <f>IF(ISNUMBER($E$11),prep_table!$O$68,prep_table!$O$55)</f>
        <v>5</v>
      </c>
      <c r="J29" s="34">
        <f>IF(ISNUMBER($E$11),prep_table!$O$69,prep_table!$O$63)</f>
        <v>5</v>
      </c>
      <c r="K29" s="34">
        <f>IF(ISNUMBER($E$11),prep_table!$O$70,prep_table!$O$71)</f>
        <v>5</v>
      </c>
      <c r="L29" s="34">
        <f>IF(ISNUMBER($E$11),prep_table!$O$71,prep_table!$O$79)</f>
        <v>5</v>
      </c>
      <c r="M29" s="34">
        <f>IF(ISNUMBER($E$11),prep_table!$O$72,prep_table!$O$87)</f>
        <v>5</v>
      </c>
      <c r="N29" s="34">
        <f>IF(ISNUMBER($E$11),prep_table!$O$73,prep_table!$O$95)</f>
        <v>5</v>
      </c>
      <c r="O29" s="19"/>
    </row>
    <row r="30" spans="1:15" ht="24.95" customHeight="1" x14ac:dyDescent="0.25">
      <c r="B30" s="16" t="s">
        <v>7</v>
      </c>
      <c r="C30" s="34">
        <f>IF(ISNUMBER($E$11),prep_table!$O$74,prep_table!$O$8)</f>
        <v>5</v>
      </c>
      <c r="D30" s="34">
        <f>IF(ISNUMBER($E$11),prep_table!$O$75,prep_table!$O$16)</f>
        <v>5</v>
      </c>
      <c r="E30" s="34">
        <f>IF(ISNUMBER($E$11),prep_table!$O$76,prep_table!$O$24)</f>
        <v>5</v>
      </c>
      <c r="F30" s="34">
        <f>IF(ISNUMBER($E$11),prep_table!$O$77,prep_table!$O$32)</f>
        <v>5</v>
      </c>
      <c r="G30" s="34">
        <f>IF(ISNUMBER($E$11),prep_table!$O$78,prep_table!$O$40)</f>
        <v>5</v>
      </c>
      <c r="H30" s="34">
        <f>IF(ISNUMBER($E$11),prep_table!$O$79,prep_table!$O$48)</f>
        <v>5</v>
      </c>
      <c r="I30" s="34">
        <f>IF(ISNUMBER($E$11),prep_table!$O$80,prep_table!$O$56)</f>
        <v>5</v>
      </c>
      <c r="J30" s="34">
        <f>IF(ISNUMBER($E$11),prep_table!$O$81,prep_table!$O$64)</f>
        <v>5</v>
      </c>
      <c r="K30" s="34">
        <f>IF(ISNUMBER($E$11),prep_table!$O$82,prep_table!$O$72)</f>
        <v>5</v>
      </c>
      <c r="L30" s="34">
        <f>IF(ISNUMBER($E$11),prep_table!$O$83,prep_table!$O$80)</f>
        <v>5</v>
      </c>
      <c r="M30" s="34">
        <f>IF(ISNUMBER($E$11),prep_table!$O$84,prep_table!$O$88)</f>
        <v>5</v>
      </c>
      <c r="N30" s="34">
        <f>IF(ISNUMBER($E$11),prep_table!$O$85,prep_table!$O$96)</f>
        <v>5</v>
      </c>
      <c r="O30" s="19"/>
    </row>
    <row r="31" spans="1:15" ht="24.95" customHeight="1" x14ac:dyDescent="0.25">
      <c r="B31" s="16" t="s">
        <v>8</v>
      </c>
      <c r="C31" s="34">
        <f>IF(ISNUMBER($E$11),prep_table!$O$86,prep_table!$O$9)</f>
        <v>5</v>
      </c>
      <c r="D31" s="34">
        <f>IF(ISNUMBER($E$11),prep_table!$O$87,prep_table!$O$17)</f>
        <v>5</v>
      </c>
      <c r="E31" s="34">
        <f>IF(ISNUMBER($E$11),prep_table!$O$88,prep_table!$O$25)</f>
        <v>5</v>
      </c>
      <c r="F31" s="34">
        <f>IF(ISNUMBER($E$11),prep_table!$O$89,prep_table!$O$33)</f>
        <v>5</v>
      </c>
      <c r="G31" s="34">
        <f>IF(ISNUMBER($E$11),prep_table!$O$90,prep_table!$O$41)</f>
        <v>5</v>
      </c>
      <c r="H31" s="34">
        <f>IF(ISNUMBER($E$11),prep_table!$O$91,prep_table!$O$49)</f>
        <v>5</v>
      </c>
      <c r="I31" s="34">
        <f>IF(ISNUMBER($E$11),prep_table!$O$92,prep_table!$O$57)</f>
        <v>5</v>
      </c>
      <c r="J31" s="34">
        <f>IF(ISNUMBER($E$11),prep_table!$O$93,prep_table!$O$65)</f>
        <v>5</v>
      </c>
      <c r="K31" s="34">
        <f>IF(ISNUMBER($E$11),prep_table!$O$94,prep_table!$O$73)</f>
        <v>5</v>
      </c>
      <c r="L31" s="34">
        <f>IF(ISNUMBER($E$11),prep_table!$O$95,prep_table!$O$81)</f>
        <v>5</v>
      </c>
      <c r="M31" s="34">
        <f>IF(ISNUMBER($E$11),prep_table!$O$96,prep_table!$O$89)</f>
        <v>5</v>
      </c>
      <c r="N31" s="34">
        <f>IF(ISNUMBER($E$11),prep_table!$O$97,prep_table!$O$97)</f>
        <v>5</v>
      </c>
      <c r="O31" s="19"/>
    </row>
    <row r="32" spans="1:15" ht="24.95" customHeight="1" x14ac:dyDescent="0.25">
      <c r="A32" s="13" t="s">
        <v>139</v>
      </c>
      <c r="B32" s="14"/>
      <c r="C32" s="15">
        <v>1</v>
      </c>
      <c r="D32" s="15">
        <v>2</v>
      </c>
      <c r="E32" s="15">
        <v>3</v>
      </c>
      <c r="F32" s="15">
        <v>4</v>
      </c>
      <c r="G32" s="15">
        <v>5</v>
      </c>
      <c r="H32" s="15">
        <v>6</v>
      </c>
      <c r="I32" s="15">
        <v>7</v>
      </c>
      <c r="J32" s="15">
        <v>8</v>
      </c>
      <c r="K32" s="15">
        <v>9</v>
      </c>
      <c r="L32" s="15">
        <v>10</v>
      </c>
      <c r="M32" s="15">
        <v>11</v>
      </c>
      <c r="N32" s="15">
        <v>12</v>
      </c>
      <c r="O32" s="19"/>
    </row>
    <row r="33" spans="1:15" ht="24.95" customHeight="1" x14ac:dyDescent="0.25">
      <c r="A33"/>
      <c r="B33" s="16" t="s">
        <v>1</v>
      </c>
      <c r="C33" s="17">
        <f>IF(ISNUMBER($E$11),prep_table!$N$2,prep_table!$N$2)</f>
        <v>0</v>
      </c>
      <c r="D33" s="18">
        <f>IF(ISNUMBER($E$11),prep_table!$N$3,prep_table!$N$10)</f>
        <v>0</v>
      </c>
      <c r="E33" s="17">
        <f>IF(ISNUMBER($E$11),prep_table!$N$4,prep_table!$N$18)</f>
        <v>0</v>
      </c>
      <c r="F33" s="18">
        <f>IF(ISNUMBER($E$11),prep_table!$N$5,prep_table!$N$26)</f>
        <v>0</v>
      </c>
      <c r="G33" s="17">
        <f>IF(ISNUMBER($E$11),prep_table!$N$6,prep_table!$N$34)</f>
        <v>0</v>
      </c>
      <c r="H33" s="18">
        <f>IF(ISNUMBER($E$11),prep_table!$N$7,prep_table!$N$42)</f>
        <v>0</v>
      </c>
      <c r="I33" s="17">
        <f>IF(ISNUMBER($E$11),prep_table!$N$8,prep_table!$N$50)</f>
        <v>0</v>
      </c>
      <c r="J33" s="18">
        <f>IF(ISNUMBER($E$11),prep_table!$N$9,prep_table!$N$58)</f>
        <v>0</v>
      </c>
      <c r="K33" s="17">
        <f>IF(ISNUMBER($E$11),prep_table!$N$10,prep_table!$N$66)</f>
        <v>0</v>
      </c>
      <c r="L33" s="18">
        <f>IF(ISNUMBER($E$11),prep_table!$N$11,prep_table!$N$74)</f>
        <v>0</v>
      </c>
      <c r="M33" s="17">
        <f>IF(ISNUMBER($E$11),prep_table!$N$12,prep_table!$N$82)</f>
        <v>0</v>
      </c>
      <c r="N33" s="18">
        <f>IF(ISNUMBER($E$11),prep_table!$N$13,prep_table!$N$90)</f>
        <v>0</v>
      </c>
      <c r="O33" s="19"/>
    </row>
    <row r="34" spans="1:15" ht="24.95" customHeight="1" x14ac:dyDescent="0.25">
      <c r="A34"/>
      <c r="B34" s="16" t="s">
        <v>2</v>
      </c>
      <c r="C34" s="17">
        <f>IF(ISNUMBER($E$11),prep_table!$N$14,prep_table!$N$3)</f>
        <v>0</v>
      </c>
      <c r="D34" s="18">
        <f>IF(ISNUMBER($E$11),prep_table!$N$15,prep_table!$N$11)</f>
        <v>0</v>
      </c>
      <c r="E34" s="17">
        <f>IF(ISNUMBER($E$11),prep_table!$N$16,prep_table!$N$19)</f>
        <v>0</v>
      </c>
      <c r="F34" s="18">
        <f>IF(ISNUMBER($E$11),prep_table!$N$17,prep_table!$N$27)</f>
        <v>0</v>
      </c>
      <c r="G34" s="17">
        <f>IF(ISNUMBER($E$11),prep_table!$N$18,prep_table!$N$35)</f>
        <v>0</v>
      </c>
      <c r="H34" s="18">
        <f>IF(ISNUMBER($E$11),prep_table!$N$19,prep_table!$N$43)</f>
        <v>0</v>
      </c>
      <c r="I34" s="17">
        <f>IF(ISNUMBER($E$11),prep_table!$N$20,prep_table!$N$51)</f>
        <v>0</v>
      </c>
      <c r="J34" s="18">
        <f>IF(ISNUMBER($E$11),prep_table!$N$21,prep_table!$N$59)</f>
        <v>0</v>
      </c>
      <c r="K34" s="17">
        <f>IF(ISNUMBER($E$11),prep_table!$N$22,prep_table!$N$67)</f>
        <v>0</v>
      </c>
      <c r="L34" s="18">
        <f>IF(ISNUMBER($E$11),prep_table!$N$23,prep_table!$N$75)</f>
        <v>0</v>
      </c>
      <c r="M34" s="17">
        <f>IF(ISNUMBER($E$11),prep_table!$N$24,prep_table!$N$83)</f>
        <v>0</v>
      </c>
      <c r="N34" s="18">
        <f>IF(ISNUMBER($E$11),prep_table!$N$25,prep_table!$N$91)</f>
        <v>0</v>
      </c>
      <c r="O34" s="19"/>
    </row>
    <row r="35" spans="1:15" ht="24.95" customHeight="1" x14ac:dyDescent="0.25">
      <c r="A35"/>
      <c r="B35" s="16" t="s">
        <v>3</v>
      </c>
      <c r="C35" s="17">
        <f>IF(ISNUMBER($E$11),prep_table!$N$26,prep_table!$N$4)</f>
        <v>0</v>
      </c>
      <c r="D35" s="18">
        <f>IF(ISNUMBER($E$11),prep_table!$N$27,prep_table!$N$12)</f>
        <v>0</v>
      </c>
      <c r="E35" s="17">
        <f>IF(ISNUMBER($E$11),prep_table!$N$28,prep_table!$N$20)</f>
        <v>0</v>
      </c>
      <c r="F35" s="18">
        <f>IF(ISNUMBER($E$11),prep_table!$N$29,prep_table!$N$28)</f>
        <v>0</v>
      </c>
      <c r="G35" s="17">
        <f>IF(ISNUMBER($E$11),prep_table!$N$30,prep_table!$N$36)</f>
        <v>0</v>
      </c>
      <c r="H35" s="18">
        <f>IF(ISNUMBER($E$11),prep_table!$N$31,prep_table!$N$44)</f>
        <v>0</v>
      </c>
      <c r="I35" s="17">
        <f>IF(ISNUMBER($E$11),prep_table!$N$32,prep_table!$N$52)</f>
        <v>0</v>
      </c>
      <c r="J35" s="18">
        <f>IF(ISNUMBER($E$11),prep_table!$N$33,prep_table!$N$60)</f>
        <v>0</v>
      </c>
      <c r="K35" s="17">
        <f>IF(ISNUMBER($E$11),prep_table!$N$34,prep_table!$N$68)</f>
        <v>0</v>
      </c>
      <c r="L35" s="18">
        <f>IF(ISNUMBER($E$11),prep_table!$N$35,prep_table!$N$76)</f>
        <v>0</v>
      </c>
      <c r="M35" s="17">
        <f>IF(ISNUMBER($E$11),prep_table!$N$36,prep_table!$N$84)</f>
        <v>0</v>
      </c>
      <c r="N35" s="18">
        <f>IF(ISNUMBER($E$11),prep_table!$N$37,prep_table!$N$92)</f>
        <v>0</v>
      </c>
      <c r="O35" s="19"/>
    </row>
    <row r="36" spans="1:15" ht="24.95" customHeight="1" x14ac:dyDescent="0.25">
      <c r="A36"/>
      <c r="B36" s="16" t="s">
        <v>4</v>
      </c>
      <c r="C36" s="17">
        <f>IF(ISNUMBER($E$11),prep_table!$N$38,prep_table!$N$5)</f>
        <v>0</v>
      </c>
      <c r="D36" s="18">
        <f>IF(ISNUMBER($E$11),prep_table!$N$39,prep_table!$N$13)</f>
        <v>0</v>
      </c>
      <c r="E36" s="17">
        <f>IF(ISNUMBER($E$11),prep_table!$N$40,prep_table!$N$21)</f>
        <v>0</v>
      </c>
      <c r="F36" s="18">
        <f>IF(ISNUMBER($E$11),prep_table!$N$41,prep_table!$N$29)</f>
        <v>0</v>
      </c>
      <c r="G36" s="17">
        <f>IF(ISNUMBER($E$11),prep_table!$N$42,prep_table!$N$37)</f>
        <v>0</v>
      </c>
      <c r="H36" s="18">
        <f>IF(ISNUMBER($E$11),prep_table!$N$43,prep_table!$N$45)</f>
        <v>0</v>
      </c>
      <c r="I36" s="17">
        <f>IF(ISNUMBER($E$11),prep_table!$N$44,prep_table!$N$53)</f>
        <v>0</v>
      </c>
      <c r="J36" s="18">
        <f>IF(ISNUMBER($E$11),prep_table!$N$45,prep_table!$N$61)</f>
        <v>0</v>
      </c>
      <c r="K36" s="17">
        <f>IF(ISNUMBER($E$11),prep_table!$N$46,prep_table!$N$69)</f>
        <v>0</v>
      </c>
      <c r="L36" s="18">
        <f>IF(ISNUMBER($E$11),prep_table!$N$47,prep_table!$N$77)</f>
        <v>0</v>
      </c>
      <c r="M36" s="17">
        <f>IF(ISNUMBER($E$11),prep_table!$N$48,prep_table!$N$85)</f>
        <v>0</v>
      </c>
      <c r="N36" s="18">
        <f>IF(ISNUMBER($E$11),prep_table!$N$49,prep_table!$N$93)</f>
        <v>0</v>
      </c>
      <c r="O36" s="19"/>
    </row>
    <row r="37" spans="1:15" ht="24.95" customHeight="1" x14ac:dyDescent="0.25">
      <c r="A37"/>
      <c r="B37" s="16" t="s">
        <v>5</v>
      </c>
      <c r="C37" s="17">
        <f>IF(ISNUMBER($E$11),prep_table!$N$50,prep_table!$N$6)</f>
        <v>0</v>
      </c>
      <c r="D37" s="18">
        <f>IF(ISNUMBER($E$11),prep_table!$N$51,prep_table!$N$14)</f>
        <v>0</v>
      </c>
      <c r="E37" s="17">
        <f>IF(ISNUMBER($E$11),prep_table!$N$52,prep_table!$N$22)</f>
        <v>0</v>
      </c>
      <c r="F37" s="18">
        <f>IF(ISNUMBER($E$11),prep_table!$N$53,prep_table!$N$30)</f>
        <v>0</v>
      </c>
      <c r="G37" s="17">
        <f>IF(ISNUMBER($E$11),prep_table!$N$54,prep_table!$N$38)</f>
        <v>0</v>
      </c>
      <c r="H37" s="18">
        <f>IF(ISNUMBER($E$11),prep_table!$N$55,prep_table!$N$46)</f>
        <v>0</v>
      </c>
      <c r="I37" s="17">
        <f>IF(ISNUMBER($E$11),prep_table!$N$56,prep_table!$N$54)</f>
        <v>0</v>
      </c>
      <c r="J37" s="18">
        <f>IF(ISNUMBER($E$11),prep_table!$N$57,prep_table!$N$62)</f>
        <v>0</v>
      </c>
      <c r="K37" s="17">
        <f>IF(ISNUMBER($E$11),prep_table!$N$58,prep_table!$N$70)</f>
        <v>0</v>
      </c>
      <c r="L37" s="18">
        <f>IF(ISNUMBER($E$11),prep_table!$N$59,prep_table!$N$78)</f>
        <v>0</v>
      </c>
      <c r="M37" s="17">
        <f>IF(ISNUMBER($E$11),prep_table!$N$60,prep_table!$N$86)</f>
        <v>0</v>
      </c>
      <c r="N37" s="18">
        <f>IF(ISNUMBER($E$11),prep_table!$N$61,prep_table!$N$94)</f>
        <v>0</v>
      </c>
      <c r="O37" s="19"/>
    </row>
    <row r="38" spans="1:15" ht="24.95" customHeight="1" x14ac:dyDescent="0.25">
      <c r="A38"/>
      <c r="B38" s="16" t="s">
        <v>6</v>
      </c>
      <c r="C38" s="17">
        <f>IF(ISNUMBER($E$11),prep_table!$N$62,prep_table!$N$7)</f>
        <v>0</v>
      </c>
      <c r="D38" s="18">
        <f>IF(ISNUMBER($E$11),prep_table!$N$63,prep_table!$N$15)</f>
        <v>0</v>
      </c>
      <c r="E38" s="17">
        <f>IF(ISNUMBER($E$11),prep_table!$N$64,prep_table!$N$23)</f>
        <v>0</v>
      </c>
      <c r="F38" s="18">
        <f>IF(ISNUMBER($E$11),prep_table!$N$65,prep_table!$N$31)</f>
        <v>0</v>
      </c>
      <c r="G38" s="17">
        <f>IF(ISNUMBER($E$11),prep_table!$N$66,prep_table!$N$39)</f>
        <v>0</v>
      </c>
      <c r="H38" s="18">
        <f>IF(ISNUMBER($E$11),prep_table!$N$67,prep_table!$N$47)</f>
        <v>0</v>
      </c>
      <c r="I38" s="17">
        <f>IF(ISNUMBER($E$11),prep_table!$N$68,prep_table!$N$55)</f>
        <v>0</v>
      </c>
      <c r="J38" s="18">
        <f>IF(ISNUMBER($E$11),prep_table!$N$69,prep_table!$N$63)</f>
        <v>0</v>
      </c>
      <c r="K38" s="17">
        <f>IF(ISNUMBER($E$11),prep_table!$N$70,prep_table!$N$71)</f>
        <v>0</v>
      </c>
      <c r="L38" s="18">
        <f>IF(ISNUMBER($E$11),prep_table!$N$71,prep_table!$N$79)</f>
        <v>0</v>
      </c>
      <c r="M38" s="17">
        <f>IF(ISNUMBER($E$11),prep_table!$N$72,prep_table!$N$87)</f>
        <v>0</v>
      </c>
      <c r="N38" s="18">
        <f>IF(ISNUMBER($E$11),prep_table!$N$73,prep_table!$N$95)</f>
        <v>0</v>
      </c>
      <c r="O38" s="19"/>
    </row>
    <row r="39" spans="1:15" ht="24.95" customHeight="1" x14ac:dyDescent="0.25">
      <c r="A39"/>
      <c r="B39" s="16" t="s">
        <v>7</v>
      </c>
      <c r="C39" s="17">
        <f>IF(ISNUMBER($E$11),prep_table!$N$74,prep_table!$N$8)</f>
        <v>0</v>
      </c>
      <c r="D39" s="18">
        <f>IF(ISNUMBER($E$11),prep_table!$N$75,prep_table!$N$16)</f>
        <v>0</v>
      </c>
      <c r="E39" s="17">
        <f>IF(ISNUMBER($E$11),prep_table!$N$76,prep_table!$N$24)</f>
        <v>0</v>
      </c>
      <c r="F39" s="18">
        <f>IF(ISNUMBER($E$11),prep_table!$N$77,prep_table!$N$32)</f>
        <v>0</v>
      </c>
      <c r="G39" s="17">
        <f>IF(ISNUMBER($E$11),prep_table!$N$78,prep_table!$N$40)</f>
        <v>0</v>
      </c>
      <c r="H39" s="18">
        <f>IF(ISNUMBER($E$11),prep_table!$N$79,prep_table!$N$48)</f>
        <v>0</v>
      </c>
      <c r="I39" s="17">
        <f>IF(ISNUMBER($E$11),prep_table!$N$80,prep_table!$N$56)</f>
        <v>0</v>
      </c>
      <c r="J39" s="18">
        <f>IF(ISNUMBER($E$11),prep_table!$N$81,prep_table!$N$64)</f>
        <v>0</v>
      </c>
      <c r="K39" s="17">
        <f>IF(ISNUMBER($E$11),prep_table!$N$82,prep_table!$N$72)</f>
        <v>0</v>
      </c>
      <c r="L39" s="18">
        <f>IF(ISNUMBER($E$11),prep_table!$N$83,prep_table!$N$80)</f>
        <v>0</v>
      </c>
      <c r="M39" s="17">
        <f>IF(ISNUMBER($E$11),prep_table!$N$84,prep_table!$N$88)</f>
        <v>0</v>
      </c>
      <c r="N39" s="18">
        <f>IF(ISNUMBER($E$11),prep_table!$N$85,prep_table!$N$96)</f>
        <v>0</v>
      </c>
      <c r="O39" s="19"/>
    </row>
    <row r="40" spans="1:15" ht="24.95" customHeight="1" thickBot="1" x14ac:dyDescent="0.3">
      <c r="A40"/>
      <c r="B40" s="16" t="s">
        <v>8</v>
      </c>
      <c r="C40" s="17">
        <f>IF(ISNUMBER($E$11),prep_table!$N$86,prep_table!$N$9)</f>
        <v>0</v>
      </c>
      <c r="D40" s="18">
        <f>IF(ISNUMBER($E$11),prep_table!$N$87,prep_table!$N$17)</f>
        <v>0</v>
      </c>
      <c r="E40" s="17">
        <f>IF(ISNUMBER($E$11),prep_table!$N$88,prep_table!$N$25)</f>
        <v>0</v>
      </c>
      <c r="F40" s="18">
        <f>IF(ISNUMBER($E$11),prep_table!$N$89,prep_table!$N$33)</f>
        <v>0</v>
      </c>
      <c r="G40" s="17">
        <f>IF(ISNUMBER($E$11),prep_table!$N$90,prep_table!$N$41)</f>
        <v>0</v>
      </c>
      <c r="H40" s="18">
        <f>IF(ISNUMBER($E$11),prep_table!$N$91,prep_table!$N$49)</f>
        <v>0</v>
      </c>
      <c r="I40" s="17">
        <f>IF(ISNUMBER($E$11),prep_table!$N$92,prep_table!$N$57)</f>
        <v>0</v>
      </c>
      <c r="J40" s="18">
        <f>IF(ISNUMBER($E$11),prep_table!$N$93,prep_table!$N$65)</f>
        <v>0</v>
      </c>
      <c r="K40" s="17">
        <f>IF(ISNUMBER($E$11),prep_table!$N$94,prep_table!$N$73)</f>
        <v>0</v>
      </c>
      <c r="L40" s="18">
        <f>IF(ISNUMBER($E$11),prep_table!$N$95,prep_table!$N$81)</f>
        <v>0</v>
      </c>
      <c r="M40" s="17">
        <f>IF(ISNUMBER($E$11),prep_table!$N$96,prep_table!$N$89)</f>
        <v>0</v>
      </c>
      <c r="N40" s="18">
        <f>IF(ISNUMBER($E$11),prep_table!$N$97,prep_table!$N$97)</f>
        <v>0</v>
      </c>
      <c r="O40" s="19"/>
    </row>
    <row r="41" spans="1:15" ht="24.95" customHeight="1" thickBot="1" x14ac:dyDescent="0.3">
      <c r="B41" s="177" t="s">
        <v>152</v>
      </c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9"/>
      <c r="O41" s="19"/>
    </row>
    <row r="42" spans="1:15" ht="24.95" customHeight="1" thickBot="1" x14ac:dyDescent="0.3">
      <c r="A42" s="12"/>
      <c r="B42" s="4" t="str">
        <f>IF(ISNUMBER($E$10),IF($F$10=TRUE,CONCATENATE("Prepare Fragmentationmix (F) according to the following table and pipet ",FIXED($E$10*SUM(E44:E45)/8*1.1)," µL into each well of column 1 of MM plate"),CONCATENATE("Prepare Fragmentation mix (F) according to the following table and pipet ",FIXED(($G$10+1)*SUM(E44:E45)*1.1)," µL into first ",$H$10," wells and ",FIXED(($G$10)*SUM(E44:E45)*1.1)," µL into the other wells of MM plate column 1")), IF($F$11=TRUE,CONCATENATE("Prepare Fragmentationmix (F) according to the following table and pipet ",FIXED($E$11*SUM(E44:E45)/12*1.1)," µL into each well of row A of MM plate"),CONCATENATE("Prepare Fragmentation mix (F) according to the following table and pipet ",FIXED(($G$11+1)*SUM(E44:E45)*1.1)," µL into first ",$H$11," wells and ",FIXED(($G$11)*SUM(E44:E45)*1.1)," µL into the other wells of MM plate row A")))</f>
        <v>Prepare Fragmentationmix (F) according to the following table and pipet 17.60 µL into each well of column 1 of MM plate</v>
      </c>
      <c r="C42" s="4"/>
      <c r="D42" s="4"/>
      <c r="E42" s="4"/>
      <c r="H42" s="26"/>
      <c r="K42" s="43"/>
      <c r="L42" s="43"/>
      <c r="M42" s="43"/>
      <c r="N42" s="43"/>
      <c r="O42" s="19"/>
    </row>
    <row r="43" spans="1:15" ht="24.95" customHeight="1" thickBot="1" x14ac:dyDescent="0.3">
      <c r="A43" s="4"/>
      <c r="B43" s="4"/>
      <c r="C43" s="4"/>
      <c r="D43" s="4"/>
      <c r="E43" s="68" t="s">
        <v>21</v>
      </c>
      <c r="F43" s="114" t="str">
        <f>CONCATENATE(" Volume for ",$E$11, " samples")</f>
        <v xml:space="preserve"> Volume for  samples</v>
      </c>
      <c r="G43" s="114"/>
      <c r="H43" s="26"/>
      <c r="K43" s="43"/>
      <c r="L43" s="43"/>
      <c r="M43" s="43"/>
      <c r="N43" s="43"/>
      <c r="O43" s="19"/>
    </row>
    <row r="44" spans="1:15" ht="27.95" customHeight="1" thickBot="1" x14ac:dyDescent="0.3">
      <c r="A44" s="12"/>
      <c r="B44" s="4" t="s">
        <v>153</v>
      </c>
      <c r="C44" s="175" t="s">
        <v>75</v>
      </c>
      <c r="D44" s="175"/>
      <c r="E44" s="69">
        <v>4</v>
      </c>
      <c r="F44" s="109">
        <f>IF(ISNUMBER($E$10),E44*$E$10*1.1,E44*$E$11*1.1)</f>
        <v>70.400000000000006</v>
      </c>
      <c r="G44" s="110"/>
      <c r="H44" s="53" t="s">
        <v>20</v>
      </c>
      <c r="K44" s="43"/>
      <c r="L44" s="43"/>
      <c r="M44" s="43"/>
      <c r="N44" s="43"/>
      <c r="O44" s="19"/>
    </row>
    <row r="45" spans="1:15" ht="22.5" customHeight="1" thickBot="1" x14ac:dyDescent="0.3">
      <c r="A45" s="13"/>
      <c r="B45" s="4"/>
      <c r="C45" s="182" t="s">
        <v>154</v>
      </c>
      <c r="D45" s="183"/>
      <c r="E45" s="20">
        <v>4</v>
      </c>
      <c r="F45" s="133">
        <f>IF(ISNUMBER($E$10),E45*$E$10*1.1,E45*$E$11*1.1)</f>
        <v>70.400000000000006</v>
      </c>
      <c r="G45" s="134"/>
      <c r="H45" s="70" t="s">
        <v>20</v>
      </c>
      <c r="K45" s="43"/>
      <c r="L45" s="43"/>
      <c r="M45" s="43"/>
      <c r="N45" s="43"/>
      <c r="O45" s="19"/>
    </row>
    <row r="46" spans="1:15" ht="19.5" customHeight="1" thickBot="1" x14ac:dyDescent="0.3">
      <c r="A46" s="13"/>
      <c r="B46" s="4"/>
      <c r="C46" s="4"/>
      <c r="D46" s="4"/>
      <c r="E46" s="37">
        <f>SUM(E44:E45)</f>
        <v>8</v>
      </c>
      <c r="F46" s="109">
        <f>+SUM(F44:G45)</f>
        <v>140.80000000000001</v>
      </c>
      <c r="G46" s="110"/>
      <c r="H46" s="71" t="s">
        <v>20</v>
      </c>
      <c r="I46" s="4" t="s">
        <v>155</v>
      </c>
      <c r="K46" s="43"/>
      <c r="L46" s="43"/>
      <c r="M46" s="43"/>
      <c r="N46" s="43"/>
      <c r="O46" s="19"/>
    </row>
    <row r="47" spans="1:15" ht="24.95" customHeight="1" thickBot="1" x14ac:dyDescent="0.3">
      <c r="A47" s="13"/>
      <c r="B47" s="158" t="s">
        <v>156</v>
      </c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60"/>
      <c r="O47" s="19"/>
    </row>
    <row r="48" spans="1:15" ht="24.95" customHeight="1" thickBot="1" x14ac:dyDescent="0.3">
      <c r="A48" s="12"/>
      <c r="B48" s="4" t="str">
        <f>IF(ISNUMBER($E$10),IF($F$10=TRUE,CONCATENATE("Prepare Mastermix (H) according to the following table and pipet ",FIXED($E$10*SUM(E51:E52)/8*1.1)," µL into each well of column 2 of MM plate"),CONCATENATE("Prepare Mastermix (H) according to the following table and pipet ",FIXED(($G$10+1)*SUM(E51:E52)*1.1)," µL into first ",$H$10," wells and ",FIXED(($G$10)*SUM(E51:E52)*1.1)," µL into the other wells of MM plate column 2")),IF($F$11=TRUE,CONCATENATE("Prepare Mastermix (H) according to the following table and pipet ",FIXED($E$11*SUM(E51:E52)/12*1.1)," µL into each well of row B of MM plate"),CONCATENATE("Prepare Mastermix (H) according to the following table and pipet ",FIXED(($G$11+1)*SUM(E51:E52)*1.1)," µL into first ",$H$11," wells and ",FIXED(($G$11)*SUM(E51:E52)*1.1)," µL into the other wells of MM plate row B")))</f>
        <v>Prepare Mastermix (H) according to the following table and pipet 8.80 µL into each well of column 2 of MM plate</v>
      </c>
      <c r="C48" s="4"/>
      <c r="D48" s="4"/>
      <c r="E48" s="4"/>
      <c r="H48" s="26"/>
      <c r="O48" s="19"/>
    </row>
    <row r="49" spans="1:15" ht="24.95" customHeight="1" thickBot="1" x14ac:dyDescent="0.3">
      <c r="A49" s="4"/>
      <c r="B49" s="4"/>
      <c r="C49" s="4"/>
      <c r="D49" s="4"/>
      <c r="E49" s="68" t="s">
        <v>21</v>
      </c>
      <c r="F49" s="135" t="str">
        <f>CONCATENATE(" Volume for ",$E$11, " samples")</f>
        <v xml:space="preserve"> Volume for  samples</v>
      </c>
      <c r="G49" s="135"/>
      <c r="H49" s="26"/>
      <c r="O49" s="19"/>
    </row>
    <row r="50" spans="1:15" ht="24.95" customHeight="1" thickBot="1" x14ac:dyDescent="0.3">
      <c r="A50" s="12"/>
      <c r="B50" s="4" t="s">
        <v>153</v>
      </c>
      <c r="C50" s="153" t="s">
        <v>157</v>
      </c>
      <c r="D50" s="154"/>
      <c r="E50" s="72">
        <v>11</v>
      </c>
      <c r="F50" s="117" t="s">
        <v>42</v>
      </c>
      <c r="G50" s="118"/>
      <c r="H50" s="70" t="s">
        <v>20</v>
      </c>
      <c r="O50" s="19"/>
    </row>
    <row r="51" spans="1:15" ht="24.95" customHeight="1" x14ac:dyDescent="0.25">
      <c r="B51" s="4"/>
      <c r="C51" s="151" t="s">
        <v>158</v>
      </c>
      <c r="D51" s="152"/>
      <c r="E51" s="73">
        <v>2</v>
      </c>
      <c r="F51" s="109">
        <f>IF(ISNUMBER($E$10),E51*$E$10*1.1,E51*$E$11*1.1)</f>
        <v>35.200000000000003</v>
      </c>
      <c r="G51" s="110"/>
      <c r="H51" s="71" t="s">
        <v>20</v>
      </c>
      <c r="O51" s="19"/>
    </row>
    <row r="52" spans="1:15" ht="24.95" customHeight="1" thickBot="1" x14ac:dyDescent="0.3">
      <c r="A52" s="13"/>
      <c r="B52" s="4"/>
      <c r="C52" s="153" t="s">
        <v>159</v>
      </c>
      <c r="D52" s="154"/>
      <c r="E52" s="54">
        <v>2</v>
      </c>
      <c r="F52" s="133">
        <f>IF(ISNUMBER($E$10),E52*$E$10*1.1,E52*$E$11*1.1)</f>
        <v>35.200000000000003</v>
      </c>
      <c r="G52" s="134"/>
      <c r="H52" s="70" t="s">
        <v>20</v>
      </c>
      <c r="O52" s="19"/>
    </row>
    <row r="53" spans="1:15" ht="24.95" customHeight="1" thickBot="1" x14ac:dyDescent="0.3">
      <c r="A53" s="13"/>
      <c r="B53" s="4"/>
      <c r="C53" s="171" t="s">
        <v>160</v>
      </c>
      <c r="D53" s="172"/>
      <c r="E53" s="74">
        <f>SUM(E50:E52)</f>
        <v>15</v>
      </c>
      <c r="F53" s="109">
        <f>+SUM(F51:G52)</f>
        <v>70.400000000000006</v>
      </c>
      <c r="G53" s="110"/>
      <c r="H53" s="71" t="s">
        <v>20</v>
      </c>
      <c r="I53" s="5" t="s">
        <v>155</v>
      </c>
      <c r="O53" s="19"/>
    </row>
    <row r="54" spans="1:15" ht="24.95" customHeight="1" thickBot="1" x14ac:dyDescent="0.3">
      <c r="A54" s="12"/>
      <c r="B54" s="4" t="s">
        <v>22</v>
      </c>
      <c r="C54" s="4"/>
      <c r="D54" s="25" t="s">
        <v>161</v>
      </c>
      <c r="E54" s="4"/>
      <c r="H54" s="26"/>
      <c r="O54" s="19"/>
    </row>
    <row r="55" spans="1:15" ht="24.95" customHeight="1" x14ac:dyDescent="0.25">
      <c r="A55" s="13"/>
      <c r="B55" s="4"/>
      <c r="C55" s="4"/>
      <c r="D55" s="25" t="s">
        <v>162</v>
      </c>
      <c r="E55" s="4"/>
      <c r="H55" s="26"/>
      <c r="O55" s="19"/>
    </row>
    <row r="56" spans="1:15" ht="24.95" customHeight="1" thickBot="1" x14ac:dyDescent="0.3">
      <c r="A56" s="4"/>
      <c r="B56" s="4"/>
      <c r="C56" s="4"/>
      <c r="D56" s="25" t="s">
        <v>163</v>
      </c>
      <c r="E56" s="4"/>
      <c r="H56" s="26"/>
      <c r="I56" s="26" t="s">
        <v>164</v>
      </c>
      <c r="O56" s="19"/>
    </row>
    <row r="57" spans="1:15" ht="24.95" customHeight="1" thickBot="1" x14ac:dyDescent="0.3">
      <c r="A57" s="13"/>
      <c r="B57" s="177" t="s">
        <v>165</v>
      </c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9"/>
      <c r="O57" s="19"/>
    </row>
    <row r="58" spans="1:15" ht="24.95" customHeight="1" thickBot="1" x14ac:dyDescent="0.3">
      <c r="A58" s="12"/>
      <c r="B58" s="4" t="str">
        <f>IF(ISNUMBER($E$10),IF($F$10=TRUE,CONCATENATE("Prepare Mastermix (HD) according to the following table and pipet ",FIXED($E$10*SUM(E61:E63)/8*1.1)," µL into each well of column 3 of MM plate"),CONCATENATE("Prepare Mastermix (HD) according to the following table and pipet ",FIXED(($G$10+1)*SUM(E61:E63)*1.1)," µL into first ",$H$10," wells and ",FIXED(($G$10)*SUM(E61:E63)*1.1)," µL into the other wells of MM plate column 3")),IF($F$11=TRUE,CONCATENATE("Prepare Mastermix (HD) according to the following table and pipet ",FIXED($E$11*SUM(E61:E63)/12*1.1)," µL into each well of row C of MM plate"),CONCATENATE("Prepare Mastermix (HD) according to the following table and pipet ",FIXED(($G$11+1)*SUM(E61:E63)*1.1)," µL into first ",$H$11," wells and ",FIXED(($G$11)*SUM(E61:E63)*1.1)," µL into the other wells of MM plate row C")))</f>
        <v>Prepare Mastermix (HD) according to the following table and pipet 11.00 µL into each well of column 3 of MM plate</v>
      </c>
      <c r="D58" s="4"/>
      <c r="E58" s="4"/>
    </row>
    <row r="59" spans="1:15" ht="24.95" customHeight="1" thickBot="1" x14ac:dyDescent="0.3">
      <c r="A59" s="13"/>
      <c r="B59" s="4"/>
      <c r="C59" s="4"/>
      <c r="D59" s="4"/>
      <c r="E59" s="68" t="s">
        <v>21</v>
      </c>
      <c r="F59" s="135" t="str">
        <f>CONCATENATE(" Volume for ",$E$11, " samples")</f>
        <v xml:space="preserve"> Volume for  samples</v>
      </c>
      <c r="G59" s="135"/>
      <c r="H59" s="26"/>
    </row>
    <row r="60" spans="1:15" ht="24.95" customHeight="1" thickBot="1" x14ac:dyDescent="0.3">
      <c r="A60" s="12"/>
      <c r="B60" s="4" t="s">
        <v>153</v>
      </c>
      <c r="C60" s="180" t="s">
        <v>166</v>
      </c>
      <c r="D60" s="181"/>
      <c r="E60" s="72">
        <v>15</v>
      </c>
      <c r="F60" s="117" t="s">
        <v>42</v>
      </c>
      <c r="G60" s="118"/>
      <c r="H60" s="70" t="s">
        <v>20</v>
      </c>
      <c r="J60" s="11" t="s">
        <v>167</v>
      </c>
    </row>
    <row r="61" spans="1:15" ht="24.95" customHeight="1" x14ac:dyDescent="0.25">
      <c r="B61" s="4"/>
      <c r="C61" s="151" t="s">
        <v>168</v>
      </c>
      <c r="D61" s="152"/>
      <c r="E61" s="73">
        <v>2</v>
      </c>
      <c r="F61" s="109">
        <f>IF(ISNUMBER($E$10),E61*$E$10*1.1,E61*$E$11*1.1)</f>
        <v>35.200000000000003</v>
      </c>
      <c r="G61" s="110"/>
      <c r="H61" s="71" t="s">
        <v>20</v>
      </c>
      <c r="K61" s="11"/>
    </row>
    <row r="62" spans="1:15" ht="24.95" customHeight="1" x14ac:dyDescent="0.25">
      <c r="B62" s="4"/>
      <c r="C62" s="175" t="s">
        <v>169</v>
      </c>
      <c r="D62" s="175"/>
      <c r="E62" s="54">
        <v>2</v>
      </c>
      <c r="F62" s="176">
        <f>IF(ISNUMBER($E$10),E62*$E$10*1.1,E62*$E$11*1.1)</f>
        <v>35.200000000000003</v>
      </c>
      <c r="G62" s="176"/>
      <c r="H62" s="53" t="s">
        <v>20</v>
      </c>
      <c r="K62" s="11"/>
    </row>
    <row r="63" spans="1:15" ht="24.95" customHeight="1" thickBot="1" x14ac:dyDescent="0.3">
      <c r="B63" s="4"/>
      <c r="C63" s="115" t="s">
        <v>154</v>
      </c>
      <c r="D63" s="116"/>
      <c r="E63" s="81">
        <v>1</v>
      </c>
      <c r="F63" s="173">
        <f>IF(ISNUMBER($E$10),E63*$E$10*1.1,E63*$E$11*1.1)</f>
        <v>17.600000000000001</v>
      </c>
      <c r="G63" s="174"/>
      <c r="H63" s="91" t="s">
        <v>20</v>
      </c>
      <c r="K63" s="11"/>
    </row>
    <row r="64" spans="1:15" ht="24.95" customHeight="1" thickBot="1" x14ac:dyDescent="0.3">
      <c r="A64" s="13"/>
      <c r="C64" s="107" t="s">
        <v>160</v>
      </c>
      <c r="D64" s="108"/>
      <c r="E64" s="73">
        <f>SUM(E60:E63)</f>
        <v>20</v>
      </c>
      <c r="F64" s="109">
        <f>+SUM(F61:G63)</f>
        <v>88</v>
      </c>
      <c r="G64" s="110"/>
      <c r="H64" s="71" t="s">
        <v>20</v>
      </c>
      <c r="I64" s="5" t="s">
        <v>9</v>
      </c>
    </row>
    <row r="65" spans="1:15" ht="24.95" customHeight="1" thickBot="1" x14ac:dyDescent="0.3">
      <c r="A65" s="12"/>
      <c r="B65" s="4" t="s">
        <v>22</v>
      </c>
      <c r="C65" s="4"/>
      <c r="D65" s="25" t="s">
        <v>170</v>
      </c>
      <c r="E65" s="25" t="s">
        <v>171</v>
      </c>
      <c r="F65" s="30"/>
      <c r="G65" s="30"/>
      <c r="H65" s="35"/>
    </row>
    <row r="66" spans="1:15" ht="18.95" customHeight="1" thickBot="1" x14ac:dyDescent="0.3">
      <c r="A66" s="13"/>
      <c r="B66" s="4"/>
      <c r="C66" s="4"/>
      <c r="D66" s="25" t="s">
        <v>167</v>
      </c>
      <c r="E66" s="4"/>
      <c r="F66" s="30"/>
      <c r="G66" s="30"/>
      <c r="H66" s="35"/>
    </row>
    <row r="67" spans="1:15" ht="24.95" customHeight="1" thickBot="1" x14ac:dyDescent="0.3">
      <c r="A67" s="13"/>
      <c r="B67" s="125" t="s">
        <v>172</v>
      </c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7"/>
    </row>
    <row r="68" spans="1:15" ht="24.95" customHeight="1" thickBot="1" x14ac:dyDescent="0.3">
      <c r="A68" s="12"/>
      <c r="B68" s="4" t="str">
        <f>IF(ISNUMBER($E$10),IF($F$10=TRUE,CONCATENATE("Prepare Mastermix (D) according to the following table and pipet ",FIXED($E$10*SUM(E71:E73)/8*1.1)," µL into each well of column 4 of MM plate"),CONCATENATE("Prepare Mastermix (D) according to the following table and pipet ",FIXED(($G$10+1)*SUM(E71:E73)*1.1)," µL into first ",$H$10," wells and ",FIXED(($G$10)*SUM(E71:E73)*1.1)," µL into the other wells of MM plate column 4")),IF($F$11=TRUE,CONCATENATE("Prepare Mastermix (D) according to the following table and pipet ",FIXED($E$11*SUM(E71:E73)/12*1.1)," µL into each well of row D of MM plate"),CONCATENATE("Prepare Mastermix (D) according to the following table and pipet ",FIXED(($G$11+1)*SUM(E71:E73)*1.1)," µL into first ",$H$11," wells and ",FIXED(($G$11)*SUM(E71:E73)*1.1)," µL into the other wells of MM plate row D")))</f>
        <v>Prepare Mastermix (D) according to the following table and pipet 66.00 µL into each well of column 4 of MM plate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</row>
    <row r="69" spans="1:15" ht="24.95" customHeight="1" thickBot="1" x14ac:dyDescent="0.3">
      <c r="A69" s="13"/>
      <c r="B69" s="4"/>
      <c r="C69" s="4"/>
      <c r="D69" s="4"/>
      <c r="E69" s="68" t="s">
        <v>21</v>
      </c>
      <c r="F69" s="135" t="str">
        <f>CONCATENATE(" Volume for ",$E$11, " samples")</f>
        <v xml:space="preserve"> Volume for  samples</v>
      </c>
      <c r="G69" s="135"/>
      <c r="H69" s="26"/>
      <c r="K69" s="41"/>
      <c r="L69" s="41"/>
      <c r="M69" s="41"/>
      <c r="N69" s="41"/>
    </row>
    <row r="70" spans="1:15" ht="24.95" customHeight="1" thickBot="1" x14ac:dyDescent="0.3">
      <c r="A70" s="12"/>
      <c r="B70" s="4" t="s">
        <v>153</v>
      </c>
      <c r="C70" s="153" t="s">
        <v>173</v>
      </c>
      <c r="D70" s="154"/>
      <c r="E70" s="72">
        <v>20</v>
      </c>
      <c r="F70" s="117" t="s">
        <v>42</v>
      </c>
      <c r="G70" s="118"/>
      <c r="H70" s="70" t="s">
        <v>20</v>
      </c>
      <c r="J70" s="11" t="s">
        <v>167</v>
      </c>
      <c r="K70" s="30"/>
      <c r="L70" s="30"/>
      <c r="M70" s="30"/>
      <c r="N70" s="30"/>
    </row>
    <row r="71" spans="1:15" ht="24.95" customHeight="1" x14ac:dyDescent="0.25">
      <c r="B71" s="4"/>
      <c r="C71" s="151" t="s">
        <v>174</v>
      </c>
      <c r="D71" s="152"/>
      <c r="E71" s="73">
        <v>5</v>
      </c>
      <c r="F71" s="109">
        <f>IF(ISNUMBER($E$10),E71*$E$10*1.1,E71*$E$11*1.1)</f>
        <v>88</v>
      </c>
      <c r="G71" s="110"/>
      <c r="H71" s="71" t="s">
        <v>20</v>
      </c>
      <c r="K71" s="30"/>
      <c r="L71" s="30"/>
      <c r="M71" s="30"/>
      <c r="N71" s="30"/>
    </row>
    <row r="72" spans="1:15" ht="24.95" customHeight="1" x14ac:dyDescent="0.25">
      <c r="B72" s="4"/>
      <c r="C72" s="171" t="s">
        <v>175</v>
      </c>
      <c r="D72" s="172"/>
      <c r="E72" s="54">
        <v>2.5</v>
      </c>
      <c r="F72" s="109">
        <f>IF(ISNUMBER($E$10),E72*$E$10*1.1,E72*$E$11*1.1)</f>
        <v>44</v>
      </c>
      <c r="G72" s="110"/>
      <c r="H72" s="71" t="s">
        <v>20</v>
      </c>
      <c r="K72" s="30"/>
      <c r="L72" s="30"/>
      <c r="M72" s="30"/>
      <c r="N72" s="30"/>
    </row>
    <row r="73" spans="1:15" ht="24.95" customHeight="1" thickBot="1" x14ac:dyDescent="0.3">
      <c r="A73" s="13"/>
      <c r="C73" s="161" t="s">
        <v>154</v>
      </c>
      <c r="D73" s="162"/>
      <c r="E73" s="54">
        <v>22.5</v>
      </c>
      <c r="F73" s="133">
        <f>IF(ISNUMBER($E$10),E73*$E$10*1.1,E73*$E$11*1.1)</f>
        <v>396.00000000000006</v>
      </c>
      <c r="G73" s="134"/>
      <c r="H73" s="70" t="s">
        <v>20</v>
      </c>
    </row>
    <row r="74" spans="1:15" ht="18.95" customHeight="1" thickBot="1" x14ac:dyDescent="0.3">
      <c r="A74" s="13"/>
      <c r="C74" s="107" t="s">
        <v>160</v>
      </c>
      <c r="D74" s="108"/>
      <c r="E74" s="74">
        <f>SUM(E70:E73)</f>
        <v>50</v>
      </c>
      <c r="F74" s="109">
        <f>+SUM(F71:G73)</f>
        <v>528</v>
      </c>
      <c r="G74" s="110"/>
      <c r="H74" s="71" t="s">
        <v>20</v>
      </c>
      <c r="I74" s="5" t="s">
        <v>9</v>
      </c>
    </row>
    <row r="75" spans="1:15" ht="24.95" customHeight="1" thickBot="1" x14ac:dyDescent="0.3">
      <c r="A75" s="12"/>
      <c r="B75" s="4" t="s">
        <v>22</v>
      </c>
      <c r="C75" s="4"/>
      <c r="D75" s="25" t="s">
        <v>176</v>
      </c>
      <c r="E75" s="25" t="s">
        <v>177</v>
      </c>
      <c r="F75" s="26"/>
    </row>
    <row r="76" spans="1:15" ht="17.45" customHeight="1" thickBot="1" x14ac:dyDescent="0.3">
      <c r="A76" s="13"/>
      <c r="B76" s="4"/>
      <c r="C76" s="4"/>
      <c r="D76" s="25" t="s">
        <v>167</v>
      </c>
      <c r="E76" s="4"/>
      <c r="F76" s="25"/>
    </row>
    <row r="77" spans="1:15" ht="24.95" customHeight="1" thickBot="1" x14ac:dyDescent="0.3">
      <c r="A77" s="13"/>
      <c r="B77" s="155" t="s">
        <v>178</v>
      </c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7"/>
    </row>
    <row r="78" spans="1:15" ht="24.95" customHeight="1" thickBot="1" x14ac:dyDescent="0.3">
      <c r="A78" s="29"/>
      <c r="B78" s="4" t="s">
        <v>179</v>
      </c>
      <c r="C78" s="4"/>
      <c r="D78" s="4"/>
      <c r="E78" s="4"/>
      <c r="F78" s="4"/>
      <c r="G78" s="4"/>
      <c r="H78" s="4"/>
      <c r="I78" s="4"/>
      <c r="J78" s="4"/>
      <c r="M78" s="4"/>
      <c r="N78" s="4"/>
      <c r="O78" s="4"/>
    </row>
    <row r="79" spans="1:15" ht="24.95" customHeight="1" thickBot="1" x14ac:dyDescent="0.3">
      <c r="A79" s="29"/>
      <c r="B79" s="36" t="s">
        <v>180</v>
      </c>
      <c r="C79" s="4"/>
      <c r="D79" s="4"/>
      <c r="E79" s="4"/>
      <c r="F79" s="4"/>
      <c r="G79" s="4"/>
      <c r="H79" s="4"/>
      <c r="I79" s="4"/>
      <c r="J79" s="4"/>
      <c r="K79" s="26"/>
      <c r="M79" s="4"/>
      <c r="N79" s="4"/>
      <c r="O79" s="4"/>
    </row>
    <row r="80" spans="1:15" ht="24.95" customHeight="1" thickBot="1" x14ac:dyDescent="0.3">
      <c r="A80" s="12"/>
      <c r="B80" s="4" t="s">
        <v>181</v>
      </c>
      <c r="C80" s="4"/>
      <c r="E80" s="28" t="s">
        <v>182</v>
      </c>
      <c r="F80" s="28" t="s">
        <v>183</v>
      </c>
      <c r="G80" t="s">
        <v>184</v>
      </c>
      <c r="I80" s="43"/>
      <c r="J80" s="43"/>
      <c r="K80" s="28" t="s">
        <v>185</v>
      </c>
      <c r="L80" s="75"/>
      <c r="M80" s="43"/>
      <c r="N80" s="43"/>
    </row>
    <row r="81" spans="1:15" ht="24.95" customHeight="1" thickBot="1" x14ac:dyDescent="0.3">
      <c r="A81" s="13"/>
      <c r="B81" s="4"/>
      <c r="C81" s="4"/>
      <c r="E81" s="28" t="s">
        <v>186</v>
      </c>
      <c r="F81" s="28"/>
      <c r="H81" s="43"/>
      <c r="I81" s="43"/>
      <c r="J81" s="43"/>
      <c r="K81" s="28" t="s">
        <v>167</v>
      </c>
      <c r="L81" s="43"/>
      <c r="M81" s="43"/>
      <c r="N81" s="43"/>
    </row>
    <row r="82" spans="1:15" ht="24.95" customHeight="1" thickBot="1" x14ac:dyDescent="0.3">
      <c r="A82" s="29"/>
      <c r="B82" s="4" t="s">
        <v>187</v>
      </c>
      <c r="C82" s="4"/>
      <c r="D82" s="4"/>
      <c r="E82" s="4"/>
      <c r="F82" s="4"/>
      <c r="G82" s="4"/>
      <c r="H82" s="26" t="s">
        <v>188</v>
      </c>
      <c r="I82" s="4"/>
      <c r="J82" s="4"/>
      <c r="K82" s="4"/>
      <c r="L82" s="26"/>
      <c r="M82" s="4"/>
      <c r="N82" s="4"/>
      <c r="O82" s="4"/>
    </row>
    <row r="83" spans="1:15" ht="24.95" customHeight="1" thickBot="1" x14ac:dyDescent="0.3">
      <c r="A83" s="13"/>
      <c r="B83" s="168" t="s">
        <v>189</v>
      </c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70"/>
    </row>
    <row r="84" spans="1:15" ht="24.95" customHeight="1" thickBot="1" x14ac:dyDescent="0.3">
      <c r="A84" s="12"/>
      <c r="B84" s="4" t="str">
        <f>IF(ISNUMBER($E$10),IF($F$10=TRUE,CONCATENATE("Prepare Mastermix (FS) according to the following table and pipet ",FIXED($E$10*SUM(E87:E88)/8*1.1)," µL into each well of column 5 of MM plate"),CONCATENATE("Prepare Mastermix (FS) according to the following table and pipet ",FIXED(($G$10+1)*SUM(E87:E88)*1.1)," µL into first ",$H$10," wells and ",FIXED(($G$10)*SUM(E87:E88)*1.1)," µL into the other wells of MM plate column 5")),IF($F$11=TRUE,CONCATENATE("Prepare Mastermix (FS) according to the following table and pipet ",FIXED($E$11*SUM(E87:E88)/12*1.1)," µL into each well of row E of MM plate"),CONCATENATE("Prepare Mastermix (FS) according to the following table and pipet ",FIXED(($G$11+1)*SUM(E87:E88)*1.1)," µL into first ",$H$11," wells and ",FIXED(($G$11)*SUM(E87:E88)*1.1)," µL into the other wells of MM plate row E")))</f>
        <v>Prepare Mastermix (FS) according to the following table and pipet 11.00 µL into each well of column 5 of MM plate</v>
      </c>
      <c r="C84" s="4"/>
      <c r="D84" s="4"/>
      <c r="E84" s="4"/>
      <c r="H84" s="26"/>
      <c r="N84" s="4"/>
      <c r="O84"/>
    </row>
    <row r="85" spans="1:15" ht="24.75" customHeight="1" thickBot="1" x14ac:dyDescent="0.3">
      <c r="A85" s="4"/>
      <c r="B85" s="4"/>
      <c r="C85" s="4"/>
      <c r="D85" s="4"/>
      <c r="E85" s="68" t="s">
        <v>21</v>
      </c>
      <c r="F85" s="135" t="str">
        <f>CONCATENATE(" Volume for ",$E$11, " samples")</f>
        <v xml:space="preserve"> Volume for  samples</v>
      </c>
      <c r="G85" s="135"/>
      <c r="H85" s="26"/>
      <c r="O85"/>
    </row>
    <row r="86" spans="1:15" ht="24.95" customHeight="1" thickBot="1" x14ac:dyDescent="0.3">
      <c r="A86" s="12"/>
      <c r="B86" s="4" t="s">
        <v>153</v>
      </c>
      <c r="C86" s="161" t="s">
        <v>190</v>
      </c>
      <c r="D86" s="162"/>
      <c r="E86" s="72">
        <v>5</v>
      </c>
      <c r="F86" s="117" t="s">
        <v>42</v>
      </c>
      <c r="G86" s="118"/>
      <c r="H86" s="70" t="s">
        <v>20</v>
      </c>
      <c r="N86" s="76"/>
      <c r="O86"/>
    </row>
    <row r="87" spans="1:15" ht="24.95" customHeight="1" x14ac:dyDescent="0.25">
      <c r="B87" s="4"/>
      <c r="C87" s="151" t="s">
        <v>191</v>
      </c>
      <c r="D87" s="152"/>
      <c r="E87" s="73">
        <v>4</v>
      </c>
      <c r="F87" s="109">
        <f>IF(ISNUMBER($E$10),E87*$E$10*1.1,E87*$E$11*1.1)</f>
        <v>70.400000000000006</v>
      </c>
      <c r="G87" s="110"/>
      <c r="H87" s="71" t="s">
        <v>20</v>
      </c>
      <c r="N87" s="76"/>
      <c r="O87"/>
    </row>
    <row r="88" spans="1:15" ht="24.95" customHeight="1" thickBot="1" x14ac:dyDescent="0.3">
      <c r="A88" s="13"/>
      <c r="B88" s="4"/>
      <c r="C88" s="153" t="s">
        <v>94</v>
      </c>
      <c r="D88" s="154"/>
      <c r="E88" s="77">
        <v>1</v>
      </c>
      <c r="F88" s="133">
        <f>IF(ISNUMBER($E$10),E88*$E$10*1.1,E88*$E$11*1.1)</f>
        <v>17.600000000000001</v>
      </c>
      <c r="G88" s="134"/>
      <c r="H88" s="70" t="s">
        <v>20</v>
      </c>
      <c r="O88"/>
    </row>
    <row r="89" spans="1:15" ht="21" customHeight="1" thickBot="1" x14ac:dyDescent="0.3">
      <c r="A89" s="13"/>
      <c r="B89" s="4"/>
      <c r="C89" s="107" t="s">
        <v>160</v>
      </c>
      <c r="D89" s="108"/>
      <c r="E89" s="74">
        <f>SUM(E85:E88)</f>
        <v>10</v>
      </c>
      <c r="F89" s="109">
        <f>+SUM(F86:G88)</f>
        <v>88</v>
      </c>
      <c r="G89" s="110"/>
      <c r="H89" s="71" t="s">
        <v>20</v>
      </c>
      <c r="I89" s="5" t="s">
        <v>155</v>
      </c>
      <c r="O89"/>
    </row>
    <row r="90" spans="1:15" ht="24.95" customHeight="1" thickBot="1" x14ac:dyDescent="0.3">
      <c r="A90" s="12"/>
      <c r="B90" s="4" t="s">
        <v>22</v>
      </c>
      <c r="C90" s="4"/>
      <c r="D90" s="25" t="s">
        <v>192</v>
      </c>
      <c r="E90" s="25" t="s">
        <v>193</v>
      </c>
      <c r="F90"/>
      <c r="G90"/>
      <c r="H90"/>
      <c r="I90"/>
      <c r="J90"/>
      <c r="K90"/>
      <c r="L90"/>
      <c r="M90"/>
      <c r="N90"/>
      <c r="O90"/>
    </row>
    <row r="91" spans="1:15" ht="18.95" customHeight="1" x14ac:dyDescent="0.25">
      <c r="A91" s="13"/>
      <c r="B91" s="4"/>
      <c r="C91" s="4"/>
      <c r="D91" s="25" t="s">
        <v>194</v>
      </c>
      <c r="E91" s="4"/>
      <c r="F91"/>
      <c r="G91"/>
      <c r="H91"/>
      <c r="I91"/>
      <c r="J91"/>
      <c r="K91"/>
      <c r="L91"/>
      <c r="M91"/>
      <c r="N91"/>
      <c r="O91"/>
    </row>
    <row r="92" spans="1:15" ht="18.95" customHeight="1" x14ac:dyDescent="0.25">
      <c r="A92" s="4"/>
      <c r="B92" s="4"/>
      <c r="C92" s="4"/>
      <c r="D92" s="25" t="s">
        <v>195</v>
      </c>
      <c r="E92" s="63"/>
      <c r="F92"/>
      <c r="G92"/>
      <c r="H92"/>
      <c r="I92"/>
      <c r="J92"/>
      <c r="K92"/>
      <c r="L92"/>
      <c r="M92"/>
      <c r="N92"/>
      <c r="O92"/>
    </row>
    <row r="93" spans="1:15" ht="18.75" customHeight="1" thickBot="1" x14ac:dyDescent="0.3">
      <c r="A93"/>
      <c r="B93"/>
      <c r="C93"/>
      <c r="D93" s="25" t="s">
        <v>196</v>
      </c>
      <c r="E93" s="63"/>
      <c r="F93"/>
      <c r="G93"/>
      <c r="H93"/>
      <c r="I93"/>
      <c r="J93"/>
      <c r="K93"/>
      <c r="L93"/>
      <c r="M93"/>
      <c r="N93"/>
      <c r="O93"/>
    </row>
    <row r="94" spans="1:15" ht="22.5" customHeight="1" thickBot="1" x14ac:dyDescent="0.3">
      <c r="A94"/>
      <c r="B94" s="163" t="s">
        <v>197</v>
      </c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5"/>
      <c r="O94"/>
    </row>
    <row r="95" spans="1:15" ht="24.95" customHeight="1" thickBot="1" x14ac:dyDescent="0.3">
      <c r="A95" s="12"/>
      <c r="B95" s="4" t="str">
        <f>IF(ISNUMBER($E$10),IF($F$10=TRUE,CONCATENATE("Pipet ",FIXED($E$10*E98/8*1.1)," µL of Mastermix (SS) into each well of column 6 of MM plate"),CONCATENATE("Pipet ",FIXED(($G$10+1)*E98*1.1)," µL of Mastermix (SS) into first ",$H$10," wells and ",FIXED(($G$10)*E98*1.1)," µL into the other wells of MM plate column 6")),IF($F$11=TRUE,CONCATENATE("Pipet ",FIXED($E$11*E98/12*1.1)," µL of Mastermix (SS) into each well of row F of MM plate"),CONCATENATE("Pipet ",FIXED(($G$11+1)*E98*1.1)," µL of Mastermix (SS) into first ",$H$11," wells and ",FIXED(($G$11)*E98*1.1)," µL into the other wells of MM plate row F")))</f>
        <v>Pipet 66.00 µL of Mastermix (SS) into each well of column 6 of MM plate</v>
      </c>
      <c r="C95" s="4"/>
      <c r="D95" s="4"/>
      <c r="E95" s="4"/>
      <c r="H95" s="26"/>
      <c r="L95"/>
      <c r="M95"/>
      <c r="N95"/>
      <c r="O95"/>
    </row>
    <row r="96" spans="1:15" ht="24.95" customHeight="1" thickBot="1" x14ac:dyDescent="0.3">
      <c r="A96" s="4"/>
      <c r="B96" s="4"/>
      <c r="C96" s="4"/>
      <c r="D96" s="4"/>
      <c r="E96" s="68" t="s">
        <v>21</v>
      </c>
      <c r="F96" s="135" t="str">
        <f>CONCATENATE(" Volume for ",$E$11, " samples")</f>
        <v xml:space="preserve"> Volume for  samples</v>
      </c>
      <c r="G96" s="135"/>
      <c r="H96" s="26"/>
      <c r="L96"/>
      <c r="M96"/>
      <c r="N96"/>
      <c r="O96"/>
    </row>
    <row r="97" spans="1:15" ht="24.95" customHeight="1" thickBot="1" x14ac:dyDescent="0.3">
      <c r="A97" s="12"/>
      <c r="B97" s="4" t="s">
        <v>153</v>
      </c>
      <c r="C97" s="161" t="s">
        <v>198</v>
      </c>
      <c r="D97" s="162"/>
      <c r="E97" s="72">
        <v>10</v>
      </c>
      <c r="F97" s="117" t="s">
        <v>42</v>
      </c>
      <c r="G97" s="118"/>
      <c r="H97" s="70" t="s">
        <v>20</v>
      </c>
      <c r="L97"/>
      <c r="M97"/>
      <c r="N97"/>
      <c r="O97"/>
    </row>
    <row r="98" spans="1:15" ht="35.25" customHeight="1" thickBot="1" x14ac:dyDescent="0.3">
      <c r="A98" s="13"/>
      <c r="B98" s="4"/>
      <c r="C98" s="166" t="s">
        <v>101</v>
      </c>
      <c r="D98" s="167"/>
      <c r="E98" s="78">
        <v>30</v>
      </c>
      <c r="F98" s="141">
        <f>IF(ISNUMBER($E$10),E98*$E$10*1.1,E98*$E$11*1.1)</f>
        <v>528</v>
      </c>
      <c r="G98" s="142"/>
      <c r="H98" s="79" t="s">
        <v>20</v>
      </c>
      <c r="I98" s="5" t="s">
        <v>155</v>
      </c>
      <c r="L98"/>
      <c r="M98"/>
      <c r="N98"/>
      <c r="O98"/>
    </row>
    <row r="99" spans="1:15" ht="21.95" customHeight="1" thickBot="1" x14ac:dyDescent="0.3">
      <c r="A99" s="13"/>
      <c r="B99" s="4"/>
      <c r="C99" s="107" t="s">
        <v>160</v>
      </c>
      <c r="D99" s="108"/>
      <c r="E99" s="73">
        <f>SUM(E95:E98)</f>
        <v>40</v>
      </c>
      <c r="F99" s="109">
        <f>+SUM(F96:G98)</f>
        <v>528</v>
      </c>
      <c r="G99" s="110"/>
      <c r="H99" s="71" t="s">
        <v>20</v>
      </c>
      <c r="L99"/>
      <c r="M99"/>
      <c r="N99"/>
      <c r="O99"/>
    </row>
    <row r="100" spans="1:15" ht="24.95" customHeight="1" thickBot="1" x14ac:dyDescent="0.3">
      <c r="A100" s="12"/>
      <c r="B100" s="4" t="s">
        <v>22</v>
      </c>
      <c r="C100" s="4"/>
      <c r="D100" s="25" t="s">
        <v>199</v>
      </c>
      <c r="E100" s="4"/>
      <c r="F100" s="25" t="s">
        <v>200</v>
      </c>
      <c r="G100"/>
      <c r="H100"/>
      <c r="I100"/>
      <c r="J100"/>
      <c r="K100"/>
      <c r="L100"/>
      <c r="M100"/>
      <c r="N100"/>
      <c r="O100"/>
    </row>
    <row r="101" spans="1:15" ht="24.95" customHeight="1" thickBot="1" x14ac:dyDescent="0.3">
      <c r="A101" s="13"/>
      <c r="B101" s="155" t="s">
        <v>201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7"/>
      <c r="O101"/>
    </row>
    <row r="102" spans="1:15" ht="24.95" customHeight="1" thickBot="1" x14ac:dyDescent="0.3">
      <c r="A102" s="29"/>
      <c r="B102" s="4" t="s">
        <v>202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/>
    </row>
    <row r="103" spans="1:15" ht="24.95" customHeight="1" thickBot="1" x14ac:dyDescent="0.3">
      <c r="A103" s="13"/>
      <c r="B103" s="158" t="s">
        <v>203</v>
      </c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60"/>
    </row>
    <row r="104" spans="1:15" ht="24.95" customHeight="1" thickBot="1" x14ac:dyDescent="0.3">
      <c r="A104" s="12"/>
      <c r="B104" s="4" t="str">
        <f>IF(ISNUMBER($E$10),IF($F$10=TRUE,CONCATENATE("Prepare Mastermix (EP) according to the following table and pipet ",FIXED($E$10*SUM(E107:E108)/8*1.1)," µL into each well of column 7 of MM plate"),CONCATENATE("Prepare Mastermix (EP) according to the following table and pipet ",FIXED(($G$10+1)*SUM(E107:E108)*1.1)," µL into first ",$H$10," wells and ",FIXED(($G$10)*SUM(E107:E108)*1.1)," µL into the other wells of MM plate column 7")),IF($F$11=TRUE,CONCATENATE("Prepare Mastermix (EP) according to the following table and pipet ",FIXED($E$11*SUM(E107:E108)/12*1.1)," µL into each well of row G of MM plate"),CONCATENATE("Prepare Mastermix (EP) according to the following table and pipet ",FIXED(($G$11+1)*SUM(E107:E108)*1.1)," µL into first ",$H$11," wells and ",FIXED(($G$11)*SUM(E107:E108)*1.1)," µL into the other wells of MM plate row G")))</f>
        <v>Prepare Mastermix (EP) according to the following table and pipet 8.80 µL into each well of column 7 of MM plate</v>
      </c>
      <c r="C104" s="4"/>
      <c r="D104" s="4"/>
      <c r="E104" s="4"/>
      <c r="H104" s="26"/>
      <c r="N104" s="4"/>
    </row>
    <row r="105" spans="1:15" ht="24.95" customHeight="1" thickBot="1" x14ac:dyDescent="0.3">
      <c r="A105" s="4"/>
      <c r="B105" s="4"/>
      <c r="C105" s="4"/>
      <c r="D105" s="4"/>
      <c r="E105" s="68" t="s">
        <v>21</v>
      </c>
      <c r="F105" s="135" t="str">
        <f>CONCATENATE(" Volume for ",$E$11, " samples")</f>
        <v xml:space="preserve"> Volume for  samples</v>
      </c>
      <c r="G105" s="135"/>
      <c r="H105" s="26"/>
    </row>
    <row r="106" spans="1:15" ht="24.95" customHeight="1" thickBot="1" x14ac:dyDescent="0.3">
      <c r="A106" s="12"/>
      <c r="B106" s="4" t="s">
        <v>153</v>
      </c>
      <c r="C106" s="161" t="s">
        <v>204</v>
      </c>
      <c r="D106" s="162"/>
      <c r="E106" s="72">
        <v>20</v>
      </c>
      <c r="F106" s="117" t="s">
        <v>42</v>
      </c>
      <c r="G106" s="118"/>
      <c r="H106" s="70" t="s">
        <v>20</v>
      </c>
      <c r="N106" s="76"/>
    </row>
    <row r="107" spans="1:15" ht="24.95" customHeight="1" x14ac:dyDescent="0.25">
      <c r="B107" s="4"/>
      <c r="C107" s="151" t="s">
        <v>106</v>
      </c>
      <c r="D107" s="152"/>
      <c r="E107" s="73">
        <v>2.5</v>
      </c>
      <c r="F107" s="109">
        <f>IF(ISNUMBER($E$10),E107*$E$10*1.1,E107*$E$11*1.1)</f>
        <v>44</v>
      </c>
      <c r="G107" s="110"/>
      <c r="H107" s="71" t="s">
        <v>20</v>
      </c>
      <c r="N107" s="76"/>
    </row>
    <row r="108" spans="1:15" ht="24.95" customHeight="1" thickBot="1" x14ac:dyDescent="0.3">
      <c r="A108" s="13"/>
      <c r="B108" s="4"/>
      <c r="C108" s="153" t="s">
        <v>205</v>
      </c>
      <c r="D108" s="154"/>
      <c r="E108" s="77">
        <v>1.5</v>
      </c>
      <c r="F108" s="133">
        <f t="shared" ref="F108" si="0">E108*$E$11*1.1</f>
        <v>0</v>
      </c>
      <c r="G108" s="134"/>
      <c r="H108" s="70" t="s">
        <v>20</v>
      </c>
    </row>
    <row r="109" spans="1:15" ht="24.95" customHeight="1" thickBot="1" x14ac:dyDescent="0.3">
      <c r="A109" s="13"/>
      <c r="B109" s="4"/>
      <c r="C109" s="107" t="s">
        <v>160</v>
      </c>
      <c r="D109" s="108"/>
      <c r="E109" s="73">
        <f>SUM(E105:E108)</f>
        <v>24</v>
      </c>
      <c r="F109" s="109">
        <f>+SUM(F106:G108)</f>
        <v>44</v>
      </c>
      <c r="G109" s="110"/>
      <c r="H109" s="71" t="s">
        <v>20</v>
      </c>
      <c r="I109" s="5" t="s">
        <v>155</v>
      </c>
    </row>
    <row r="110" spans="1:15" ht="24.95" customHeight="1" thickBot="1" x14ac:dyDescent="0.3">
      <c r="A110" s="12"/>
      <c r="B110" s="4" t="s">
        <v>22</v>
      </c>
      <c r="C110" s="4"/>
      <c r="D110" s="25" t="s">
        <v>206</v>
      </c>
      <c r="E110" s="25" t="s">
        <v>207</v>
      </c>
      <c r="F110"/>
      <c r="G110"/>
      <c r="H110"/>
      <c r="I110"/>
      <c r="J110"/>
      <c r="K110"/>
      <c r="L110"/>
      <c r="M110"/>
      <c r="N110"/>
      <c r="O110"/>
    </row>
    <row r="111" spans="1:15" ht="24.95" customHeight="1" x14ac:dyDescent="0.25">
      <c r="A111"/>
      <c r="B111"/>
      <c r="C111"/>
      <c r="D111" s="25" t="s">
        <v>208</v>
      </c>
      <c r="E111" s="63"/>
      <c r="F111"/>
      <c r="G111"/>
      <c r="H111"/>
      <c r="I111"/>
      <c r="J111"/>
      <c r="K111"/>
      <c r="L111"/>
      <c r="M111"/>
      <c r="N111"/>
    </row>
    <row r="112" spans="1:15" ht="24.95" customHeight="1" thickBot="1" x14ac:dyDescent="0.3">
      <c r="A112"/>
      <c r="B112"/>
      <c r="C112"/>
      <c r="D112" s="25" t="s">
        <v>196</v>
      </c>
      <c r="E112" s="63"/>
      <c r="F112"/>
      <c r="G112"/>
      <c r="H112"/>
      <c r="I112"/>
      <c r="J112"/>
      <c r="K112"/>
      <c r="L112"/>
      <c r="M112"/>
      <c r="N112"/>
    </row>
    <row r="113" spans="1:14" ht="24.95" customHeight="1" thickBot="1" x14ac:dyDescent="0.3">
      <c r="A113" s="13"/>
      <c r="B113" s="143" t="s">
        <v>111</v>
      </c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5"/>
    </row>
    <row r="114" spans="1:14" s="5" customFormat="1" ht="24.95" customHeight="1" thickBot="1" x14ac:dyDescent="0.3">
      <c r="A114" s="12"/>
      <c r="B114" s="27" t="s">
        <v>209</v>
      </c>
      <c r="C114" s="30"/>
      <c r="D114" s="30"/>
      <c r="E114" s="30"/>
      <c r="F114" s="30"/>
      <c r="G114" s="30"/>
      <c r="H114" s="146" t="s">
        <v>113</v>
      </c>
      <c r="I114" s="147"/>
      <c r="J114" s="148" t="s">
        <v>114</v>
      </c>
      <c r="K114" s="146"/>
      <c r="L114" s="30"/>
      <c r="M114" s="30"/>
      <c r="N114" s="30"/>
    </row>
    <row r="115" spans="1:14" s="5" customFormat="1" ht="18" customHeight="1" x14ac:dyDescent="0.25">
      <c r="A115" s="13"/>
      <c r="B115" s="43"/>
      <c r="C115" s="30"/>
      <c r="D115" s="30"/>
      <c r="E115" s="30"/>
      <c r="F115" s="30"/>
      <c r="G115" s="30"/>
      <c r="H115" s="149" t="s">
        <v>115</v>
      </c>
      <c r="I115" s="149"/>
      <c r="J115" s="149" t="s">
        <v>116</v>
      </c>
      <c r="K115" s="149"/>
      <c r="L115" s="30"/>
      <c r="M115" s="30"/>
      <c r="N115" s="30"/>
    </row>
    <row r="116" spans="1:14" s="5" customFormat="1" ht="18" customHeight="1" thickBot="1" x14ac:dyDescent="0.3">
      <c r="A116" s="13"/>
      <c r="B116" s="43"/>
      <c r="C116" s="30"/>
      <c r="D116" s="30"/>
      <c r="E116" s="30"/>
      <c r="F116" s="30"/>
      <c r="G116" s="30"/>
      <c r="H116" s="150" t="s">
        <v>117</v>
      </c>
      <c r="I116" s="150"/>
      <c r="J116" s="150" t="s">
        <v>118</v>
      </c>
      <c r="K116" s="150"/>
      <c r="L116" s="30"/>
      <c r="M116" s="30"/>
      <c r="N116" s="30"/>
    </row>
    <row r="117" spans="1:14" s="5" customFormat="1" ht="24.95" customHeight="1" thickBot="1" x14ac:dyDescent="0.3">
      <c r="A117" s="31"/>
      <c r="B117" s="51" t="s">
        <v>137</v>
      </c>
      <c r="F117" s="63" t="s">
        <v>145</v>
      </c>
      <c r="G117" s="8"/>
      <c r="H117"/>
    </row>
    <row r="118" spans="1:14" s="5" customFormat="1" ht="16.5" customHeight="1" x14ac:dyDescent="0.25">
      <c r="A118" s="13"/>
      <c r="B118" s="14"/>
      <c r="C118" s="15">
        <v>1</v>
      </c>
      <c r="D118" s="15">
        <v>2</v>
      </c>
      <c r="E118" s="15">
        <v>3</v>
      </c>
      <c r="F118" s="15">
        <v>4</v>
      </c>
      <c r="G118" s="15">
        <v>5</v>
      </c>
      <c r="H118" s="15">
        <v>6</v>
      </c>
      <c r="I118" s="15">
        <v>7</v>
      </c>
      <c r="J118" s="15">
        <v>8</v>
      </c>
      <c r="K118" s="15">
        <v>9</v>
      </c>
      <c r="L118" s="15">
        <v>10</v>
      </c>
      <c r="M118" s="15">
        <v>11</v>
      </c>
      <c r="N118" s="15">
        <v>12</v>
      </c>
    </row>
    <row r="119" spans="1:14" s="5" customFormat="1" ht="24.95" customHeight="1" x14ac:dyDescent="0.25">
      <c r="A119" s="13"/>
      <c r="B119" s="16" t="s">
        <v>1</v>
      </c>
      <c r="C119" s="18" t="str">
        <f>IF(ISNUMBER($G$117),C15, " ")</f>
        <v xml:space="preserve"> </v>
      </c>
      <c r="D119" s="18" t="str">
        <f t="shared" ref="D119:N119" si="1">IF(ISNUMBER($G$117),D15, " ")</f>
        <v xml:space="preserve"> </v>
      </c>
      <c r="E119" s="18" t="str">
        <f t="shared" si="1"/>
        <v xml:space="preserve"> </v>
      </c>
      <c r="F119" s="18" t="str">
        <f t="shared" si="1"/>
        <v xml:space="preserve"> </v>
      </c>
      <c r="G119" s="18" t="str">
        <f t="shared" si="1"/>
        <v xml:space="preserve"> </v>
      </c>
      <c r="H119" s="18" t="str">
        <f t="shared" si="1"/>
        <v xml:space="preserve"> </v>
      </c>
      <c r="I119" s="18" t="str">
        <f t="shared" si="1"/>
        <v xml:space="preserve"> </v>
      </c>
      <c r="J119" s="18" t="str">
        <f t="shared" si="1"/>
        <v xml:space="preserve"> </v>
      </c>
      <c r="K119" s="18" t="str">
        <f t="shared" si="1"/>
        <v xml:space="preserve"> </v>
      </c>
      <c r="L119" s="18" t="str">
        <f t="shared" si="1"/>
        <v xml:space="preserve"> </v>
      </c>
      <c r="M119" s="18" t="str">
        <f t="shared" si="1"/>
        <v xml:space="preserve"> </v>
      </c>
      <c r="N119" s="18" t="str">
        <f t="shared" si="1"/>
        <v xml:space="preserve"> </v>
      </c>
    </row>
    <row r="120" spans="1:14" s="5" customFormat="1" ht="24.95" customHeight="1" x14ac:dyDescent="0.25">
      <c r="B120" s="16" t="s">
        <v>2</v>
      </c>
      <c r="C120" s="18" t="str">
        <f t="shared" ref="C120:N126" si="2">IF(ISNUMBER($G$117),C16, " ")</f>
        <v xml:space="preserve"> </v>
      </c>
      <c r="D120" s="18" t="str">
        <f t="shared" si="2"/>
        <v xml:space="preserve"> </v>
      </c>
      <c r="E120" s="18" t="str">
        <f t="shared" si="2"/>
        <v xml:space="preserve"> </v>
      </c>
      <c r="F120" s="18" t="str">
        <f t="shared" si="2"/>
        <v xml:space="preserve"> </v>
      </c>
      <c r="G120" s="18" t="str">
        <f t="shared" si="2"/>
        <v xml:space="preserve"> </v>
      </c>
      <c r="H120" s="18" t="str">
        <f t="shared" si="2"/>
        <v xml:space="preserve"> </v>
      </c>
      <c r="I120" s="18" t="str">
        <f t="shared" si="2"/>
        <v xml:space="preserve"> </v>
      </c>
      <c r="J120" s="18" t="str">
        <f t="shared" si="2"/>
        <v xml:space="preserve"> </v>
      </c>
      <c r="K120" s="18" t="str">
        <f t="shared" si="2"/>
        <v xml:space="preserve"> </v>
      </c>
      <c r="L120" s="18" t="str">
        <f t="shared" si="2"/>
        <v xml:space="preserve"> </v>
      </c>
      <c r="M120" s="18" t="str">
        <f t="shared" si="2"/>
        <v xml:space="preserve"> </v>
      </c>
      <c r="N120" s="18" t="str">
        <f t="shared" si="2"/>
        <v xml:space="preserve"> </v>
      </c>
    </row>
    <row r="121" spans="1:14" s="5" customFormat="1" ht="24.95" customHeight="1" x14ac:dyDescent="0.25">
      <c r="B121" s="16" t="s">
        <v>3</v>
      </c>
      <c r="C121" s="18" t="str">
        <f t="shared" si="2"/>
        <v xml:space="preserve"> </v>
      </c>
      <c r="D121" s="18" t="str">
        <f t="shared" si="2"/>
        <v xml:space="preserve"> </v>
      </c>
      <c r="E121" s="18" t="str">
        <f t="shared" si="2"/>
        <v xml:space="preserve"> </v>
      </c>
      <c r="F121" s="18" t="str">
        <f t="shared" si="2"/>
        <v xml:space="preserve"> </v>
      </c>
      <c r="G121" s="18" t="str">
        <f t="shared" si="2"/>
        <v xml:space="preserve"> </v>
      </c>
      <c r="H121" s="18" t="str">
        <f t="shared" si="2"/>
        <v xml:space="preserve"> </v>
      </c>
      <c r="I121" s="18" t="str">
        <f t="shared" si="2"/>
        <v xml:space="preserve"> </v>
      </c>
      <c r="J121" s="18" t="str">
        <f t="shared" si="2"/>
        <v xml:space="preserve"> </v>
      </c>
      <c r="K121" s="18" t="str">
        <f t="shared" si="2"/>
        <v xml:space="preserve"> </v>
      </c>
      <c r="L121" s="18" t="str">
        <f t="shared" si="2"/>
        <v xml:space="preserve"> </v>
      </c>
      <c r="M121" s="18" t="str">
        <f t="shared" si="2"/>
        <v xml:space="preserve"> </v>
      </c>
      <c r="N121" s="18" t="str">
        <f t="shared" si="2"/>
        <v xml:space="preserve"> </v>
      </c>
    </row>
    <row r="122" spans="1:14" s="5" customFormat="1" ht="24.95" customHeight="1" x14ac:dyDescent="0.25">
      <c r="B122" s="16" t="s">
        <v>4</v>
      </c>
      <c r="C122" s="18" t="str">
        <f t="shared" si="2"/>
        <v xml:space="preserve"> </v>
      </c>
      <c r="D122" s="18" t="str">
        <f t="shared" si="2"/>
        <v xml:space="preserve"> </v>
      </c>
      <c r="E122" s="18" t="str">
        <f t="shared" si="2"/>
        <v xml:space="preserve"> </v>
      </c>
      <c r="F122" s="18" t="str">
        <f t="shared" si="2"/>
        <v xml:space="preserve"> </v>
      </c>
      <c r="G122" s="18" t="str">
        <f t="shared" si="2"/>
        <v xml:space="preserve"> </v>
      </c>
      <c r="H122" s="18" t="str">
        <f t="shared" si="2"/>
        <v xml:space="preserve"> </v>
      </c>
      <c r="I122" s="18" t="str">
        <f t="shared" si="2"/>
        <v xml:space="preserve"> </v>
      </c>
      <c r="J122" s="18" t="str">
        <f t="shared" si="2"/>
        <v xml:space="preserve"> </v>
      </c>
      <c r="K122" s="18" t="str">
        <f t="shared" si="2"/>
        <v xml:space="preserve"> </v>
      </c>
      <c r="L122" s="18" t="str">
        <f t="shared" si="2"/>
        <v xml:space="preserve"> </v>
      </c>
      <c r="M122" s="18" t="str">
        <f t="shared" si="2"/>
        <v xml:space="preserve"> </v>
      </c>
      <c r="N122" s="18" t="str">
        <f t="shared" si="2"/>
        <v xml:space="preserve"> </v>
      </c>
    </row>
    <row r="123" spans="1:14" s="5" customFormat="1" ht="24.95" customHeight="1" x14ac:dyDescent="0.25">
      <c r="B123" s="16" t="s">
        <v>5</v>
      </c>
      <c r="C123" s="18" t="str">
        <f t="shared" si="2"/>
        <v xml:space="preserve"> </v>
      </c>
      <c r="D123" s="18" t="str">
        <f t="shared" si="2"/>
        <v xml:space="preserve"> </v>
      </c>
      <c r="E123" s="18" t="str">
        <f t="shared" si="2"/>
        <v xml:space="preserve"> </v>
      </c>
      <c r="F123" s="18" t="str">
        <f t="shared" si="2"/>
        <v xml:space="preserve"> </v>
      </c>
      <c r="G123" s="18" t="str">
        <f t="shared" si="2"/>
        <v xml:space="preserve"> </v>
      </c>
      <c r="H123" s="18" t="str">
        <f t="shared" si="2"/>
        <v xml:space="preserve"> </v>
      </c>
      <c r="I123" s="18" t="str">
        <f t="shared" si="2"/>
        <v xml:space="preserve"> </v>
      </c>
      <c r="J123" s="18" t="str">
        <f t="shared" si="2"/>
        <v xml:space="preserve"> </v>
      </c>
      <c r="K123" s="18" t="str">
        <f t="shared" si="2"/>
        <v xml:space="preserve"> </v>
      </c>
      <c r="L123" s="18" t="str">
        <f t="shared" si="2"/>
        <v xml:space="preserve"> </v>
      </c>
      <c r="M123" s="18" t="str">
        <f t="shared" si="2"/>
        <v xml:space="preserve"> </v>
      </c>
      <c r="N123" s="18" t="str">
        <f t="shared" si="2"/>
        <v xml:space="preserve"> </v>
      </c>
    </row>
    <row r="124" spans="1:14" s="5" customFormat="1" ht="24.95" customHeight="1" x14ac:dyDescent="0.25">
      <c r="B124" s="16" t="s">
        <v>6</v>
      </c>
      <c r="C124" s="18" t="str">
        <f t="shared" si="2"/>
        <v xml:space="preserve"> </v>
      </c>
      <c r="D124" s="18" t="str">
        <f t="shared" si="2"/>
        <v xml:space="preserve"> </v>
      </c>
      <c r="E124" s="18" t="str">
        <f t="shared" si="2"/>
        <v xml:space="preserve"> </v>
      </c>
      <c r="F124" s="18" t="str">
        <f t="shared" si="2"/>
        <v xml:space="preserve"> </v>
      </c>
      <c r="G124" s="18" t="str">
        <f t="shared" si="2"/>
        <v xml:space="preserve"> </v>
      </c>
      <c r="H124" s="18" t="str">
        <f t="shared" si="2"/>
        <v xml:space="preserve"> </v>
      </c>
      <c r="I124" s="18" t="str">
        <f t="shared" si="2"/>
        <v xml:space="preserve"> </v>
      </c>
      <c r="J124" s="18" t="str">
        <f t="shared" si="2"/>
        <v xml:space="preserve"> </v>
      </c>
      <c r="K124" s="18" t="str">
        <f t="shared" si="2"/>
        <v xml:space="preserve"> </v>
      </c>
      <c r="L124" s="18" t="str">
        <f t="shared" si="2"/>
        <v xml:space="preserve"> </v>
      </c>
      <c r="M124" s="18" t="str">
        <f t="shared" si="2"/>
        <v xml:space="preserve"> </v>
      </c>
      <c r="N124" s="18" t="str">
        <f t="shared" si="2"/>
        <v xml:space="preserve"> </v>
      </c>
    </row>
    <row r="125" spans="1:14" s="5" customFormat="1" ht="24.95" customHeight="1" x14ac:dyDescent="0.25">
      <c r="B125" s="16" t="s">
        <v>7</v>
      </c>
      <c r="C125" s="18" t="str">
        <f t="shared" si="2"/>
        <v xml:space="preserve"> </v>
      </c>
      <c r="D125" s="18" t="str">
        <f t="shared" si="2"/>
        <v xml:space="preserve"> </v>
      </c>
      <c r="E125" s="18" t="str">
        <f t="shared" si="2"/>
        <v xml:space="preserve"> </v>
      </c>
      <c r="F125" s="18" t="str">
        <f t="shared" si="2"/>
        <v xml:space="preserve"> </v>
      </c>
      <c r="G125" s="18" t="str">
        <f t="shared" si="2"/>
        <v xml:space="preserve"> </v>
      </c>
      <c r="H125" s="18" t="str">
        <f t="shared" si="2"/>
        <v xml:space="preserve"> </v>
      </c>
      <c r="I125" s="18" t="str">
        <f t="shared" si="2"/>
        <v xml:space="preserve"> </v>
      </c>
      <c r="J125" s="18" t="str">
        <f t="shared" si="2"/>
        <v xml:space="preserve"> </v>
      </c>
      <c r="K125" s="18" t="str">
        <f t="shared" si="2"/>
        <v xml:space="preserve"> </v>
      </c>
      <c r="L125" s="18" t="str">
        <f t="shared" si="2"/>
        <v xml:space="preserve"> </v>
      </c>
      <c r="M125" s="18" t="str">
        <f t="shared" si="2"/>
        <v xml:space="preserve"> </v>
      </c>
      <c r="N125" s="18" t="str">
        <f t="shared" si="2"/>
        <v xml:space="preserve"> </v>
      </c>
    </row>
    <row r="126" spans="1:14" s="5" customFormat="1" ht="24.95" customHeight="1" thickBot="1" x14ac:dyDescent="0.3">
      <c r="B126" s="16" t="s">
        <v>8</v>
      </c>
      <c r="C126" s="18" t="str">
        <f t="shared" si="2"/>
        <v xml:space="preserve"> </v>
      </c>
      <c r="D126" s="18" t="str">
        <f t="shared" si="2"/>
        <v xml:space="preserve"> </v>
      </c>
      <c r="E126" s="18" t="str">
        <f t="shared" si="2"/>
        <v xml:space="preserve"> </v>
      </c>
      <c r="F126" s="18" t="str">
        <f t="shared" si="2"/>
        <v xml:space="preserve"> </v>
      </c>
      <c r="G126" s="18" t="str">
        <f t="shared" si="2"/>
        <v xml:space="preserve"> </v>
      </c>
      <c r="H126" s="18" t="str">
        <f t="shared" si="2"/>
        <v xml:space="preserve"> </v>
      </c>
      <c r="I126" s="18" t="str">
        <f t="shared" si="2"/>
        <v xml:space="preserve"> </v>
      </c>
      <c r="J126" s="18" t="str">
        <f t="shared" si="2"/>
        <v xml:space="preserve"> </v>
      </c>
      <c r="K126" s="18" t="str">
        <f t="shared" si="2"/>
        <v xml:space="preserve"> </v>
      </c>
      <c r="L126" s="18" t="str">
        <f t="shared" si="2"/>
        <v xml:space="preserve"> </v>
      </c>
      <c r="M126" s="18" t="str">
        <f t="shared" si="2"/>
        <v xml:space="preserve"> </v>
      </c>
      <c r="N126" s="18" t="str">
        <f t="shared" si="2"/>
        <v xml:space="preserve"> </v>
      </c>
    </row>
    <row r="127" spans="1:14" s="5" customFormat="1" ht="24.95" customHeight="1" thickBot="1" x14ac:dyDescent="0.3">
      <c r="A127" s="12"/>
      <c r="B127" s="4" t="str">
        <f>IF(ISNUMBER($E$10),IF($F$10=TRUE,CONCATENATE("Pipet ",FIXED($E$10*(E131)/8*1.1)," µL Mastermix (L) into each well of column 8 of MM plate"),CONCATENATE("Pipet ",FIXED(($G$10+1)*(E131)*1.1)," µL Mastermix (L) into first ",$H$10," wells and ",FIXED(($G$10)*(E131)*1.1)," µL into the other wells of MM plate column 8")),IF($F$11=TRUE,CONCATENATE("Pipet ",FIXED($E$11*(E131)/12*1.1)," µL Mastermix (L) into each well of row E of MM plate"),CONCATENATE("Pipet ",FIXED(($G$11+1)*(E131)*1.1)," µL Mastermix (L) into first ",$H$11," wells and ",FIXED(($G$11)*(E131)*1.1)," µL into the other wells of MM plate row H")))</f>
        <v>Pipet 26.40 µL Mastermix (L) into each well of column 8 of MM plate</v>
      </c>
    </row>
    <row r="128" spans="1:14" s="5" customFormat="1" ht="24.95" customHeight="1" thickBot="1" x14ac:dyDescent="0.3">
      <c r="A128" s="27"/>
      <c r="B128" s="27"/>
      <c r="C128" s="41"/>
      <c r="D128" s="41"/>
      <c r="E128" s="80" t="s">
        <v>21</v>
      </c>
      <c r="F128" s="135" t="str">
        <f>CONCATENATE(" Volume for ",$E$11, " samples")</f>
        <v xml:space="preserve"> Volume for  samples</v>
      </c>
      <c r="G128" s="135"/>
      <c r="K128" s="41"/>
      <c r="L128" s="41"/>
      <c r="M128" s="41"/>
      <c r="N128" s="41"/>
    </row>
    <row r="129" spans="1:15" s="5" customFormat="1" ht="24.95" customHeight="1" thickBot="1" x14ac:dyDescent="0.3">
      <c r="A129" s="12"/>
      <c r="B129" s="4" t="s">
        <v>210</v>
      </c>
      <c r="C129" s="136" t="s">
        <v>211</v>
      </c>
      <c r="D129" s="137"/>
      <c r="E129" s="54">
        <v>24</v>
      </c>
      <c r="F129" s="138" t="s">
        <v>42</v>
      </c>
      <c r="G129" s="139"/>
      <c r="H129" s="53" t="s">
        <v>20</v>
      </c>
    </row>
    <row r="130" spans="1:15" ht="24.95" customHeight="1" thickBot="1" x14ac:dyDescent="0.3">
      <c r="A130" s="13"/>
      <c r="B130" s="4"/>
      <c r="C130" s="115" t="s">
        <v>212</v>
      </c>
      <c r="D130" s="116"/>
      <c r="E130" s="77">
        <v>2</v>
      </c>
      <c r="F130" s="117" t="s">
        <v>42</v>
      </c>
      <c r="G130" s="118"/>
      <c r="H130" s="70" t="s">
        <v>20</v>
      </c>
      <c r="J130" s="26" t="s">
        <v>213</v>
      </c>
      <c r="K130" s="11"/>
    </row>
    <row r="131" spans="1:15" s="5" customFormat="1" ht="24.95" customHeight="1" thickBot="1" x14ac:dyDescent="0.3">
      <c r="A131" s="13"/>
      <c r="C131" s="140" t="s">
        <v>214</v>
      </c>
      <c r="D131" s="140"/>
      <c r="E131" s="78">
        <v>12</v>
      </c>
      <c r="F131" s="141">
        <f>IF(ISNUMBER($E$10),E131*$E$10*1.1,E131*$E$11*1.1)</f>
        <v>211.20000000000002</v>
      </c>
      <c r="G131" s="142"/>
      <c r="H131" s="79" t="s">
        <v>20</v>
      </c>
    </row>
    <row r="132" spans="1:15" s="5" customFormat="1" ht="24.95" customHeight="1" thickBot="1" x14ac:dyDescent="0.3">
      <c r="A132" s="13"/>
      <c r="C132" s="107" t="s">
        <v>160</v>
      </c>
      <c r="D132" s="108"/>
      <c r="E132" s="73">
        <f>SUM(E129:E131)</f>
        <v>38</v>
      </c>
      <c r="F132" s="109">
        <f>+SUM(F129:G131)</f>
        <v>211.20000000000002</v>
      </c>
      <c r="G132" s="110"/>
      <c r="H132" s="71" t="s">
        <v>20</v>
      </c>
      <c r="I132" s="4" t="s">
        <v>9</v>
      </c>
    </row>
    <row r="133" spans="1:15" s="5" customFormat="1" ht="24.95" customHeight="1" thickBot="1" x14ac:dyDescent="0.3">
      <c r="A133" s="12"/>
      <c r="B133" s="4" t="s">
        <v>22</v>
      </c>
      <c r="D133" s="55" t="s">
        <v>215</v>
      </c>
      <c r="F133" s="4" t="s">
        <v>200</v>
      </c>
      <c r="H133" s="35"/>
    </row>
    <row r="134" spans="1:15" s="5" customFormat="1" ht="24.95" customHeight="1" thickBot="1" x14ac:dyDescent="0.3">
      <c r="A134" s="12"/>
      <c r="B134" s="4" t="str">
        <f>IF(ISNUMBER($E$10),IF($F$10=TRUE,CONCATENATE("Pipet ",FIXED($E$10*(2)/8*1.1)," µL of USER into each well of column 9 of MM plate"),CONCATENATE("Pipet ",FIXED(($G$10+1)*(2)*1.1)," µL of USER into first ",$H$10," wells and ",FIXED(($G$10)*(2)*1.1)," µL into the other wells of column 9 of MM plate")),IF($F$11=TRUE,CONCATENATE("Pipet ",FIXED($E$11*(2)/12*1.1)," µL of USER into each well of row F of MM plate"),CONCATENATE("Pipet ",FIXED(($G$11+1)*(2)*1.1)," µL of USER into first ",$H$11," wells and ",FIXED(($G$11)*(2)*1.1)," µL into the other wells of MM plate 2 row A")))</f>
        <v>Pipet 4.40 µL of USER into each well of column 9 of MM plate</v>
      </c>
    </row>
    <row r="135" spans="1:15" s="5" customFormat="1" ht="24.95" customHeight="1" thickBot="1" x14ac:dyDescent="0.3">
      <c r="A135" s="12"/>
      <c r="B135" s="4" t="s">
        <v>216</v>
      </c>
      <c r="G135" s="4" t="s">
        <v>122</v>
      </c>
      <c r="H135" s="7"/>
    </row>
    <row r="136" spans="1:15" s="5" customFormat="1" ht="24.95" customHeight="1" thickBot="1" x14ac:dyDescent="0.3">
      <c r="A136" s="13"/>
      <c r="B136" s="111" t="s">
        <v>123</v>
      </c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3"/>
    </row>
    <row r="137" spans="1:15" s="5" customFormat="1" ht="24.95" customHeight="1" thickBot="1" x14ac:dyDescent="0.3">
      <c r="A137" s="12"/>
      <c r="B137" s="4" t="s">
        <v>124</v>
      </c>
      <c r="F137" s="4"/>
      <c r="H137" s="7"/>
    </row>
    <row r="138" spans="1:15" s="5" customFormat="1" ht="22.5" customHeight="1" thickBot="1" x14ac:dyDescent="0.3">
      <c r="A138" s="12"/>
      <c r="B138" s="4" t="str">
        <f>IF(ISNUMBER($E$10),IF($F$10=TRUE,CONCATENATE("Prepare Mastermix (PCR) according to the following table and pipet ",FIXED($E$10*(E141+E142)/8*1.1)," µL into each well of column 10 of MM plate"),CONCATENATE("Prepare Mastermix (PCR) according to the following table and pipet ",FIXED(($G$10+1)*(E141+E142)*1.1)," µL into first ",$H$10," wells and ",FIXED(($G$10)*(E141+E142)*1.1)," µL into the other wells of MM plate column 10")),IF($F$11=TRUE,CONCATENATE("Prepare Mastermix (PCR) according to the following table and pipet ",FIXED($E$11*(E141+E142)/12*1.1)," µL into each well of row B of MM plate 2"),CONCATENATE("Prepare Mastermix (PCR) according to the following table and pipet ",FIXED(($G$11+1)*(E141+E142)*1.1)," µL into first ",$H$11," wells and ",FIXED(($G$11)*(E141+E142)*1.1)," µL into the other wells of MM plate 2 row B")))</f>
        <v>Prepare Mastermix (PCR) according to the following table and pipet 55.00 µL into each well of column 10 of MM plate</v>
      </c>
      <c r="F138" s="4"/>
      <c r="H138" s="7"/>
      <c r="O138" s="11"/>
    </row>
    <row r="139" spans="1:15" s="5" customFormat="1" ht="33" customHeight="1" thickBot="1" x14ac:dyDescent="0.3">
      <c r="A139" s="27"/>
      <c r="B139" s="27"/>
      <c r="C139" s="41"/>
      <c r="D139" s="41"/>
      <c r="E139" s="38" t="s">
        <v>21</v>
      </c>
      <c r="F139" s="114" t="str">
        <f>CONCATENATE(" Volume for ", $E$11, " samples")</f>
        <v xml:space="preserve"> Volume for  samples</v>
      </c>
      <c r="G139" s="114"/>
      <c r="K139" s="41"/>
      <c r="L139" s="41"/>
      <c r="M139" s="41"/>
      <c r="N139" s="41"/>
    </row>
    <row r="140" spans="1:15" s="5" customFormat="1" ht="24.95" customHeight="1" thickBot="1" x14ac:dyDescent="0.3">
      <c r="A140" s="12"/>
      <c r="B140" s="4" t="s">
        <v>153</v>
      </c>
      <c r="C140" s="115" t="s">
        <v>125</v>
      </c>
      <c r="D140" s="116"/>
      <c r="E140" s="77">
        <v>20</v>
      </c>
      <c r="F140" s="117" t="s">
        <v>42</v>
      </c>
      <c r="G140" s="118"/>
      <c r="H140" s="70" t="s">
        <v>20</v>
      </c>
    </row>
    <row r="141" spans="1:15" s="5" customFormat="1" ht="26.25" customHeight="1" x14ac:dyDescent="0.25">
      <c r="A141" s="13"/>
      <c r="B141" s="4"/>
      <c r="C141" s="129" t="s">
        <v>217</v>
      </c>
      <c r="D141" s="130"/>
      <c r="E141" s="73">
        <v>22.5</v>
      </c>
      <c r="F141" s="109">
        <f>IF(ISNUMBER($E$10),E141*$E$10*1.1,E141*$E$11*1.1)</f>
        <v>396.00000000000006</v>
      </c>
      <c r="G141" s="110"/>
      <c r="H141" s="71" t="s">
        <v>20</v>
      </c>
      <c r="K141" s="11"/>
    </row>
    <row r="142" spans="1:15" s="5" customFormat="1" ht="24.95" customHeight="1" thickBot="1" x14ac:dyDescent="0.3">
      <c r="A142" s="13"/>
      <c r="C142" s="131" t="s">
        <v>218</v>
      </c>
      <c r="D142" s="132"/>
      <c r="E142" s="81">
        <v>2.5</v>
      </c>
      <c r="F142" s="133">
        <f>IF(ISNUMBER($E$10),E142*$E$10*1.1,E142*$E$11*1.1)</f>
        <v>44</v>
      </c>
      <c r="G142" s="134"/>
      <c r="H142" s="70" t="s">
        <v>20</v>
      </c>
    </row>
    <row r="143" spans="1:15" s="5" customFormat="1" ht="24.95" customHeight="1" thickBot="1" x14ac:dyDescent="0.3">
      <c r="A143" s="13"/>
      <c r="C143" s="107" t="s">
        <v>160</v>
      </c>
      <c r="D143" s="108"/>
      <c r="E143" s="73">
        <f>SUM(E140:E142)</f>
        <v>45</v>
      </c>
      <c r="F143" s="109">
        <f>+SUM(F141:G142)</f>
        <v>440.00000000000006</v>
      </c>
      <c r="G143" s="110"/>
      <c r="H143" s="71" t="s">
        <v>20</v>
      </c>
      <c r="I143" s="5" t="s">
        <v>9</v>
      </c>
    </row>
    <row r="144" spans="1:15" s="5" customFormat="1" ht="24.75" customHeight="1" thickBot="1" x14ac:dyDescent="0.3">
      <c r="A144" s="12"/>
      <c r="B144" s="4" t="s">
        <v>24</v>
      </c>
      <c r="F144" s="20" t="s">
        <v>128</v>
      </c>
      <c r="H144" s="7"/>
      <c r="J144" s="44"/>
    </row>
    <row r="145" spans="1:14" s="5" customFormat="1" ht="23.25" customHeight="1" x14ac:dyDescent="0.25">
      <c r="A145" s="13"/>
      <c r="F145" s="45" t="s">
        <v>130</v>
      </c>
      <c r="G145" s="105" t="str">
        <f>IF(J144&gt;0,CONCATENATE(J144," cycles"),"___cycles")</f>
        <v>___cycles</v>
      </c>
    </row>
    <row r="146" spans="1:14" s="5" customFormat="1" ht="27" customHeight="1" x14ac:dyDescent="0.25">
      <c r="A146" s="13"/>
      <c r="F146" s="46" t="s">
        <v>131</v>
      </c>
      <c r="G146" s="105"/>
      <c r="I146" s="106" t="s">
        <v>113</v>
      </c>
      <c r="J146" s="106"/>
      <c r="K146" s="106" t="s">
        <v>132</v>
      </c>
      <c r="L146" s="106"/>
    </row>
    <row r="147" spans="1:14" s="5" customFormat="1" ht="24.95" customHeight="1" x14ac:dyDescent="0.25">
      <c r="A147" s="13"/>
      <c r="F147" s="47" t="s">
        <v>133</v>
      </c>
      <c r="I147" s="106" t="s">
        <v>219</v>
      </c>
      <c r="J147" s="106"/>
      <c r="K147" s="128" t="str">
        <f>"9 - 11"</f>
        <v>9 - 11</v>
      </c>
      <c r="L147" s="128"/>
    </row>
    <row r="148" spans="1:14" s="5" customFormat="1" ht="24.95" customHeight="1" thickBot="1" x14ac:dyDescent="0.3">
      <c r="F148" s="48" t="s">
        <v>11</v>
      </c>
      <c r="I148" s="106" t="s">
        <v>220</v>
      </c>
      <c r="J148" s="106"/>
      <c r="K148" s="128" t="str">
        <f>"11 - 13"</f>
        <v>11 - 13</v>
      </c>
      <c r="L148" s="128"/>
    </row>
    <row r="149" spans="1:14" s="5" customFormat="1" ht="24.95" customHeight="1" thickBot="1" x14ac:dyDescent="0.3">
      <c r="A149" s="13"/>
      <c r="B149" s="122" t="s">
        <v>221</v>
      </c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4"/>
    </row>
    <row r="150" spans="1:14" s="5" customFormat="1" ht="24.95" customHeight="1" thickBot="1" x14ac:dyDescent="0.3">
      <c r="A150" s="12"/>
      <c r="B150" s="4" t="s">
        <v>146</v>
      </c>
      <c r="F150" s="28"/>
      <c r="I150" s="49"/>
    </row>
    <row r="151" spans="1:14" s="5" customFormat="1" ht="24.95" customHeight="1" thickBot="1" x14ac:dyDescent="0.3">
      <c r="A151" s="12"/>
      <c r="B151" s="125" t="s">
        <v>26</v>
      </c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7"/>
    </row>
    <row r="152" spans="1:14" s="5" customFormat="1" ht="24.95" customHeight="1" x14ac:dyDescent="0.25">
      <c r="A152" s="13"/>
      <c r="B152" s="33" t="s">
        <v>41</v>
      </c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 spans="1:14" s="5" customFormat="1" ht="24.95" customHeight="1" x14ac:dyDescent="0.25">
      <c r="A153" s="13"/>
      <c r="B153" s="43"/>
      <c r="C153" s="15">
        <v>1</v>
      </c>
      <c r="D153" s="15">
        <v>2</v>
      </c>
      <c r="E153" s="15">
        <v>3</v>
      </c>
      <c r="F153" s="15">
        <v>4</v>
      </c>
      <c r="G153" s="15">
        <v>5</v>
      </c>
      <c r="H153" s="15">
        <v>6</v>
      </c>
      <c r="I153" s="15">
        <v>7</v>
      </c>
      <c r="J153" s="15">
        <v>8</v>
      </c>
      <c r="K153" s="15">
        <v>9</v>
      </c>
      <c r="L153" s="15">
        <v>10</v>
      </c>
      <c r="M153" s="15">
        <v>11</v>
      </c>
      <c r="N153" s="15">
        <v>12</v>
      </c>
    </row>
    <row r="154" spans="1:14" s="5" customFormat="1" ht="24.95" customHeight="1" x14ac:dyDescent="0.25">
      <c r="B154" s="16" t="s">
        <v>1</v>
      </c>
      <c r="C154" s="17" t="e">
        <f>IF(ISNUMBER($E$10),prep_table!$AB$2,prep_table!$AB$2)</f>
        <v>#DIV/0!</v>
      </c>
      <c r="D154" s="18" t="e">
        <f>IF(ISNUMBER($E$10),prep_table!$AB$3,prep_table!$AB$9)</f>
        <v>#DIV/0!</v>
      </c>
      <c r="E154" s="17" t="e">
        <f>IF(ISNUMBER($E$10),prep_table!$AB$4,prep_table!$AB$18)</f>
        <v>#DIV/0!</v>
      </c>
      <c r="F154" s="18" t="e">
        <f>IF(ISNUMBER($E$10),prep_table!$AB$5,prep_table!$AB$26)</f>
        <v>#DIV/0!</v>
      </c>
      <c r="G154" s="17" t="e">
        <f>IF(ISNUMBER($E$10),prep_table!$AB$6,prep_table!$AB$34)</f>
        <v>#DIV/0!</v>
      </c>
      <c r="H154" s="18" t="e">
        <f>IF(ISNUMBER($E$10),prep_table!$AB$7,prep_table!$AB$42)</f>
        <v>#DIV/0!</v>
      </c>
      <c r="I154" s="17" t="e">
        <f>IF(ISNUMBER($E$10),prep_table!$AB$8,prep_table!$AB$50)</f>
        <v>#DIV/0!</v>
      </c>
      <c r="J154" s="18" t="e">
        <f>IF(ISNUMBER($E$10),prep_table!$AB$9,prep_table!$AB$58)</f>
        <v>#DIV/0!</v>
      </c>
      <c r="K154" s="17" t="e">
        <f>IF(ISNUMBER($E$10),prep_table!$AB$9,prep_table!$AB$66)</f>
        <v>#DIV/0!</v>
      </c>
      <c r="L154" s="18" t="e">
        <f>IF(ISNUMBER($E$10),prep_table!$AB$11,prep_table!$AB$74)</f>
        <v>#DIV/0!</v>
      </c>
      <c r="M154" s="17" t="e">
        <f>IF(ISNUMBER($E$10),prep_table!$AB$12,prep_table!$AB$82)</f>
        <v>#DIV/0!</v>
      </c>
      <c r="N154" s="18" t="e">
        <f>IF(ISNUMBER($E$10),prep_table!$AB$13,prep_table!$AB$90)</f>
        <v>#DIV/0!</v>
      </c>
    </row>
    <row r="155" spans="1:14" s="5" customFormat="1" ht="24.95" customHeight="1" x14ac:dyDescent="0.25">
      <c r="B155" s="16" t="s">
        <v>2</v>
      </c>
      <c r="C155" s="17" t="e">
        <f>IF(ISNUMBER($E$10),prep_table!$AB$14,prep_table!$AB$3)</f>
        <v>#DIV/0!</v>
      </c>
      <c r="D155" s="18" t="e">
        <f>IF(ISNUMBER($E$10),prep_table!$AB$15,prep_table!$AB$11)</f>
        <v>#DIV/0!</v>
      </c>
      <c r="E155" s="17" t="e">
        <f>IF(ISNUMBER($E$10),prep_table!$AB$16,prep_table!$AB$19)</f>
        <v>#DIV/0!</v>
      </c>
      <c r="F155" s="18" t="e">
        <f>IF(ISNUMBER($E$10),prep_table!$AB$17,prep_table!$AB$27)</f>
        <v>#DIV/0!</v>
      </c>
      <c r="G155" s="17" t="e">
        <f>IF(ISNUMBER($E$10),prep_table!$AB$18,prep_table!$AB$35)</f>
        <v>#DIV/0!</v>
      </c>
      <c r="H155" s="18" t="e">
        <f>IF(ISNUMBER($E$10),prep_table!$AB$19,prep_table!$AB$43)</f>
        <v>#DIV/0!</v>
      </c>
      <c r="I155" s="17" t="e">
        <f>IF(ISNUMBER($E$10),prep_table!$AB$20,prep_table!$AB$51)</f>
        <v>#DIV/0!</v>
      </c>
      <c r="J155" s="18" t="e">
        <f>IF(ISNUMBER($E$10),prep_table!$AB$21,prep_table!$AB$59)</f>
        <v>#DIV/0!</v>
      </c>
      <c r="K155" s="17" t="e">
        <f>IF(ISNUMBER($E$10),prep_table!$AB$22,prep_table!$AB$67)</f>
        <v>#DIV/0!</v>
      </c>
      <c r="L155" s="18" t="e">
        <f>IF(ISNUMBER($E$10),prep_table!$AB$23,prep_table!$AB$75)</f>
        <v>#DIV/0!</v>
      </c>
      <c r="M155" s="17" t="e">
        <f>IF(ISNUMBER($E$10),prep_table!$AB$24,prep_table!$AB$83)</f>
        <v>#DIV/0!</v>
      </c>
      <c r="N155" s="18" t="e">
        <f>IF(ISNUMBER($E$10),prep_table!$AB$25,prep_table!$AB$91)</f>
        <v>#DIV/0!</v>
      </c>
    </row>
    <row r="156" spans="1:14" s="5" customFormat="1" ht="24.95" customHeight="1" x14ac:dyDescent="0.25">
      <c r="B156" s="16" t="s">
        <v>3</v>
      </c>
      <c r="C156" s="17" t="e">
        <f>IF(ISNUMBER($E$10),prep_table!$AB$26,prep_table!$AB$4)</f>
        <v>#DIV/0!</v>
      </c>
      <c r="D156" s="18" t="e">
        <f>IF(ISNUMBER($E$10),prep_table!$AB$27,prep_table!$AB$12)</f>
        <v>#DIV/0!</v>
      </c>
      <c r="E156" s="17" t="e">
        <f>IF(ISNUMBER($E$10),prep_table!$AB$28,prep_table!$AB$20)</f>
        <v>#DIV/0!</v>
      </c>
      <c r="F156" s="18" t="e">
        <f>IF(ISNUMBER($E$10),prep_table!$AB$29,prep_table!$AB$28)</f>
        <v>#DIV/0!</v>
      </c>
      <c r="G156" s="17" t="e">
        <f>IF(ISNUMBER($E$10),prep_table!$AB$30,prep_table!$AB$36)</f>
        <v>#DIV/0!</v>
      </c>
      <c r="H156" s="18" t="e">
        <f>IF(ISNUMBER($E$10),prep_table!$AB$31,prep_table!$AB$44)</f>
        <v>#DIV/0!</v>
      </c>
      <c r="I156" s="17" t="e">
        <f>IF(ISNUMBER($E$10),prep_table!$AB$32,prep_table!$AB$52)</f>
        <v>#DIV/0!</v>
      </c>
      <c r="J156" s="18" t="e">
        <f>IF(ISNUMBER($E$10),prep_table!$AB$33,prep_table!$AB$60)</f>
        <v>#DIV/0!</v>
      </c>
      <c r="K156" s="17" t="e">
        <f>IF(ISNUMBER($E$10),prep_table!$AB$34,prep_table!$AB$68)</f>
        <v>#DIV/0!</v>
      </c>
      <c r="L156" s="18" t="e">
        <f>IF(ISNUMBER($E$10),prep_table!$AB$35,prep_table!$AB$76)</f>
        <v>#DIV/0!</v>
      </c>
      <c r="M156" s="17" t="e">
        <f>IF(ISNUMBER($E$10),prep_table!$AB$36,prep_table!$AB$84)</f>
        <v>#DIV/0!</v>
      </c>
      <c r="N156" s="18" t="e">
        <f>IF(ISNUMBER($E$10),prep_table!$AB$37,prep_table!$AB$92)</f>
        <v>#DIV/0!</v>
      </c>
    </row>
    <row r="157" spans="1:14" s="5" customFormat="1" ht="24.95" customHeight="1" x14ac:dyDescent="0.25">
      <c r="B157" s="16" t="s">
        <v>4</v>
      </c>
      <c r="C157" s="17" t="e">
        <f>IF(ISNUMBER($E$10),prep_table!$AB$38,prep_table!$AB$5)</f>
        <v>#DIV/0!</v>
      </c>
      <c r="D157" s="18" t="e">
        <f>IF(ISNUMBER($E$10),prep_table!$AB$39,prep_table!$AB$13)</f>
        <v>#DIV/0!</v>
      </c>
      <c r="E157" s="17" t="e">
        <f>IF(ISNUMBER($E$10),prep_table!$AB$40,prep_table!$AB$21)</f>
        <v>#DIV/0!</v>
      </c>
      <c r="F157" s="18" t="e">
        <f>IF(ISNUMBER($E$10),prep_table!$AB$41,prep_table!$AB$29)</f>
        <v>#DIV/0!</v>
      </c>
      <c r="G157" s="17" t="e">
        <f>IF(ISNUMBER($E$10),prep_table!$AB$42,prep_table!$AB$37)</f>
        <v>#DIV/0!</v>
      </c>
      <c r="H157" s="18" t="e">
        <f>IF(ISNUMBER($E$10),prep_table!$AB$43,prep_table!$AB$45)</f>
        <v>#DIV/0!</v>
      </c>
      <c r="I157" s="17" t="e">
        <f>IF(ISNUMBER($E$10),prep_table!$AB$43,prep_table!$AB$53)</f>
        <v>#DIV/0!</v>
      </c>
      <c r="J157" s="18" t="e">
        <f>IF(ISNUMBER($E$10),prep_table!$AB$44,prep_table!$AB$61)</f>
        <v>#DIV/0!</v>
      </c>
      <c r="K157" s="17" t="e">
        <f>IF(ISNUMBER($E$10),prep_table!$AB$45,prep_table!$AB$69)</f>
        <v>#DIV/0!</v>
      </c>
      <c r="L157" s="18" t="e">
        <f>IF(ISNUMBER($E$10),prep_table!$AB$46,prep_table!$AB$77)</f>
        <v>#DIV/0!</v>
      </c>
      <c r="M157" s="17" t="e">
        <f>IF(ISNUMBER($E$10),prep_table!$AB$47,prep_table!$AB$85)</f>
        <v>#DIV/0!</v>
      </c>
      <c r="N157" s="18" t="e">
        <f>IF(ISNUMBER($E$10),prep_table!$AB$48,prep_table!$AB$93)</f>
        <v>#DIV/0!</v>
      </c>
    </row>
    <row r="158" spans="1:14" s="5" customFormat="1" ht="24.95" customHeight="1" x14ac:dyDescent="0.25">
      <c r="B158" s="16" t="s">
        <v>5</v>
      </c>
      <c r="C158" s="17" t="e">
        <f>IF(ISNUMBER($E$10),prep_table!$AB$50,prep_table!$AB$6)</f>
        <v>#DIV/0!</v>
      </c>
      <c r="D158" s="18" t="e">
        <f>IF(ISNUMBER($E$10),prep_table!$AB$50,prep_table!$AB$14)</f>
        <v>#DIV/0!</v>
      </c>
      <c r="E158" s="17" t="e">
        <f>IF(ISNUMBER($E$10),prep_table!$AB$51,prep_table!$AB$22)</f>
        <v>#DIV/0!</v>
      </c>
      <c r="F158" s="18" t="e">
        <f>IF(ISNUMBER($E$10),prep_table!$AB$52,prep_table!$AB$30)</f>
        <v>#DIV/0!</v>
      </c>
      <c r="G158" s="17" t="e">
        <f>IF(ISNUMBER($E$10),prep_table!$AB$53,prep_table!$AB$38)</f>
        <v>#DIV/0!</v>
      </c>
      <c r="H158" s="18" t="e">
        <f>IF(ISNUMBER($E$10),prep_table!$AB$54,prep_table!$AB$46)</f>
        <v>#DIV/0!</v>
      </c>
      <c r="I158" s="17" t="e">
        <f>IF(ISNUMBER($E$10),prep_table!$AB$55,prep_table!$AB$54)</f>
        <v>#DIV/0!</v>
      </c>
      <c r="J158" s="18" t="e">
        <f>IF(ISNUMBER($E$10),prep_table!$AB$56,prep_table!$AB$62)</f>
        <v>#DIV/0!</v>
      </c>
      <c r="K158" s="17" t="e">
        <f>IF(ISNUMBER($E$10),prep_table!$AB$57,prep_table!$AB$70)</f>
        <v>#DIV/0!</v>
      </c>
      <c r="L158" s="18" t="e">
        <f>IF(ISNUMBER($E$10),prep_table!$AB$58,prep_table!$AB$78)</f>
        <v>#DIV/0!</v>
      </c>
      <c r="M158" s="17" t="e">
        <f>IF(ISNUMBER($E$10),prep_table!$AB$59,prep_table!$AB$86)</f>
        <v>#DIV/0!</v>
      </c>
      <c r="N158" s="18" t="e">
        <f>IF(ISNUMBER($E$10),prep_table!$AB$60,prep_table!$AB$94)</f>
        <v>#DIV/0!</v>
      </c>
    </row>
    <row r="159" spans="1:14" s="5" customFormat="1" ht="24.95" customHeight="1" x14ac:dyDescent="0.25">
      <c r="B159" s="16" t="s">
        <v>6</v>
      </c>
      <c r="C159" s="17" t="e">
        <f>IF(ISNUMBER($E$10),prep_table!$AB$62,prep_table!$AB$7)</f>
        <v>#DIV/0!</v>
      </c>
      <c r="D159" s="18" t="e">
        <f>IF(ISNUMBER($E$10),prep_table!$AB$62,prep_table!$AB$15)</f>
        <v>#DIV/0!</v>
      </c>
      <c r="E159" s="17" t="e">
        <f>IF(ISNUMBER($E$10),prep_table!$AB$63,prep_table!$AB$23)</f>
        <v>#DIV/0!</v>
      </c>
      <c r="F159" s="18" t="e">
        <f>IF(ISNUMBER($E$10),prep_table!$AB$64,prep_table!$AB$31)</f>
        <v>#DIV/0!</v>
      </c>
      <c r="G159" s="17" t="e">
        <f>IF(ISNUMBER($E$10),prep_table!$AB$65,prep_table!$AB$39)</f>
        <v>#DIV/0!</v>
      </c>
      <c r="H159" s="18" t="e">
        <f>IF(ISNUMBER($E$10),prep_table!$AB$66,prep_table!$AB$47)</f>
        <v>#DIV/0!</v>
      </c>
      <c r="I159" s="17" t="e">
        <f>IF(ISNUMBER($E$10),prep_table!$AB$67,prep_table!$AB$55)</f>
        <v>#DIV/0!</v>
      </c>
      <c r="J159" s="18" t="e">
        <f>IF(ISNUMBER($E$10),prep_table!$AB$68,prep_table!$AB$63)</f>
        <v>#DIV/0!</v>
      </c>
      <c r="K159" s="17" t="e">
        <f>IF(ISNUMBER($E$10),prep_table!$AB$69,prep_table!$AB$71)</f>
        <v>#DIV/0!</v>
      </c>
      <c r="L159" s="18" t="e">
        <f>IF(ISNUMBER($E$10),prep_table!$AB$70,prep_table!$AB$79)</f>
        <v>#DIV/0!</v>
      </c>
      <c r="M159" s="17" t="e">
        <f>IF(ISNUMBER($E$10),prep_table!$AB$71,prep_table!$AB$87)</f>
        <v>#DIV/0!</v>
      </c>
      <c r="N159" s="18" t="e">
        <f>IF(ISNUMBER($E$10),prep_table!$AB$71,prep_table!$AB$95)</f>
        <v>#DIV/0!</v>
      </c>
    </row>
    <row r="160" spans="1:14" s="5" customFormat="1" ht="24.95" customHeight="1" x14ac:dyDescent="0.25">
      <c r="B160" s="16" t="s">
        <v>7</v>
      </c>
      <c r="C160" s="17" t="e">
        <f>IF(ISNUMBER($E$10),prep_table!$AB$74,prep_table!$AB$8)</f>
        <v>#DIV/0!</v>
      </c>
      <c r="D160" s="18" t="e">
        <f>IF(ISNUMBER($E$10),prep_table!$AB$74,prep_table!$AB$16)</f>
        <v>#DIV/0!</v>
      </c>
      <c r="E160" s="17" t="e">
        <f>IF(ISNUMBER($E$10),prep_table!$AB$75,prep_table!$AB$24)</f>
        <v>#DIV/0!</v>
      </c>
      <c r="F160" s="18" t="e">
        <f>IF(ISNUMBER($E$10),prep_table!$AB$78,prep_table!$AB$32)</f>
        <v>#DIV/0!</v>
      </c>
      <c r="G160" s="17" t="e">
        <f>IF(ISNUMBER($E$10),prep_table!$AB$79,prep_table!$AB$40)</f>
        <v>#DIV/0!</v>
      </c>
      <c r="H160" s="18" t="e">
        <f>IF(ISNUMBER($E$10),prep_table!$AB$80,prep_table!$AB$48)</f>
        <v>#DIV/0!</v>
      </c>
      <c r="I160" s="17" t="e">
        <f>IF(ISNUMBER($E$10),prep_table!$AB$81,prep_table!$AB$56)</f>
        <v>#DIV/0!</v>
      </c>
      <c r="J160" s="18" t="e">
        <f>IF(ISNUMBER($E$10),prep_table!$AB$82,prep_table!$AB$64)</f>
        <v>#DIV/0!</v>
      </c>
      <c r="K160" s="17" t="e">
        <f>IF(ISNUMBER($E$10),prep_table!$AB$83,prep_table!$AB$72)</f>
        <v>#DIV/0!</v>
      </c>
      <c r="L160" s="18" t="e">
        <f>IF(ISNUMBER($E$10),prep_table!$AB$84,prep_table!$AB$80)</f>
        <v>#DIV/0!</v>
      </c>
      <c r="M160" s="17" t="e">
        <f>IF(ISNUMBER($E$10),prep_table!$AB$85,prep_table!$AB$88)</f>
        <v>#DIV/0!</v>
      </c>
      <c r="N160" s="18" t="e">
        <f>IF(ISNUMBER($E$10),prep_table!$AB$86,prep_table!$AB$96)</f>
        <v>#DIV/0!</v>
      </c>
    </row>
    <row r="161" spans="1:14" s="5" customFormat="1" ht="24.95" customHeight="1" thickBot="1" x14ac:dyDescent="0.3">
      <c r="B161" s="16" t="s">
        <v>8</v>
      </c>
      <c r="C161" s="17" t="e">
        <f>IF(ISNUMBER($E$10),prep_table!$AB$86,prep_table!$AB$9)</f>
        <v>#DIV/0!</v>
      </c>
      <c r="D161" s="18" t="e">
        <f>IF(ISNUMBER($E$10),prep_table!$AB$87,prep_table!$AB$17)</f>
        <v>#DIV/0!</v>
      </c>
      <c r="E161" s="17" t="e">
        <f>IF(ISNUMBER($E$10),prep_table!$AB$88,prep_table!$AB$25)</f>
        <v>#DIV/0!</v>
      </c>
      <c r="F161" s="18" t="e">
        <f>IF(ISNUMBER($E$10),prep_table!$AB$89,prep_table!$AB$33)</f>
        <v>#DIV/0!</v>
      </c>
      <c r="G161" s="17" t="e">
        <f>IF(ISNUMBER($E$10),prep_table!$AB$90,prep_table!$AB$41)</f>
        <v>#DIV/0!</v>
      </c>
      <c r="H161" s="18" t="e">
        <f>IF(ISNUMBER($E$10),prep_table!$AB$91,prep_table!$AB$49)</f>
        <v>#DIV/0!</v>
      </c>
      <c r="I161" s="17" t="e">
        <f>IF(ISNUMBER($E$10),prep_table!$AB$92,prep_table!$AB$57)</f>
        <v>#DIV/0!</v>
      </c>
      <c r="J161" s="18" t="e">
        <f>IF(ISNUMBER($E$10),prep_table!$AB$93,prep_table!$AB$65)</f>
        <v>#DIV/0!</v>
      </c>
      <c r="K161" s="17" t="e">
        <f>IF(ISNUMBER($E$10),prep_table!$AB$94,prep_table!$AB$73)</f>
        <v>#DIV/0!</v>
      </c>
      <c r="L161" s="18" t="e">
        <f>IF(ISNUMBER($E$10),prep_table!$AB$95,prep_table!$AB$81)</f>
        <v>#DIV/0!</v>
      </c>
      <c r="M161" s="17" t="e">
        <f>IF(ISNUMBER($E$10),prep_table!$AB$96,prep_table!$AB$89)</f>
        <v>#DIV/0!</v>
      </c>
      <c r="N161" s="18" t="e">
        <f>IF(ISNUMBER($E$10),prep_table!$AB$97,prep_table!$AB$97)</f>
        <v>#DIV/0!</v>
      </c>
    </row>
    <row r="162" spans="1:14" s="5" customFormat="1" ht="24.95" customHeight="1" thickBot="1" x14ac:dyDescent="0.3">
      <c r="A162" s="29"/>
      <c r="B162" s="63" t="s">
        <v>147</v>
      </c>
      <c r="C162" s="4"/>
      <c r="E162" s="64"/>
    </row>
    <row r="163" spans="1:14" s="5" customFormat="1" ht="24.95" customHeight="1" thickBot="1" x14ac:dyDescent="0.3">
      <c r="A163" s="29"/>
      <c r="B163" s="4" t="s">
        <v>222</v>
      </c>
      <c r="C163"/>
      <c r="D163"/>
      <c r="E163"/>
    </row>
    <row r="164" spans="1:14" s="5" customFormat="1" ht="24.95" customHeight="1" x14ac:dyDescent="0.25">
      <c r="A164" s="27"/>
      <c r="B164" s="4"/>
      <c r="C164" s="63" t="s">
        <v>223</v>
      </c>
      <c r="D164"/>
      <c r="E164" s="63" t="s">
        <v>224</v>
      </c>
    </row>
    <row r="165" spans="1:14" s="5" customFormat="1" ht="20.25" customHeight="1" x14ac:dyDescent="0.25">
      <c r="A165" s="27"/>
      <c r="B165" s="4"/>
      <c r="C165" s="86" t="s">
        <v>244</v>
      </c>
      <c r="D165"/>
      <c r="E165" s="94" t="s">
        <v>246</v>
      </c>
    </row>
    <row r="166" spans="1:14" s="5" customFormat="1" ht="24.95" customHeight="1" x14ac:dyDescent="0.25">
      <c r="A166" s="27"/>
      <c r="C166" s="104" t="s">
        <v>225</v>
      </c>
      <c r="D166" s="104"/>
      <c r="E166" s="104"/>
      <c r="F166" s="104"/>
      <c r="G166" s="104"/>
      <c r="H166" s="104"/>
      <c r="I166" s="104"/>
      <c r="J166" s="104"/>
      <c r="K166" s="105" t="s">
        <v>226</v>
      </c>
      <c r="L166" s="105"/>
    </row>
    <row r="167" spans="1:14" s="5" customFormat="1" ht="24.95" customHeight="1" x14ac:dyDescent="0.25">
      <c r="A167" s="27"/>
      <c r="C167" s="104" t="s">
        <v>227</v>
      </c>
      <c r="D167" s="104"/>
      <c r="E167" s="104"/>
      <c r="F167" s="104"/>
      <c r="G167" s="104"/>
      <c r="H167" s="104"/>
      <c r="I167" s="104"/>
      <c r="J167" s="104"/>
      <c r="K167" s="105" t="s">
        <v>228</v>
      </c>
      <c r="L167" s="105"/>
    </row>
    <row r="168" spans="1:14" s="5" customFormat="1" ht="24.95" customHeight="1" x14ac:dyDescent="0.25">
      <c r="A168" s="27"/>
      <c r="C168" s="104" t="s">
        <v>229</v>
      </c>
      <c r="D168" s="104"/>
      <c r="E168" s="104"/>
      <c r="F168" s="104"/>
      <c r="G168" s="104"/>
      <c r="H168" s="104"/>
      <c r="I168" s="104"/>
      <c r="J168" s="104"/>
      <c r="K168" s="105" t="s">
        <v>230</v>
      </c>
      <c r="L168" s="105"/>
    </row>
    <row r="169" spans="1:14" s="5" customFormat="1" ht="24.95" customHeight="1" x14ac:dyDescent="0.25">
      <c r="A169" s="27"/>
      <c r="C169" s="104" t="s">
        <v>231</v>
      </c>
      <c r="D169" s="104"/>
      <c r="E169" s="104"/>
      <c r="F169" s="104"/>
      <c r="G169" s="104"/>
      <c r="H169" s="104"/>
      <c r="I169" s="104"/>
      <c r="J169" s="104"/>
      <c r="K169" s="105" t="s">
        <v>232</v>
      </c>
      <c r="L169" s="105"/>
    </row>
    <row r="170" spans="1:14" s="5" customFormat="1" ht="24.95" customHeight="1" x14ac:dyDescent="0.25">
      <c r="A170" s="27"/>
      <c r="C170" s="82"/>
      <c r="D170" s="82"/>
      <c r="E170" s="82"/>
      <c r="F170" s="82"/>
      <c r="G170" s="82"/>
      <c r="H170" s="82"/>
      <c r="I170" s="82"/>
      <c r="J170" s="82"/>
      <c r="K170" s="30"/>
      <c r="L170" s="30"/>
    </row>
    <row r="171" spans="1:14" s="5" customFormat="1" ht="24.95" customHeight="1" x14ac:dyDescent="0.25">
      <c r="A171" s="27"/>
      <c r="B171" s="63"/>
      <c r="C171" s="4"/>
    </row>
    <row r="172" spans="1:14" s="5" customFormat="1" ht="24.95" customHeight="1" x14ac:dyDescent="0.25">
      <c r="C172" s="119" t="s">
        <v>31</v>
      </c>
      <c r="D172" s="120"/>
      <c r="E172" s="121"/>
      <c r="F172" s="95" t="s">
        <v>233</v>
      </c>
      <c r="G172" s="96"/>
      <c r="H172" s="96"/>
      <c r="I172" s="97"/>
    </row>
    <row r="173" spans="1:14" s="5" customFormat="1" ht="24.95" customHeight="1" x14ac:dyDescent="0.25">
      <c r="C173" s="95" t="s">
        <v>32</v>
      </c>
      <c r="D173" s="96"/>
      <c r="E173" s="97"/>
      <c r="F173" s="95" t="s">
        <v>29</v>
      </c>
      <c r="G173" s="96"/>
      <c r="H173" s="96"/>
      <c r="I173" s="97"/>
    </row>
    <row r="174" spans="1:14" s="5" customFormat="1" ht="34.5" customHeight="1" x14ac:dyDescent="0.25">
      <c r="C174" s="95" t="s">
        <v>33</v>
      </c>
      <c r="D174" s="96"/>
      <c r="E174" s="97"/>
      <c r="F174" s="95" t="s">
        <v>30</v>
      </c>
      <c r="G174" s="96"/>
      <c r="H174" s="96"/>
      <c r="I174" s="97"/>
    </row>
    <row r="175" spans="1:14" s="5" customFormat="1" ht="45.75" customHeight="1" x14ac:dyDescent="0.25">
      <c r="C175" s="95" t="s">
        <v>34</v>
      </c>
      <c r="D175" s="96"/>
      <c r="E175" s="97"/>
      <c r="F175" s="95" t="s">
        <v>148</v>
      </c>
      <c r="G175" s="96"/>
      <c r="H175" s="96"/>
      <c r="I175" s="97"/>
    </row>
    <row r="176" spans="1:14" s="5" customFormat="1" ht="24.95" customHeight="1" x14ac:dyDescent="0.25">
      <c r="C176" s="95" t="s">
        <v>35</v>
      </c>
      <c r="D176" s="96"/>
      <c r="E176" s="97"/>
      <c r="F176" s="95" t="s">
        <v>234</v>
      </c>
      <c r="G176" s="96"/>
      <c r="H176" s="96"/>
      <c r="I176" s="97"/>
    </row>
    <row r="177" spans="3:9" s="5" customFormat="1" ht="24.95" customHeight="1" x14ac:dyDescent="0.25">
      <c r="C177" s="95" t="s">
        <v>36</v>
      </c>
      <c r="D177" s="96"/>
      <c r="E177" s="97"/>
      <c r="F177" s="95" t="s">
        <v>27</v>
      </c>
      <c r="G177" s="96"/>
      <c r="H177" s="96"/>
      <c r="I177" s="97"/>
    </row>
    <row r="178" spans="3:9" s="5" customFormat="1" ht="24.95" customHeight="1" x14ac:dyDescent="0.25">
      <c r="C178" s="95" t="s">
        <v>38</v>
      </c>
      <c r="D178" s="96"/>
      <c r="E178" s="97"/>
      <c r="F178" s="95">
        <v>20241219</v>
      </c>
      <c r="G178" s="96"/>
      <c r="H178" s="96"/>
      <c r="I178" s="97"/>
    </row>
    <row r="179" spans="3:9" s="5" customFormat="1" ht="24.6" customHeight="1" x14ac:dyDescent="0.25">
      <c r="C179" s="95" t="s">
        <v>37</v>
      </c>
      <c r="D179" s="96"/>
      <c r="E179" s="97"/>
      <c r="F179" s="98">
        <v>20241021</v>
      </c>
      <c r="G179" s="99"/>
      <c r="H179" s="99"/>
      <c r="I179" s="100"/>
    </row>
  </sheetData>
  <mergeCells count="150">
    <mergeCell ref="A5:D5"/>
    <mergeCell ref="E5:G5"/>
    <mergeCell ref="A6:D6"/>
    <mergeCell ref="A7:D7"/>
    <mergeCell ref="E7:G7"/>
    <mergeCell ref="A8:D8"/>
    <mergeCell ref="E8:G8"/>
    <mergeCell ref="C1:J1"/>
    <mergeCell ref="A2:D2"/>
    <mergeCell ref="E2:G2"/>
    <mergeCell ref="A3:D3"/>
    <mergeCell ref="E3:G3"/>
    <mergeCell ref="A4:D4"/>
    <mergeCell ref="E4:G4"/>
    <mergeCell ref="J4:K4"/>
    <mergeCell ref="C44:D44"/>
    <mergeCell ref="F44:G44"/>
    <mergeCell ref="C45:D45"/>
    <mergeCell ref="F45:G45"/>
    <mergeCell ref="F46:G46"/>
    <mergeCell ref="B47:N47"/>
    <mergeCell ref="A9:D9"/>
    <mergeCell ref="E9:G9"/>
    <mergeCell ref="A11:D11"/>
    <mergeCell ref="B12:N12"/>
    <mergeCell ref="B41:N41"/>
    <mergeCell ref="F43:G43"/>
    <mergeCell ref="C53:D53"/>
    <mergeCell ref="F53:G53"/>
    <mergeCell ref="B57:N57"/>
    <mergeCell ref="F59:G59"/>
    <mergeCell ref="C60:D60"/>
    <mergeCell ref="F60:G60"/>
    <mergeCell ref="F49:G49"/>
    <mergeCell ref="C50:D50"/>
    <mergeCell ref="F50:G50"/>
    <mergeCell ref="C51:D51"/>
    <mergeCell ref="F51:G51"/>
    <mergeCell ref="C52:D52"/>
    <mergeCell ref="F52:G52"/>
    <mergeCell ref="C64:D64"/>
    <mergeCell ref="F64:G64"/>
    <mergeCell ref="B67:N67"/>
    <mergeCell ref="F69:G69"/>
    <mergeCell ref="C70:D70"/>
    <mergeCell ref="F70:G70"/>
    <mergeCell ref="C61:D61"/>
    <mergeCell ref="F61:G61"/>
    <mergeCell ref="C63:D63"/>
    <mergeCell ref="F63:G63"/>
    <mergeCell ref="C62:D62"/>
    <mergeCell ref="F62:G62"/>
    <mergeCell ref="C74:D74"/>
    <mergeCell ref="F74:G74"/>
    <mergeCell ref="B77:N77"/>
    <mergeCell ref="B83:N83"/>
    <mergeCell ref="F85:G85"/>
    <mergeCell ref="C86:D86"/>
    <mergeCell ref="F86:G86"/>
    <mergeCell ref="C71:D71"/>
    <mergeCell ref="F71:G71"/>
    <mergeCell ref="C72:D72"/>
    <mergeCell ref="F72:G72"/>
    <mergeCell ref="C73:D73"/>
    <mergeCell ref="F73:G73"/>
    <mergeCell ref="B94:N94"/>
    <mergeCell ref="F96:G96"/>
    <mergeCell ref="C97:D97"/>
    <mergeCell ref="F97:G97"/>
    <mergeCell ref="C98:D98"/>
    <mergeCell ref="F98:G98"/>
    <mergeCell ref="C87:D87"/>
    <mergeCell ref="F87:G87"/>
    <mergeCell ref="C88:D88"/>
    <mergeCell ref="F88:G88"/>
    <mergeCell ref="C89:D89"/>
    <mergeCell ref="F89:G89"/>
    <mergeCell ref="C107:D107"/>
    <mergeCell ref="F107:G107"/>
    <mergeCell ref="C108:D108"/>
    <mergeCell ref="F108:G108"/>
    <mergeCell ref="C109:D109"/>
    <mergeCell ref="F109:G109"/>
    <mergeCell ref="C99:D99"/>
    <mergeCell ref="F99:G99"/>
    <mergeCell ref="B101:N101"/>
    <mergeCell ref="B103:N103"/>
    <mergeCell ref="F105:G105"/>
    <mergeCell ref="C106:D106"/>
    <mergeCell ref="F106:G106"/>
    <mergeCell ref="F128:G128"/>
    <mergeCell ref="C129:D129"/>
    <mergeCell ref="F129:G129"/>
    <mergeCell ref="C130:D130"/>
    <mergeCell ref="F130:G130"/>
    <mergeCell ref="C131:D131"/>
    <mergeCell ref="F131:G131"/>
    <mergeCell ref="B113:N113"/>
    <mergeCell ref="H114:I114"/>
    <mergeCell ref="J114:K114"/>
    <mergeCell ref="H115:I115"/>
    <mergeCell ref="J115:K115"/>
    <mergeCell ref="H116:I116"/>
    <mergeCell ref="J116:K116"/>
    <mergeCell ref="K146:L146"/>
    <mergeCell ref="I147:J147"/>
    <mergeCell ref="K147:L147"/>
    <mergeCell ref="I148:J148"/>
    <mergeCell ref="K148:L148"/>
    <mergeCell ref="C141:D141"/>
    <mergeCell ref="F141:G141"/>
    <mergeCell ref="C142:D142"/>
    <mergeCell ref="F142:G142"/>
    <mergeCell ref="C143:D143"/>
    <mergeCell ref="F143:G143"/>
    <mergeCell ref="K168:L168"/>
    <mergeCell ref="C169:J169"/>
    <mergeCell ref="K169:L169"/>
    <mergeCell ref="C172:E172"/>
    <mergeCell ref="F172:I172"/>
    <mergeCell ref="B149:N149"/>
    <mergeCell ref="B151:N151"/>
    <mergeCell ref="C166:J166"/>
    <mergeCell ref="K166:L166"/>
    <mergeCell ref="C167:J167"/>
    <mergeCell ref="K167:L167"/>
    <mergeCell ref="C179:E179"/>
    <mergeCell ref="F179:I179"/>
    <mergeCell ref="A10:D10"/>
    <mergeCell ref="C176:E176"/>
    <mergeCell ref="F176:I176"/>
    <mergeCell ref="C177:E177"/>
    <mergeCell ref="F177:I177"/>
    <mergeCell ref="C178:E178"/>
    <mergeCell ref="F178:I178"/>
    <mergeCell ref="C173:E173"/>
    <mergeCell ref="F173:I173"/>
    <mergeCell ref="C174:E174"/>
    <mergeCell ref="F174:I174"/>
    <mergeCell ref="C175:E175"/>
    <mergeCell ref="F175:I175"/>
    <mergeCell ref="C168:J168"/>
    <mergeCell ref="G145:G146"/>
    <mergeCell ref="I146:J146"/>
    <mergeCell ref="C132:D132"/>
    <mergeCell ref="F132:G132"/>
    <mergeCell ref="B136:N136"/>
    <mergeCell ref="F139:G139"/>
    <mergeCell ref="C140:D140"/>
    <mergeCell ref="F140:G140"/>
  </mergeCells>
  <conditionalFormatting sqref="C24:N31">
    <cfRule type="cellIs" dxfId="8" priority="1" operator="equal">
      <formula>4.5</formula>
    </cfRule>
    <cfRule type="cellIs" dxfId="7" priority="2" operator="equal">
      <formula>3.5</formula>
    </cfRule>
    <cfRule type="cellIs" dxfId="6" priority="3" operator="equal">
      <formula>2.5</formula>
    </cfRule>
    <cfRule type="cellIs" dxfId="5" priority="4" operator="equal">
      <formula>1.5</formula>
    </cfRule>
    <cfRule type="cellIs" dxfId="4" priority="5" operator="equal">
      <formula>5</formula>
    </cfRule>
    <cfRule type="cellIs" dxfId="3" priority="6" operator="equal">
      <formula>4</formula>
    </cfRule>
    <cfRule type="cellIs" dxfId="2" priority="7" operator="equal">
      <formula>3</formula>
    </cfRule>
    <cfRule type="cellIs" dxfId="1" priority="8" operator="equal">
      <formula>2</formula>
    </cfRule>
    <cfRule type="cellIs" dxfId="0" priority="9" operator="equal">
      <formula>1</formula>
    </cfRule>
  </conditionalFormatting>
  <pageMargins left="0.7" right="0.7" top="0.75" bottom="0.75" header="0.3" footer="0.3"/>
  <pageSetup paperSize="0" scale="5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0</xdr:col>
                    <xdr:colOff>38100</xdr:colOff>
                    <xdr:row>47</xdr:row>
                    <xdr:rowOff>66675</xdr:rowOff>
                  </from>
                  <to>
                    <xdr:col>1</xdr:col>
                    <xdr:colOff>76200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0</xdr:col>
                    <xdr:colOff>38100</xdr:colOff>
                    <xdr:row>49</xdr:row>
                    <xdr:rowOff>66675</xdr:rowOff>
                  </from>
                  <to>
                    <xdr:col>1</xdr:col>
                    <xdr:colOff>76200</xdr:colOff>
                    <xdr:row>49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57</xdr:row>
                    <xdr:rowOff>66675</xdr:rowOff>
                  </from>
                  <to>
                    <xdr:col>1</xdr:col>
                    <xdr:colOff>76200</xdr:colOff>
                    <xdr:row>57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0</xdr:col>
                    <xdr:colOff>38100</xdr:colOff>
                    <xdr:row>59</xdr:row>
                    <xdr:rowOff>66675</xdr:rowOff>
                  </from>
                  <to>
                    <xdr:col>1</xdr:col>
                    <xdr:colOff>76200</xdr:colOff>
                    <xdr:row>59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0</xdr:col>
                    <xdr:colOff>38100</xdr:colOff>
                    <xdr:row>53</xdr:row>
                    <xdr:rowOff>66675</xdr:rowOff>
                  </from>
                  <to>
                    <xdr:col>1</xdr:col>
                    <xdr:colOff>76200</xdr:colOff>
                    <xdr:row>53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0</xdr:col>
                    <xdr:colOff>38100</xdr:colOff>
                    <xdr:row>64</xdr:row>
                    <xdr:rowOff>66675</xdr:rowOff>
                  </from>
                  <to>
                    <xdr:col>1</xdr:col>
                    <xdr:colOff>76200</xdr:colOff>
                    <xdr:row>64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67</xdr:row>
                    <xdr:rowOff>66675</xdr:rowOff>
                  </from>
                  <to>
                    <xdr:col>1</xdr:col>
                    <xdr:colOff>76200</xdr:colOff>
                    <xdr:row>67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0</xdr:col>
                    <xdr:colOff>38100</xdr:colOff>
                    <xdr:row>69</xdr:row>
                    <xdr:rowOff>66675</xdr:rowOff>
                  </from>
                  <to>
                    <xdr:col>1</xdr:col>
                    <xdr:colOff>76200</xdr:colOff>
                    <xdr:row>69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0</xdr:col>
                    <xdr:colOff>38100</xdr:colOff>
                    <xdr:row>74</xdr:row>
                    <xdr:rowOff>66675</xdr:rowOff>
                  </from>
                  <to>
                    <xdr:col>1</xdr:col>
                    <xdr:colOff>76200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0</xdr:col>
                    <xdr:colOff>38100</xdr:colOff>
                    <xdr:row>83</xdr:row>
                    <xdr:rowOff>66675</xdr:rowOff>
                  </from>
                  <to>
                    <xdr:col>1</xdr:col>
                    <xdr:colOff>76200</xdr:colOff>
                    <xdr:row>83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0</xdr:col>
                    <xdr:colOff>38100</xdr:colOff>
                    <xdr:row>85</xdr:row>
                    <xdr:rowOff>66675</xdr:rowOff>
                  </from>
                  <to>
                    <xdr:col>1</xdr:col>
                    <xdr:colOff>76200</xdr:colOff>
                    <xdr:row>85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0</xdr:col>
                    <xdr:colOff>38100</xdr:colOff>
                    <xdr:row>89</xdr:row>
                    <xdr:rowOff>66675</xdr:rowOff>
                  </from>
                  <to>
                    <xdr:col>1</xdr:col>
                    <xdr:colOff>76200</xdr:colOff>
                    <xdr:row>89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0</xdr:col>
                    <xdr:colOff>38100</xdr:colOff>
                    <xdr:row>94</xdr:row>
                    <xdr:rowOff>66675</xdr:rowOff>
                  </from>
                  <to>
                    <xdr:col>1</xdr:col>
                    <xdr:colOff>76200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0</xdr:col>
                    <xdr:colOff>38100</xdr:colOff>
                    <xdr:row>96</xdr:row>
                    <xdr:rowOff>66675</xdr:rowOff>
                  </from>
                  <to>
                    <xdr:col>1</xdr:col>
                    <xdr:colOff>76200</xdr:colOff>
                    <xdr:row>96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0</xdr:col>
                    <xdr:colOff>38100</xdr:colOff>
                    <xdr:row>99</xdr:row>
                    <xdr:rowOff>66675</xdr:rowOff>
                  </from>
                  <to>
                    <xdr:col>1</xdr:col>
                    <xdr:colOff>76200</xdr:colOff>
                    <xdr:row>99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0</xdr:col>
                    <xdr:colOff>38100</xdr:colOff>
                    <xdr:row>101</xdr:row>
                    <xdr:rowOff>66675</xdr:rowOff>
                  </from>
                  <to>
                    <xdr:col>1</xdr:col>
                    <xdr:colOff>76200</xdr:colOff>
                    <xdr:row>101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0</xdr:col>
                    <xdr:colOff>38100</xdr:colOff>
                    <xdr:row>103</xdr:row>
                    <xdr:rowOff>66675</xdr:rowOff>
                  </from>
                  <to>
                    <xdr:col>1</xdr:col>
                    <xdr:colOff>76200</xdr:colOff>
                    <xdr:row>103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0</xdr:col>
                    <xdr:colOff>38100</xdr:colOff>
                    <xdr:row>105</xdr:row>
                    <xdr:rowOff>66675</xdr:rowOff>
                  </from>
                  <to>
                    <xdr:col>1</xdr:col>
                    <xdr:colOff>76200</xdr:colOff>
                    <xdr:row>105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0</xdr:col>
                    <xdr:colOff>38100</xdr:colOff>
                    <xdr:row>109</xdr:row>
                    <xdr:rowOff>66675</xdr:rowOff>
                  </from>
                  <to>
                    <xdr:col>1</xdr:col>
                    <xdr:colOff>76200</xdr:colOff>
                    <xdr:row>109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0</xdr:col>
                    <xdr:colOff>38100</xdr:colOff>
                    <xdr:row>113</xdr:row>
                    <xdr:rowOff>47625</xdr:rowOff>
                  </from>
                  <to>
                    <xdr:col>1</xdr:col>
                    <xdr:colOff>76200</xdr:colOff>
                    <xdr:row>113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0</xdr:col>
                    <xdr:colOff>38100</xdr:colOff>
                    <xdr:row>41</xdr:row>
                    <xdr:rowOff>66675</xdr:rowOff>
                  </from>
                  <to>
                    <xdr:col>1</xdr:col>
                    <xdr:colOff>76200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0</xdr:col>
                    <xdr:colOff>38100</xdr:colOff>
                    <xdr:row>43</xdr:row>
                    <xdr:rowOff>47625</xdr:rowOff>
                  </from>
                  <to>
                    <xdr:col>1</xdr:col>
                    <xdr:colOff>76200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0</xdr:col>
                    <xdr:colOff>38100</xdr:colOff>
                    <xdr:row>79</xdr:row>
                    <xdr:rowOff>66675</xdr:rowOff>
                  </from>
                  <to>
                    <xdr:col>1</xdr:col>
                    <xdr:colOff>76200</xdr:colOff>
                    <xdr:row>79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0</xdr:col>
                    <xdr:colOff>38100</xdr:colOff>
                    <xdr:row>116</xdr:row>
                    <xdr:rowOff>47625</xdr:rowOff>
                  </from>
                  <to>
                    <xdr:col>1</xdr:col>
                    <xdr:colOff>76200</xdr:colOff>
                    <xdr:row>116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0</xdr:col>
                    <xdr:colOff>38100</xdr:colOff>
                    <xdr:row>133</xdr:row>
                    <xdr:rowOff>47625</xdr:rowOff>
                  </from>
                  <to>
                    <xdr:col>1</xdr:col>
                    <xdr:colOff>76200</xdr:colOff>
                    <xdr:row>133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0</xdr:col>
                    <xdr:colOff>38100</xdr:colOff>
                    <xdr:row>134</xdr:row>
                    <xdr:rowOff>47625</xdr:rowOff>
                  </from>
                  <to>
                    <xdr:col>1</xdr:col>
                    <xdr:colOff>76200</xdr:colOff>
                    <xdr:row>134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0</xdr:col>
                    <xdr:colOff>38100</xdr:colOff>
                    <xdr:row>137</xdr:row>
                    <xdr:rowOff>47625</xdr:rowOff>
                  </from>
                  <to>
                    <xdr:col>1</xdr:col>
                    <xdr:colOff>76200</xdr:colOff>
                    <xdr:row>137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0</xdr:col>
                    <xdr:colOff>38100</xdr:colOff>
                    <xdr:row>126</xdr:row>
                    <xdr:rowOff>47625</xdr:rowOff>
                  </from>
                  <to>
                    <xdr:col>1</xdr:col>
                    <xdr:colOff>76200</xdr:colOff>
                    <xdr:row>126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0</xdr:col>
                    <xdr:colOff>38100</xdr:colOff>
                    <xdr:row>143</xdr:row>
                    <xdr:rowOff>47625</xdr:rowOff>
                  </from>
                  <to>
                    <xdr:col>1</xdr:col>
                    <xdr:colOff>76200</xdr:colOff>
                    <xdr:row>143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0</xdr:col>
                    <xdr:colOff>38100</xdr:colOff>
                    <xdr:row>139</xdr:row>
                    <xdr:rowOff>47625</xdr:rowOff>
                  </from>
                  <to>
                    <xdr:col>1</xdr:col>
                    <xdr:colOff>76200</xdr:colOff>
                    <xdr:row>139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0</xdr:col>
                    <xdr:colOff>38100</xdr:colOff>
                    <xdr:row>150</xdr:row>
                    <xdr:rowOff>47625</xdr:rowOff>
                  </from>
                  <to>
                    <xdr:col>1</xdr:col>
                    <xdr:colOff>76200</xdr:colOff>
                    <xdr:row>150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>
                  <from>
                    <xdr:col>0</xdr:col>
                    <xdr:colOff>38100</xdr:colOff>
                    <xdr:row>132</xdr:row>
                    <xdr:rowOff>47625</xdr:rowOff>
                  </from>
                  <to>
                    <xdr:col>1</xdr:col>
                    <xdr:colOff>76200</xdr:colOff>
                    <xdr:row>132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>
                  <from>
                    <xdr:col>0</xdr:col>
                    <xdr:colOff>38100</xdr:colOff>
                    <xdr:row>128</xdr:row>
                    <xdr:rowOff>47625</xdr:rowOff>
                  </from>
                  <to>
                    <xdr:col>1</xdr:col>
                    <xdr:colOff>76200</xdr:colOff>
                    <xdr:row>128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>
                  <from>
                    <xdr:col>0</xdr:col>
                    <xdr:colOff>38100</xdr:colOff>
                    <xdr:row>149</xdr:row>
                    <xdr:rowOff>66675</xdr:rowOff>
                  </from>
                  <to>
                    <xdr:col>1</xdr:col>
                    <xdr:colOff>76200</xdr:colOff>
                    <xdr:row>150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>
                  <from>
                    <xdr:col>0</xdr:col>
                    <xdr:colOff>38100</xdr:colOff>
                    <xdr:row>136</xdr:row>
                    <xdr:rowOff>47625</xdr:rowOff>
                  </from>
                  <to>
                    <xdr:col>1</xdr:col>
                    <xdr:colOff>76200</xdr:colOff>
                    <xdr:row>136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>
                  <from>
                    <xdr:col>0</xdr:col>
                    <xdr:colOff>38100</xdr:colOff>
                    <xdr:row>81</xdr:row>
                    <xdr:rowOff>66675</xdr:rowOff>
                  </from>
                  <to>
                    <xdr:col>1</xdr:col>
                    <xdr:colOff>76200</xdr:colOff>
                    <xdr:row>81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Fill="0" autoLine="0" autoPict="0">
                <anchor moveWithCells="1">
                  <from>
                    <xdr:col>0</xdr:col>
                    <xdr:colOff>38100</xdr:colOff>
                    <xdr:row>161</xdr:row>
                    <xdr:rowOff>304800</xdr:rowOff>
                  </from>
                  <to>
                    <xdr:col>1</xdr:col>
                    <xdr:colOff>104775</xdr:colOff>
                    <xdr:row>163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Fill="0" autoLine="0" autoPict="0">
                <anchor moveWithCells="1">
                  <from>
                    <xdr:col>0</xdr:col>
                    <xdr:colOff>38100</xdr:colOff>
                    <xdr:row>12</xdr:row>
                    <xdr:rowOff>66675</xdr:rowOff>
                  </from>
                  <to>
                    <xdr:col>1</xdr:col>
                    <xdr:colOff>76200</xdr:colOff>
                    <xdr:row>12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Fill="0" autoLine="0" autoPict="0">
                <anchor moveWithCells="1">
                  <from>
                    <xdr:col>0</xdr:col>
                    <xdr:colOff>38100</xdr:colOff>
                    <xdr:row>160</xdr:row>
                    <xdr:rowOff>295275</xdr:rowOff>
                  </from>
                  <to>
                    <xdr:col>1</xdr:col>
                    <xdr:colOff>104775</xdr:colOff>
                    <xdr:row>162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Fill="0" autoLine="0" autoPict="0">
                <anchor moveWithCells="1">
                  <from>
                    <xdr:col>0</xdr:col>
                    <xdr:colOff>38100</xdr:colOff>
                    <xdr:row>78</xdr:row>
                    <xdr:rowOff>66675</xdr:rowOff>
                  </from>
                  <to>
                    <xdr:col>1</xdr:col>
                    <xdr:colOff>76200</xdr:colOff>
                    <xdr:row>78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Fill="0" autoLine="0" autoPict="0">
                <anchor moveWithCells="1">
                  <from>
                    <xdr:col>0</xdr:col>
                    <xdr:colOff>38100</xdr:colOff>
                    <xdr:row>77</xdr:row>
                    <xdr:rowOff>66675</xdr:rowOff>
                  </from>
                  <to>
                    <xdr:col>1</xdr:col>
                    <xdr:colOff>76200</xdr:colOff>
                    <xdr:row>77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B60C84-AA0A-4ABE-AA1C-4233A27D3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prep_table</vt:lpstr>
      <vt:lpstr>polyA_express</vt:lpstr>
      <vt:lpstr>rRNA_Depletion_express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Riegler</dc:creator>
  <cp:lastModifiedBy>Hannah Riegler</cp:lastModifiedBy>
  <cp:lastPrinted>2024-07-15T12:24:02Z</cp:lastPrinted>
  <dcterms:created xsi:type="dcterms:W3CDTF">2021-12-15T12:05:33Z</dcterms:created>
  <dcterms:modified xsi:type="dcterms:W3CDTF">2026-08-26T11:13:25Z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fb97e-6a22-4658-b35c-bacc77de03e2_Enabled">
    <vt:lpwstr>true</vt:lpwstr>
  </property>
  <property fmtid="{D5CDD505-2E9C-101B-9397-08002B2CF9AE}" pid="3" name="MSIP_Label_17efb97e-6a22-4658-b35c-bacc77de03e2_SetDate">
    <vt:lpwstr>2023-06-05T12:07:36Z</vt:lpwstr>
  </property>
  <property fmtid="{D5CDD505-2E9C-101B-9397-08002B2CF9AE}" pid="4" name="MSIP_Label_17efb97e-6a22-4658-b35c-bacc77de03e2_Method">
    <vt:lpwstr>Standard</vt:lpwstr>
  </property>
  <property fmtid="{D5CDD505-2E9C-101B-9397-08002B2CF9AE}" pid="5" name="MSIP_Label_17efb97e-6a22-4658-b35c-bacc77de03e2_Name">
    <vt:lpwstr>defa4170-0d19-0005-0004-bc88714345d2</vt:lpwstr>
  </property>
  <property fmtid="{D5CDD505-2E9C-101B-9397-08002B2CF9AE}" pid="6" name="MSIP_Label_17efb97e-6a22-4658-b35c-bacc77de03e2_SiteId">
    <vt:lpwstr>ca39edd1-7349-449a-bbae-314640be0def</vt:lpwstr>
  </property>
  <property fmtid="{D5CDD505-2E9C-101B-9397-08002B2CF9AE}" pid="7" name="MSIP_Label_17efb97e-6a22-4658-b35c-bacc77de03e2_ActionId">
    <vt:lpwstr>b9c67c21-efd6-4bb5-9eb0-23ae1130fa50</vt:lpwstr>
  </property>
  <property fmtid="{D5CDD505-2E9C-101B-9397-08002B2CF9AE}" pid="8" name="MSIP_Label_17efb97e-6a22-4658-b35c-bacc77de03e2_ContentBits">
    <vt:lpwstr>0</vt:lpwstr>
  </property>
</Properties>
</file>