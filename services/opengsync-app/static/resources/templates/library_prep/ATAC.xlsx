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egler\Documents\limbless-app\services\opengsync-app\static\resources\templates\library_prep\"/>
    </mc:Choice>
  </mc:AlternateContent>
  <xr:revisionPtr revIDLastSave="0" documentId="13_ncr:1_{E1EDAC4D-4CB4-4AFB-9B92-A24C04922CE2}" xr6:coauthVersionLast="47" xr6:coauthVersionMax="47" xr10:uidLastSave="{00000000-0000-0000-0000-000000000000}"/>
  <bookViews>
    <workbookView xWindow="-120" yWindow="-120" windowWidth="29040" windowHeight="17520" activeTab="1" xr2:uid="{BA8AB787-1E1F-024C-A296-E8A36875047B}"/>
  </bookViews>
  <sheets>
    <sheet name="prep_table" sheetId="1" r:id="rId1"/>
    <sheet name="Checklist" sheetId="3" r:id="rId2"/>
    <sheet name="Indexes" sheetId="4" r:id="rId3"/>
  </sheets>
  <definedNames>
    <definedName name="_Hlk114062637" localSheetId="1">Checklist!$C$69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3" l="1"/>
  <c r="M61" i="3"/>
  <c r="L61" i="3"/>
  <c r="K61" i="3"/>
  <c r="J61" i="3"/>
  <c r="I61" i="3"/>
  <c r="H61" i="3"/>
  <c r="G61" i="3"/>
  <c r="F61" i="3"/>
  <c r="E61" i="3"/>
  <c r="D61" i="3"/>
  <c r="C61" i="3"/>
  <c r="N60" i="3"/>
  <c r="M60" i="3"/>
  <c r="L60" i="3"/>
  <c r="K60" i="3"/>
  <c r="J60" i="3"/>
  <c r="I60" i="3"/>
  <c r="H60" i="3"/>
  <c r="G60" i="3"/>
  <c r="F60" i="3"/>
  <c r="E60" i="3"/>
  <c r="D60" i="3"/>
  <c r="C60" i="3"/>
  <c r="N59" i="3"/>
  <c r="M59" i="3"/>
  <c r="L59" i="3"/>
  <c r="K59" i="3"/>
  <c r="J59" i="3"/>
  <c r="I59" i="3"/>
  <c r="H59" i="3"/>
  <c r="G59" i="3"/>
  <c r="F59" i="3"/>
  <c r="E59" i="3"/>
  <c r="D59" i="3"/>
  <c r="C59" i="3"/>
  <c r="N58" i="3"/>
  <c r="M58" i="3"/>
  <c r="L58" i="3"/>
  <c r="K58" i="3"/>
  <c r="J58" i="3"/>
  <c r="I58" i="3"/>
  <c r="H58" i="3"/>
  <c r="G58" i="3"/>
  <c r="F58" i="3"/>
  <c r="E58" i="3"/>
  <c r="D58" i="3"/>
  <c r="C58" i="3"/>
  <c r="N57" i="3"/>
  <c r="M57" i="3"/>
  <c r="L57" i="3"/>
  <c r="K57" i="3"/>
  <c r="J57" i="3"/>
  <c r="I57" i="3"/>
  <c r="H57" i="3"/>
  <c r="G57" i="3"/>
  <c r="F57" i="3"/>
  <c r="E57" i="3"/>
  <c r="D57" i="3"/>
  <c r="C57" i="3"/>
  <c r="N56" i="3"/>
  <c r="M56" i="3"/>
  <c r="L56" i="3"/>
  <c r="K56" i="3"/>
  <c r="J56" i="3"/>
  <c r="I56" i="3"/>
  <c r="H56" i="3"/>
  <c r="G56" i="3"/>
  <c r="F56" i="3"/>
  <c r="E56" i="3"/>
  <c r="D56" i="3"/>
  <c r="C56" i="3"/>
  <c r="N55" i="3"/>
  <c r="M55" i="3"/>
  <c r="L55" i="3"/>
  <c r="K55" i="3"/>
  <c r="J55" i="3"/>
  <c r="I55" i="3"/>
  <c r="H55" i="3"/>
  <c r="G55" i="3"/>
  <c r="F55" i="3"/>
  <c r="E55" i="3"/>
  <c r="D55" i="3"/>
  <c r="C55" i="3"/>
  <c r="N54" i="3"/>
  <c r="M54" i="3"/>
  <c r="L54" i="3"/>
  <c r="K54" i="3"/>
  <c r="J54" i="3"/>
  <c r="I54" i="3"/>
  <c r="H54" i="3"/>
  <c r="G54" i="3"/>
  <c r="F54" i="3"/>
  <c r="E54" i="3"/>
  <c r="D54" i="3"/>
  <c r="C54" i="3"/>
  <c r="I43" i="3" l="1"/>
  <c r="F30" i="3" l="1"/>
  <c r="G29" i="3"/>
  <c r="G28" i="3"/>
  <c r="G27" i="3"/>
  <c r="G25" i="3"/>
  <c r="G8" i="3"/>
  <c r="H8" i="3" s="1"/>
  <c r="F8" i="3"/>
  <c r="B24" i="3" s="1"/>
  <c r="G15" i="3"/>
  <c r="F17" i="3"/>
  <c r="G14" i="3"/>
  <c r="G16" i="3"/>
  <c r="G13" i="3"/>
  <c r="G11" i="3"/>
  <c r="B10" i="3" l="1"/>
</calcChain>
</file>

<file path=xl/sharedStrings.xml><?xml version="1.0" encoding="utf-8"?>
<sst xmlns="http://schemas.openxmlformats.org/spreadsheetml/2006/main" count="2430" uniqueCount="265">
  <si>
    <t>R0</t>
  </si>
  <si>
    <t>plate_well</t>
  </si>
  <si>
    <t>index_well</t>
  </si>
  <si>
    <t>sequence_i7</t>
  </si>
  <si>
    <t>name_i7</t>
  </si>
  <si>
    <t>sequence_i5</t>
  </si>
  <si>
    <t>name_i5</t>
  </si>
  <si>
    <t>library_id</t>
  </si>
  <si>
    <t>library_name</t>
  </si>
  <si>
    <t>pool</t>
  </si>
  <si>
    <t>kit_i7</t>
  </si>
  <si>
    <t>kit_i5</t>
  </si>
  <si>
    <t>requestor</t>
  </si>
  <si>
    <t>lib_conc_ng_ul</t>
  </si>
  <si>
    <t>Library prep number:</t>
  </si>
  <si>
    <t xml:space="preserve">SOP Version: </t>
  </si>
  <si>
    <t>Indexplate:</t>
  </si>
  <si>
    <t>Signature:</t>
  </si>
  <si>
    <t xml:space="preserve">Library person: </t>
  </si>
  <si>
    <t>Library date:</t>
  </si>
  <si>
    <t>Comments:</t>
  </si>
  <si>
    <t>Number of samples:</t>
  </si>
  <si>
    <t>Volume per reaction</t>
  </si>
  <si>
    <t xml:space="preserve">Mix: </t>
  </si>
  <si>
    <t>gDNA Sample</t>
  </si>
  <si>
    <t>-</t>
  </si>
  <si>
    <t>µL</t>
  </si>
  <si>
    <t>Total Volume</t>
  </si>
  <si>
    <t>mix, spin</t>
  </si>
  <si>
    <t>H2O</t>
  </si>
  <si>
    <t>4˚/hold</t>
  </si>
  <si>
    <t>CLEAN-UP with DNA Purification Beads</t>
  </si>
  <si>
    <t xml:space="preserve">Indicate which Twist UDI Primers you used: </t>
  </si>
  <si>
    <t>Plate:</t>
  </si>
  <si>
    <t>A</t>
  </si>
  <si>
    <t>B</t>
  </si>
  <si>
    <t>C</t>
  </si>
  <si>
    <t>D</t>
  </si>
  <si>
    <t>E</t>
  </si>
  <si>
    <t>F</t>
  </si>
  <si>
    <t>G</t>
  </si>
  <si>
    <t>H</t>
  </si>
  <si>
    <t xml:space="preserve">Run the following programm: </t>
  </si>
  <si>
    <r>
      <t>72</t>
    </r>
    <r>
      <rPr>
        <i/>
        <sz val="12"/>
        <color theme="1"/>
        <rFont val="Calibri"/>
        <family val="2"/>
      </rPr>
      <t>˚/1min</t>
    </r>
  </si>
  <si>
    <t>QC (Qubit, BA)</t>
  </si>
  <si>
    <t xml:space="preserve">Pool concentration: </t>
  </si>
  <si>
    <t>Put the Kitnumbers into the working sheet and followingly into the sample annotation sheet.</t>
  </si>
  <si>
    <t>Library kit</t>
  </si>
  <si>
    <t>Kitnumber</t>
  </si>
  <si>
    <t xml:space="preserve">Identification number: </t>
  </si>
  <si>
    <t>Unit:</t>
  </si>
  <si>
    <t>Organization:</t>
  </si>
  <si>
    <t>CeMM</t>
  </si>
  <si>
    <t>Title:</t>
  </si>
  <si>
    <t>Author:</t>
  </si>
  <si>
    <t>Reviewer:</t>
  </si>
  <si>
    <t>Hannah Riegler</t>
  </si>
  <si>
    <t>Review date:</t>
  </si>
  <si>
    <t>Version:</t>
  </si>
  <si>
    <t xml:space="preserve">NEBNext HF 2x ready MM LOT: </t>
  </si>
  <si>
    <t>Perform qPCR</t>
  </si>
  <si>
    <t>ATAC checklist</t>
  </si>
  <si>
    <t>Index Primer ( i7+i5)</t>
  </si>
  <si>
    <t>100x SYBR green</t>
  </si>
  <si>
    <t>NEBNext HF 2x ready MM</t>
  </si>
  <si>
    <t>72˚/5 min</t>
  </si>
  <si>
    <r>
      <t>98</t>
    </r>
    <r>
      <rPr>
        <i/>
        <sz val="12"/>
        <color theme="1"/>
        <rFont val="Calibri"/>
        <family val="2"/>
      </rPr>
      <t>˚/30s</t>
    </r>
  </si>
  <si>
    <t>25 cycles</t>
  </si>
  <si>
    <t>98˚/10s</t>
  </si>
  <si>
    <r>
      <t>69</t>
    </r>
    <r>
      <rPr>
        <i/>
        <sz val="12"/>
        <color theme="1"/>
        <rFont val="Calibri"/>
        <family val="2"/>
      </rPr>
      <t>˚/30s</t>
    </r>
  </si>
  <si>
    <t xml:space="preserve">72˚/1min </t>
  </si>
  <si>
    <t>Library preparation</t>
  </si>
  <si>
    <t>Do a 1.6X Cleanup by adding 80µL beads, elute in 50µL</t>
  </si>
  <si>
    <t>Do a double sided cleanup by adding 25µL beads, transfer 75µL and add 45µL beads, elute in 15µL</t>
  </si>
  <si>
    <t>BOCK</t>
  </si>
  <si>
    <t>Checklist ATAC</t>
  </si>
  <si>
    <t>based on SOP 2023/01/18</t>
  </si>
  <si>
    <t>Barcode Sequence i7</t>
  </si>
  <si>
    <t>Library Adapter i7</t>
  </si>
  <si>
    <t>Barcode Sequence i5</t>
  </si>
  <si>
    <t>Library Adapter i5</t>
  </si>
  <si>
    <t>TAAGGCGA</t>
  </si>
  <si>
    <t>TAGATCGC</t>
  </si>
  <si>
    <t>CGTACTAG</t>
  </si>
  <si>
    <t>AGGCAGAA</t>
  </si>
  <si>
    <t>TCCTGAGC</t>
  </si>
  <si>
    <t>GGACTCCT</t>
  </si>
  <si>
    <t>TAGGCATG</t>
  </si>
  <si>
    <t>CTCTCTAC</t>
  </si>
  <si>
    <t>CAGAGAGG</t>
  </si>
  <si>
    <t>GCTACGCT</t>
  </si>
  <si>
    <t>CGAGGCTG</t>
  </si>
  <si>
    <t>AAGAGGCA</t>
  </si>
  <si>
    <t>GTAGAGGA</t>
  </si>
  <si>
    <t>CTCTCTAT</t>
  </si>
  <si>
    <t>TATCCTCT</t>
  </si>
  <si>
    <t>AGAGTAGA</t>
  </si>
  <si>
    <t>GTAAGGAG</t>
  </si>
  <si>
    <t>ACTGCATA</t>
  </si>
  <si>
    <t>AAGGAGTA</t>
  </si>
  <si>
    <t>CTAAGCCT</t>
  </si>
  <si>
    <t>GCTCATGA</t>
  </si>
  <si>
    <t>ATCTCAGG</t>
  </si>
  <si>
    <t>ACTCGCTA</t>
  </si>
  <si>
    <t>GGAGCTAC</t>
  </si>
  <si>
    <t>GCGTAGTA</t>
  </si>
  <si>
    <t>CGGAGCCT</t>
  </si>
  <si>
    <t>TACGCTGC</t>
  </si>
  <si>
    <t>ATGCGCAG</t>
  </si>
  <si>
    <t>TAGCGCTC</t>
  </si>
  <si>
    <t>ACTGAGCG</t>
  </si>
  <si>
    <t>CCTAAGAC</t>
  </si>
  <si>
    <t>CGATCAGT</t>
  </si>
  <si>
    <t>CGTCTAAT</t>
  </si>
  <si>
    <t>TCTCTCCG</t>
  </si>
  <si>
    <t>TCGACTAG</t>
  </si>
  <si>
    <t>TTCTAGCT</t>
  </si>
  <si>
    <t>CCTAGAGT</t>
  </si>
  <si>
    <t>GCGTAAGA</t>
  </si>
  <si>
    <t>CTATTAAG</t>
  </si>
  <si>
    <t>AAGGCTAT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</si>
  <si>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</si>
  <si>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</si>
  <si>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</si>
  <si>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</si>
  <si>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</si>
  <si>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</si>
  <si>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</si>
  <si>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</si>
  <si>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</si>
  <si>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</si>
  <si>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</si>
  <si>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</si>
  <si>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S501</t>
  </si>
  <si>
    <t>S502</t>
  </si>
  <si>
    <t>S503</t>
  </si>
  <si>
    <t>S504</t>
  </si>
  <si>
    <t>S505</t>
  </si>
  <si>
    <t>S506</t>
  </si>
  <si>
    <t>S507</t>
  </si>
  <si>
    <t>S508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</si>
  <si>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</si>
  <si>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</si>
  <si>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</si>
  <si>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</si>
  <si>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</si>
  <si>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</si>
  <si>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</si>
  <si>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</si>
  <si>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</si>
  <si>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</si>
  <si>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</si>
  <si>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</si>
  <si>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S509</t>
  </si>
  <si>
    <t>S510</t>
  </si>
  <si>
    <t>S511</t>
  </si>
  <si>
    <t>S512</t>
  </si>
  <si>
    <t>S513</t>
  </si>
  <si>
    <t>S514</t>
  </si>
  <si>
    <t>S515</t>
  </si>
  <si>
    <t>S516</t>
  </si>
  <si>
    <t>plate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</si>
  <si>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</si>
  <si>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</si>
  <si>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</si>
  <si>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</si>
  <si>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</si>
  <si>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</si>
  <si>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</si>
  <si>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</si>
  <si>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</si>
  <si>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</si>
  <si>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</si>
  <si>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</si>
  <si>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</si>
  <si>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</si>
  <si>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</si>
  <si>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</si>
  <si>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</si>
  <si>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</si>
  <si>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</si>
  <si>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</si>
  <si>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</si>
  <si>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</si>
  <si>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</si>
  <si>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</si>
  <si>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</si>
  <si>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</si>
  <si>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</si>
  <si>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</si>
  <si>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</si>
  <si>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</si>
  <si>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</si>
  <si>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</si>
  <si>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</si>
  <si>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</si>
  <si>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</si>
  <si>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</si>
  <si>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</si>
  <si>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</si>
  <si>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</si>
  <si>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</si>
  <si>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</si>
  <si>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</si>
  <si>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</si>
  <si>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</si>
  <si>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</si>
  <si>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</si>
  <si>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</si>
  <si>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</si>
  <si>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</si>
  <si>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</si>
  <si>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</si>
  <si>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</si>
  <si>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</si>
  <si>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</si>
  <si>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</si>
  <si>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</si>
  <si>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</si>
  <si>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</si>
  <si>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</si>
  <si>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</si>
  <si>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</si>
  <si>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</si>
  <si>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</si>
  <si>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</si>
  <si>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</si>
  <si>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</si>
  <si>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</si>
  <si>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</si>
  <si>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</si>
  <si>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</si>
  <si>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</si>
  <si>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</si>
  <si>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</si>
  <si>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</si>
  <si>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</si>
  <si>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</si>
  <si>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</si>
  <si>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</si>
  <si>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</si>
  <si>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</si>
  <si>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</si>
  <si>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</si>
  <si>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</si>
  <si>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</si>
  <si>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</si>
  <si>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</si>
  <si>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</si>
  <si>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</si>
  <si>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</si>
  <si>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</si>
  <si>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</si>
  <si>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</si>
  <si>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</si>
  <si>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</si>
  <si>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</si>
  <si>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</si>
  <si>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</si>
  <si>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Number</t>
  </si>
  <si>
    <t>Pooling overview in µL</t>
  </si>
  <si>
    <t>pooling</t>
  </si>
  <si>
    <t>qPCR date</t>
  </si>
  <si>
    <t>PCR cycles</t>
  </si>
  <si>
    <t>SetA, B, C or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</si>
</sst>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2"/>
      <color theme="1"/>
      <name val="Calibri"/>
      <family val="2"/>
    </font>
    <font>
      <i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1" applyFont="1"/>
    <xf numFmtId="0" fontId="4" fillId="0" borderId="0" xfId="1" applyFont="1"/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0" borderId="0" xfId="1" applyFont="1" applyAlignment="1">
      <alignment wrapText="1"/>
    </xf>
    <xf numFmtId="0" fontId="1" fillId="0" borderId="0" xfId="1"/>
    <xf numFmtId="0" fontId="3" fillId="0" borderId="1" xfId="1" applyFont="1" applyBorder="1" applyAlignment="1">
      <alignment vertical="center"/>
    </xf>
    <xf numFmtId="0" fontId="3" fillId="3" borderId="7" xfId="1" applyFont="1" applyFill="1" applyBorder="1"/>
    <xf numFmtId="0" fontId="8" fillId="0" borderId="0" xfId="1" applyFont="1"/>
    <xf numFmtId="0" fontId="3" fillId="0" borderId="11" xfId="1" applyFont="1" applyBorder="1" applyAlignment="1">
      <alignment horizontal="left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9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right" vertical="center"/>
    </xf>
    <xf numFmtId="0" fontId="3" fillId="0" borderId="18" xfId="1" applyFont="1" applyBorder="1" applyAlignment="1">
      <alignment vertical="center"/>
    </xf>
    <xf numFmtId="0" fontId="3" fillId="0" borderId="18" xfId="1" applyFont="1" applyBorder="1" applyAlignment="1">
      <alignment horizontal="right" vertical="center"/>
    </xf>
    <xf numFmtId="0" fontId="3" fillId="0" borderId="7" xfId="1" applyFont="1" applyBorder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1" xfId="1" applyFont="1" applyBorder="1"/>
    <xf numFmtId="0" fontId="3" fillId="3" borderId="0" xfId="1" applyFont="1" applyFill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2" fillId="0" borderId="0" xfId="1" applyFont="1"/>
    <xf numFmtId="0" fontId="1" fillId="0" borderId="0" xfId="1" applyAlignment="1">
      <alignment vertical="center"/>
    </xf>
    <xf numFmtId="0" fontId="1" fillId="0" borderId="11" xfId="1" applyBorder="1"/>
    <xf numFmtId="0" fontId="3" fillId="3" borderId="5" xfId="1" applyFont="1" applyFill="1" applyBorder="1" applyAlignment="1">
      <alignment vertical="center"/>
    </xf>
    <xf numFmtId="0" fontId="0" fillId="0" borderId="0" xfId="1" applyFont="1"/>
    <xf numFmtId="0" fontId="2" fillId="0" borderId="0" xfId="0" applyFont="1"/>
    <xf numFmtId="0" fontId="14" fillId="0" borderId="0" xfId="1" applyFont="1"/>
    <xf numFmtId="0" fontId="14" fillId="0" borderId="20" xfId="1" applyFont="1" applyBorder="1"/>
    <xf numFmtId="0" fontId="18" fillId="0" borderId="20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0" borderId="20" xfId="1" applyFont="1" applyBorder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6" borderId="8" xfId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4" fillId="7" borderId="8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horizontal="center" vertical="center"/>
    </xf>
    <xf numFmtId="0" fontId="4" fillId="7" borderId="10" xfId="1" applyFont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5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E3873C8D-DF2E-495A-8D7A-00FA15F20C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66</xdr:row>
      <xdr:rowOff>0</xdr:rowOff>
    </xdr:from>
    <xdr:to>
      <xdr:col>5</xdr:col>
      <xdr:colOff>320387</xdr:colOff>
      <xdr:row>67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8F1336A-3916-438A-8F91-077C1B00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4794825"/>
          <a:ext cx="2130137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C1DF-8ED0-B840-A178-84D3EE75C042}">
  <dimension ref="A1:Q97"/>
  <sheetViews>
    <sheetView workbookViewId="0">
      <selection activeCell="Q8" sqref="Q8"/>
    </sheetView>
  </sheetViews>
  <sheetFormatPr defaultColWidth="11" defaultRowHeight="15.75" x14ac:dyDescent="0.25"/>
  <cols>
    <col min="3" max="5" width="13.375" customWidth="1"/>
    <col min="16" max="17" width="14.125" customWidth="1"/>
  </cols>
  <sheetData>
    <row r="1" spans="1:17" x14ac:dyDescent="0.25">
      <c r="A1" s="1" t="s">
        <v>0</v>
      </c>
      <c r="B1" s="1" t="s">
        <v>7</v>
      </c>
      <c r="C1" s="3" t="s">
        <v>8</v>
      </c>
      <c r="D1" s="3" t="s">
        <v>12</v>
      </c>
      <c r="E1" s="3" t="s">
        <v>9</v>
      </c>
      <c r="F1" s="3" t="s">
        <v>1</v>
      </c>
      <c r="G1" s="3" t="s">
        <v>262</v>
      </c>
      <c r="H1" s="3" t="s">
        <v>263</v>
      </c>
      <c r="I1" s="3" t="s">
        <v>2</v>
      </c>
      <c r="J1" s="3" t="s">
        <v>10</v>
      </c>
      <c r="K1" s="3" t="s">
        <v>4</v>
      </c>
      <c r="L1" s="3" t="s">
        <v>3</v>
      </c>
      <c r="M1" s="3" t="s">
        <v>11</v>
      </c>
      <c r="N1" s="3" t="s">
        <v>6</v>
      </c>
      <c r="O1" s="3" t="s">
        <v>5</v>
      </c>
      <c r="P1" s="4" t="s">
        <v>13</v>
      </c>
      <c r="Q1" s="4" t="s">
        <v>261</v>
      </c>
    </row>
    <row r="2" spans="1:17" x14ac:dyDescent="0.25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  <c r="Q2" s="4"/>
    </row>
    <row r="3" spans="1:17" x14ac:dyDescent="0.25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  <c r="Q3" s="4"/>
    </row>
    <row r="4" spans="1:17" x14ac:dyDescent="0.25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4"/>
      <c r="Q4" s="4"/>
    </row>
    <row r="5" spans="1:17" x14ac:dyDescent="0.25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4"/>
    </row>
    <row r="6" spans="1:17" x14ac:dyDescent="0.25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4"/>
      <c r="Q6" s="4"/>
    </row>
    <row r="7" spans="1:17" x14ac:dyDescent="0.2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/>
      <c r="Q7" s="4"/>
    </row>
    <row r="8" spans="1:17" x14ac:dyDescent="0.2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/>
      <c r="Q8" s="4"/>
    </row>
    <row r="9" spans="1:17" x14ac:dyDescent="0.2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4"/>
    </row>
    <row r="10" spans="1:17" x14ac:dyDescent="0.2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</row>
    <row r="11" spans="1:17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</row>
    <row r="12" spans="1:17" x14ac:dyDescent="0.2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4"/>
    </row>
    <row r="13" spans="1:17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</row>
    <row r="14" spans="1:17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"/>
      <c r="Q14" s="4"/>
    </row>
    <row r="15" spans="1:17" x14ac:dyDescent="0.2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  <c r="Q15" s="4"/>
    </row>
    <row r="16" spans="1:17" x14ac:dyDescent="0.2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4"/>
      <c r="Q16" s="4"/>
    </row>
    <row r="17" spans="1:17" x14ac:dyDescent="0.2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"/>
      <c r="Q17" s="4"/>
    </row>
    <row r="18" spans="1:17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"/>
      <c r="Q18" s="4"/>
    </row>
    <row r="19" spans="1:17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4"/>
      <c r="Q19" s="4"/>
    </row>
    <row r="20" spans="1:17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4"/>
      <c r="Q20" s="4"/>
    </row>
    <row r="21" spans="1:17" x14ac:dyDescent="0.2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4"/>
      <c r="Q21" s="4"/>
    </row>
    <row r="22" spans="1:17" x14ac:dyDescent="0.25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4"/>
      <c r="Q22" s="4"/>
    </row>
    <row r="23" spans="1:17" x14ac:dyDescent="0.2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4"/>
      <c r="Q23" s="4"/>
    </row>
    <row r="24" spans="1:17" x14ac:dyDescent="0.25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4"/>
      <c r="Q24" s="4"/>
    </row>
    <row r="25" spans="1:17" x14ac:dyDescent="0.2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4"/>
      <c r="Q25" s="4"/>
    </row>
    <row r="26" spans="1:17" x14ac:dyDescent="0.25">
      <c r="A26" s="2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4"/>
      <c r="Q26" s="4"/>
    </row>
    <row r="27" spans="1:17" x14ac:dyDescent="0.25">
      <c r="A27" s="2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4"/>
      <c r="Q27" s="4"/>
    </row>
    <row r="28" spans="1:17" x14ac:dyDescent="0.25">
      <c r="A28" s="2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4"/>
      <c r="Q28" s="4"/>
    </row>
    <row r="29" spans="1:17" x14ac:dyDescent="0.25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/>
      <c r="Q29" s="4"/>
    </row>
    <row r="30" spans="1:17" x14ac:dyDescent="0.25">
      <c r="A30" s="2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4"/>
      <c r="Q30" s="4"/>
    </row>
    <row r="31" spans="1:17" x14ac:dyDescent="0.25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4"/>
      <c r="Q31" s="4"/>
    </row>
    <row r="32" spans="1:17" x14ac:dyDescent="0.25">
      <c r="A32" s="2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4"/>
      <c r="Q32" s="4"/>
    </row>
    <row r="33" spans="1:17" x14ac:dyDescent="0.25">
      <c r="A33" s="2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4"/>
      <c r="Q33" s="4"/>
    </row>
    <row r="34" spans="1:17" x14ac:dyDescent="0.25">
      <c r="A34" s="2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4"/>
      <c r="Q34" s="4"/>
    </row>
    <row r="35" spans="1:17" x14ac:dyDescent="0.25">
      <c r="A35" s="2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4"/>
      <c r="Q35" s="4"/>
    </row>
    <row r="36" spans="1:17" x14ac:dyDescent="0.25">
      <c r="A36" s="2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4"/>
      <c r="Q36" s="4"/>
    </row>
    <row r="37" spans="1:17" x14ac:dyDescent="0.25">
      <c r="A37" s="2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4"/>
      <c r="Q37" s="4"/>
    </row>
    <row r="38" spans="1:17" x14ac:dyDescent="0.25">
      <c r="A38" s="2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4"/>
      <c r="Q38" s="4"/>
    </row>
    <row r="39" spans="1:17" x14ac:dyDescent="0.25">
      <c r="A39" s="2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4"/>
      <c r="Q39" s="4"/>
    </row>
    <row r="40" spans="1:17" x14ac:dyDescent="0.25">
      <c r="A40" s="2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4"/>
      <c r="Q40" s="4"/>
    </row>
    <row r="41" spans="1:17" x14ac:dyDescent="0.25">
      <c r="A41" s="2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4"/>
      <c r="Q41" s="4"/>
    </row>
    <row r="42" spans="1:17" x14ac:dyDescent="0.25">
      <c r="A42" s="2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4"/>
      <c r="Q42" s="4"/>
    </row>
    <row r="43" spans="1:17" x14ac:dyDescent="0.25">
      <c r="A43" s="2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4"/>
      <c r="Q43" s="4"/>
    </row>
    <row r="44" spans="1:17" x14ac:dyDescent="0.25">
      <c r="A44" s="2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4"/>
      <c r="Q44" s="4"/>
    </row>
    <row r="45" spans="1:17" x14ac:dyDescent="0.25">
      <c r="A45" s="2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4"/>
      <c r="Q45" s="4"/>
    </row>
    <row r="46" spans="1:17" x14ac:dyDescent="0.25">
      <c r="A46" s="2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4"/>
      <c r="Q46" s="4"/>
    </row>
    <row r="47" spans="1:17" x14ac:dyDescent="0.25">
      <c r="A47" s="2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4"/>
      <c r="Q47" s="4"/>
    </row>
    <row r="48" spans="1:17" x14ac:dyDescent="0.25">
      <c r="A48" s="2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4"/>
      <c r="Q48" s="4"/>
    </row>
    <row r="49" spans="1:17" x14ac:dyDescent="0.25">
      <c r="A49" s="2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4"/>
      <c r="Q49" s="4"/>
    </row>
    <row r="50" spans="1:17" x14ac:dyDescent="0.25">
      <c r="A50" s="2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4"/>
      <c r="Q50" s="4"/>
    </row>
    <row r="51" spans="1:17" x14ac:dyDescent="0.25">
      <c r="A51" s="2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4"/>
      <c r="Q51" s="4"/>
    </row>
    <row r="52" spans="1:17" x14ac:dyDescent="0.25">
      <c r="A52" s="2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4"/>
      <c r="Q52" s="4"/>
    </row>
    <row r="53" spans="1:17" x14ac:dyDescent="0.25">
      <c r="A53" s="2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4"/>
      <c r="Q53" s="4"/>
    </row>
    <row r="54" spans="1:17" x14ac:dyDescent="0.25">
      <c r="A54" s="2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4"/>
      <c r="Q54" s="4"/>
    </row>
    <row r="55" spans="1:17" x14ac:dyDescent="0.25">
      <c r="A55" s="2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4"/>
      <c r="Q55" s="4"/>
    </row>
    <row r="56" spans="1:17" x14ac:dyDescent="0.25">
      <c r="A56" s="2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4"/>
      <c r="Q56" s="4"/>
    </row>
    <row r="57" spans="1:17" x14ac:dyDescent="0.25">
      <c r="A57" s="2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4"/>
      <c r="Q57" s="4"/>
    </row>
    <row r="58" spans="1:17" x14ac:dyDescent="0.25">
      <c r="A58" s="2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4"/>
      <c r="Q58" s="4"/>
    </row>
    <row r="59" spans="1:17" x14ac:dyDescent="0.25">
      <c r="A59" s="2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4"/>
      <c r="Q59" s="4"/>
    </row>
    <row r="60" spans="1:17" x14ac:dyDescent="0.25">
      <c r="A60" s="2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4"/>
      <c r="Q60" s="4"/>
    </row>
    <row r="61" spans="1:17" x14ac:dyDescent="0.25">
      <c r="A61" s="2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4"/>
      <c r="Q61" s="4"/>
    </row>
    <row r="62" spans="1:17" x14ac:dyDescent="0.25">
      <c r="A62" s="2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4"/>
      <c r="Q62" s="4"/>
    </row>
    <row r="63" spans="1:17" x14ac:dyDescent="0.25">
      <c r="A63" s="2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4"/>
      <c r="Q63" s="4"/>
    </row>
    <row r="64" spans="1:17" x14ac:dyDescent="0.25">
      <c r="A64" s="2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4"/>
      <c r="Q64" s="4"/>
    </row>
    <row r="65" spans="1:17" x14ac:dyDescent="0.25">
      <c r="A65" s="2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4"/>
      <c r="Q65" s="4"/>
    </row>
    <row r="66" spans="1:17" x14ac:dyDescent="0.25">
      <c r="A66" s="2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4"/>
      <c r="Q66" s="4"/>
    </row>
    <row r="67" spans="1:17" x14ac:dyDescent="0.25">
      <c r="A67" s="2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4"/>
      <c r="Q67" s="4"/>
    </row>
    <row r="68" spans="1:17" x14ac:dyDescent="0.25">
      <c r="A68" s="2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4"/>
      <c r="Q68" s="4"/>
    </row>
    <row r="69" spans="1:17" x14ac:dyDescent="0.25">
      <c r="A69" s="2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4"/>
      <c r="Q69" s="4"/>
    </row>
    <row r="70" spans="1:17" x14ac:dyDescent="0.25">
      <c r="A70" s="2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4"/>
      <c r="Q70" s="4"/>
    </row>
    <row r="71" spans="1:17" x14ac:dyDescent="0.25">
      <c r="A71" s="2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4"/>
      <c r="Q71" s="4"/>
    </row>
    <row r="72" spans="1:17" x14ac:dyDescent="0.25">
      <c r="A72" s="2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4"/>
      <c r="Q72" s="4"/>
    </row>
    <row r="73" spans="1:17" x14ac:dyDescent="0.25">
      <c r="A73" s="2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4"/>
      <c r="Q73" s="4"/>
    </row>
    <row r="74" spans="1:17" x14ac:dyDescent="0.25">
      <c r="A74" s="2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4"/>
      <c r="Q74" s="4"/>
    </row>
    <row r="75" spans="1:17" x14ac:dyDescent="0.25">
      <c r="A75" s="2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4"/>
      <c r="Q75" s="4"/>
    </row>
    <row r="76" spans="1:17" x14ac:dyDescent="0.25">
      <c r="A76" s="2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"/>
      <c r="Q76" s="4"/>
    </row>
    <row r="77" spans="1:17" x14ac:dyDescent="0.25">
      <c r="A77" s="2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4"/>
      <c r="Q77" s="4"/>
    </row>
    <row r="78" spans="1:17" x14ac:dyDescent="0.25">
      <c r="A78" s="2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"/>
      <c r="Q78" s="4"/>
    </row>
    <row r="79" spans="1:17" x14ac:dyDescent="0.25">
      <c r="A79" s="2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4"/>
      <c r="Q79" s="4"/>
    </row>
    <row r="80" spans="1:17" x14ac:dyDescent="0.25">
      <c r="A80" s="2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"/>
      <c r="Q80" s="4"/>
    </row>
    <row r="81" spans="1:17" x14ac:dyDescent="0.25">
      <c r="A81" s="2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4"/>
      <c r="Q81" s="4"/>
    </row>
    <row r="82" spans="1:17" x14ac:dyDescent="0.25">
      <c r="A82" s="2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4"/>
      <c r="Q82" s="4"/>
    </row>
    <row r="83" spans="1:17" x14ac:dyDescent="0.25">
      <c r="A83" s="2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4"/>
      <c r="Q83" s="4"/>
    </row>
    <row r="84" spans="1:17" x14ac:dyDescent="0.25">
      <c r="A84" s="2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4"/>
      <c r="Q84" s="4"/>
    </row>
    <row r="85" spans="1:17" x14ac:dyDescent="0.25">
      <c r="A85" s="2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4"/>
      <c r="Q85" s="4"/>
    </row>
    <row r="86" spans="1:17" x14ac:dyDescent="0.25">
      <c r="A86" s="2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4"/>
      <c r="Q86" s="4"/>
    </row>
    <row r="87" spans="1:17" x14ac:dyDescent="0.25">
      <c r="A87" s="2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4"/>
      <c r="Q87" s="4"/>
    </row>
    <row r="88" spans="1:17" x14ac:dyDescent="0.25">
      <c r="A88" s="2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4"/>
      <c r="Q88" s="4"/>
    </row>
    <row r="89" spans="1:17" x14ac:dyDescent="0.25">
      <c r="A89" s="2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4"/>
      <c r="Q89" s="4"/>
    </row>
    <row r="90" spans="1:17" x14ac:dyDescent="0.25">
      <c r="A90" s="2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4"/>
      <c r="Q90" s="4"/>
    </row>
    <row r="91" spans="1:17" x14ac:dyDescent="0.25">
      <c r="A91" s="2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4"/>
      <c r="Q91" s="4"/>
    </row>
    <row r="92" spans="1:17" x14ac:dyDescent="0.25">
      <c r="A92" s="2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4"/>
      <c r="Q92" s="4"/>
    </row>
    <row r="93" spans="1:17" x14ac:dyDescent="0.25">
      <c r="A93" s="2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4"/>
      <c r="Q93" s="4"/>
    </row>
    <row r="94" spans="1:17" x14ac:dyDescent="0.25">
      <c r="A94" s="2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4"/>
      <c r="Q94" s="4"/>
    </row>
    <row r="95" spans="1:17" x14ac:dyDescent="0.25">
      <c r="A95" s="2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4"/>
      <c r="Q95" s="4"/>
    </row>
    <row r="96" spans="1:17" x14ac:dyDescent="0.25">
      <c r="A96" s="2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4"/>
      <c r="Q96" s="4"/>
    </row>
    <row r="97" spans="1:17" x14ac:dyDescent="0.25">
      <c r="A97" s="2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4"/>
      <c r="Q97" s="4"/>
    </row>
  </sheetData>
  <dataValidations count="1">
    <dataValidation allowBlank="1" showInputMessage="1" showErrorMessage="1" promptTitle="Sample Name" prompt="Informative sample identifier provided by submitter. Only use letters, numbers or underscores [A-Za-z0-9_], no other characters, please." sqref="C2:E20" xr:uid="{E7C77AA6-C299-C648-8E67-A4CE7EBBDD5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EE49-2DFF-4BF5-BA00-D1AE59DE5639}">
  <dimension ref="A1:AK76"/>
  <sheetViews>
    <sheetView tabSelected="1" topLeftCell="A33" zoomScaleNormal="100" workbookViewId="0">
      <selection activeCell="C54" sqref="C54:N61"/>
    </sheetView>
  </sheetViews>
  <sheetFormatPr defaultColWidth="8.125" defaultRowHeight="26.1" customHeight="1" x14ac:dyDescent="0.25"/>
  <cols>
    <col min="1" max="1" width="4.125" style="5" customWidth="1"/>
    <col min="2" max="2" width="4.75" style="5" customWidth="1"/>
    <col min="3" max="3" width="5.625" style="5" customWidth="1"/>
    <col min="4" max="4" width="5.875" style="5" customWidth="1"/>
    <col min="5" max="5" width="7.5" style="5" customWidth="1"/>
    <col min="6" max="6" width="7.625" style="5" customWidth="1"/>
    <col min="7" max="7" width="6.375" style="5" customWidth="1"/>
    <col min="8" max="9" width="6.875" style="5" customWidth="1"/>
    <col min="10" max="10" width="8.125" style="5" customWidth="1"/>
    <col min="11" max="11" width="6.875" style="5" customWidth="1"/>
    <col min="12" max="12" width="7.5" style="5" customWidth="1"/>
    <col min="13" max="13" width="7.375" style="5" customWidth="1"/>
    <col min="14" max="14" width="8" style="5" customWidth="1"/>
    <col min="15" max="15" width="8.125" style="5"/>
    <col min="16" max="16" width="7.5" style="5" customWidth="1"/>
    <col min="17" max="17" width="6" style="5" customWidth="1"/>
    <col min="18" max="18" width="5.375" style="5" customWidth="1"/>
    <col min="19" max="19" width="5" style="5" customWidth="1"/>
    <col min="20" max="20" width="5.875" style="5" customWidth="1"/>
    <col min="21" max="21" width="5.375" style="5" customWidth="1"/>
    <col min="22" max="22" width="5.125" style="5" customWidth="1"/>
    <col min="23" max="23" width="5.625" style="5" customWidth="1"/>
    <col min="24" max="25" width="5.375" style="5" customWidth="1"/>
    <col min="26" max="26" width="5.875" style="5" customWidth="1"/>
    <col min="27" max="27" width="6" style="5" customWidth="1"/>
    <col min="28" max="28" width="5.625" style="5" customWidth="1"/>
    <col min="29" max="29" width="5.375" style="5" customWidth="1"/>
    <col min="30" max="31" width="8.125" style="5"/>
    <col min="32" max="32" width="8.625" style="5" customWidth="1"/>
    <col min="33" max="16384" width="8.125" style="5"/>
  </cols>
  <sheetData>
    <row r="1" spans="1:37" ht="26.1" customHeight="1" x14ac:dyDescent="0.25">
      <c r="B1" s="6"/>
      <c r="C1" s="99" t="s">
        <v>61</v>
      </c>
      <c r="D1" s="99"/>
      <c r="E1" s="99"/>
      <c r="F1" s="99"/>
      <c r="G1" s="99"/>
      <c r="H1" s="99"/>
      <c r="I1" s="99"/>
      <c r="J1" s="99"/>
      <c r="Q1" s="6"/>
    </row>
    <row r="2" spans="1:37" ht="26.1" customHeight="1" x14ac:dyDescent="0.25">
      <c r="A2" s="59" t="s">
        <v>14</v>
      </c>
      <c r="B2" s="59"/>
      <c r="C2" s="59"/>
      <c r="D2" s="59"/>
      <c r="E2" s="59"/>
      <c r="F2" s="59"/>
      <c r="G2" s="7"/>
      <c r="H2" s="8"/>
      <c r="I2" s="9"/>
    </row>
    <row r="3" spans="1:37" ht="24.95" customHeight="1" x14ac:dyDescent="0.25">
      <c r="A3" s="100" t="s">
        <v>15</v>
      </c>
      <c r="B3" s="100"/>
      <c r="C3" s="100"/>
      <c r="D3" s="100"/>
      <c r="E3" s="100"/>
      <c r="F3" s="100"/>
      <c r="G3" s="84"/>
      <c r="H3" s="85"/>
      <c r="I3" s="86"/>
    </row>
    <row r="4" spans="1:37" ht="30.75" customHeight="1" x14ac:dyDescent="0.25">
      <c r="A4" s="101" t="s">
        <v>59</v>
      </c>
      <c r="B4" s="101"/>
      <c r="C4" s="101"/>
      <c r="D4" s="101"/>
      <c r="E4" s="101"/>
      <c r="F4" s="101"/>
      <c r="G4" s="84"/>
      <c r="H4" s="85"/>
      <c r="I4" s="86"/>
      <c r="L4" s="10" t="s">
        <v>16</v>
      </c>
      <c r="M4" s="11"/>
      <c r="N4" s="102" t="s">
        <v>264</v>
      </c>
      <c r="O4" s="98"/>
      <c r="P4" s="12"/>
      <c r="Q4" s="12"/>
      <c r="AK4" s="12"/>
    </row>
    <row r="5" spans="1:37" ht="21.75" customHeight="1" x14ac:dyDescent="0.25">
      <c r="A5" s="59" t="s">
        <v>18</v>
      </c>
      <c r="B5" s="59"/>
      <c r="C5" s="59"/>
      <c r="D5" s="59"/>
      <c r="E5" s="59"/>
      <c r="F5" s="59"/>
      <c r="G5" s="93"/>
      <c r="H5" s="94"/>
      <c r="I5" s="95"/>
      <c r="J5"/>
      <c r="K5" s="96" t="s">
        <v>17</v>
      </c>
      <c r="L5" s="97"/>
      <c r="M5" s="11"/>
      <c r="O5"/>
      <c r="P5"/>
    </row>
    <row r="6" spans="1:37" ht="20.25" customHeight="1" x14ac:dyDescent="0.25">
      <c r="A6" s="59" t="s">
        <v>19</v>
      </c>
      <c r="B6" s="59"/>
      <c r="C6" s="59"/>
      <c r="D6" s="59"/>
      <c r="E6" s="59"/>
      <c r="F6" s="59"/>
      <c r="G6" s="84"/>
      <c r="H6" s="85"/>
      <c r="I6" s="86"/>
    </row>
    <row r="7" spans="1:37" ht="21" customHeight="1" x14ac:dyDescent="0.25">
      <c r="A7" s="72" t="s">
        <v>20</v>
      </c>
      <c r="B7" s="72"/>
      <c r="C7" s="72"/>
      <c r="D7" s="72"/>
      <c r="E7" s="72"/>
      <c r="F7" s="72"/>
      <c r="G7" s="87"/>
      <c r="H7" s="88"/>
      <c r="I7" s="89"/>
    </row>
    <row r="8" spans="1:37" ht="20.45" customHeight="1" thickBot="1" x14ac:dyDescent="0.3">
      <c r="A8" s="14" t="s">
        <v>21</v>
      </c>
      <c r="B8" s="14"/>
      <c r="C8" s="14"/>
      <c r="D8" s="14"/>
      <c r="E8" s="15"/>
      <c r="F8" s="16" t="b">
        <f>MOD(E8,12)=0</f>
        <v>1</v>
      </c>
      <c r="G8" s="16">
        <f>ROUNDDOWN((E8/12),0)</f>
        <v>0</v>
      </c>
      <c r="H8" s="16">
        <f>E8-G8*12</f>
        <v>0</v>
      </c>
      <c r="I8" s="16"/>
    </row>
    <row r="9" spans="1:37" ht="26.1" customHeight="1" thickBot="1" x14ac:dyDescent="0.3">
      <c r="A9" s="19"/>
      <c r="B9" s="90" t="s">
        <v>60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2"/>
    </row>
    <row r="10" spans="1:37" ht="26.1" customHeight="1" thickBot="1" x14ac:dyDescent="0.3">
      <c r="A10" s="17"/>
      <c r="B10" s="18" t="str">
        <f>IF($F$8=TRUE,CONCATENATE("Pipet ",FIXED($E$8*SUM(F13:F16)/12*1.1)," µL of MM into each well of row 2 of MM plate"),CONCATENATE("Pipet ",(($G$8+1)*SUM((F13:F16))*1.1)," µL of MM into first ",$H$8," wells and ",(($G$8)*(SUM(F13:F16))*1.1)," µL into the other wells of MM plate row 2"))</f>
        <v>Pipet 0.00 µL of MM into each well of row 2 of MM plate</v>
      </c>
      <c r="C10" s="18"/>
      <c r="D10" s="18"/>
      <c r="E10" s="18"/>
      <c r="M10" s="13"/>
      <c r="O10" s="20"/>
    </row>
    <row r="11" spans="1:37" ht="26.1" customHeight="1" thickBot="1" x14ac:dyDescent="0.3">
      <c r="A11" s="19"/>
      <c r="B11" s="18"/>
      <c r="C11" s="18"/>
      <c r="D11" s="18"/>
      <c r="E11" s="18"/>
      <c r="F11" s="21" t="s">
        <v>22</v>
      </c>
      <c r="G11" s="57" t="str">
        <f>CONCATENATE(" Volume for ",$E$8, " samples")</f>
        <v xml:space="preserve"> Volume for  samples</v>
      </c>
      <c r="H11" s="57"/>
      <c r="O11" s="20"/>
    </row>
    <row r="12" spans="1:37" ht="26.1" customHeight="1" thickBot="1" x14ac:dyDescent="0.3">
      <c r="A12" s="17"/>
      <c r="B12" s="18" t="s">
        <v>23</v>
      </c>
      <c r="C12" s="58" t="s">
        <v>24</v>
      </c>
      <c r="D12" s="58"/>
      <c r="E12" s="58"/>
      <c r="F12" s="14">
        <v>1</v>
      </c>
      <c r="G12" s="59" t="s">
        <v>25</v>
      </c>
      <c r="H12" s="59"/>
      <c r="I12" s="22" t="s">
        <v>26</v>
      </c>
      <c r="O12" s="20"/>
    </row>
    <row r="13" spans="1:37" ht="26.1" customHeight="1" x14ac:dyDescent="0.25">
      <c r="C13" s="60" t="s">
        <v>62</v>
      </c>
      <c r="D13" s="61"/>
      <c r="E13" s="62"/>
      <c r="F13" s="14">
        <v>1</v>
      </c>
      <c r="G13" s="59">
        <f>F13*1.1*$E$8</f>
        <v>0</v>
      </c>
      <c r="H13" s="59"/>
      <c r="I13" s="22" t="s">
        <v>26</v>
      </c>
      <c r="O13" s="20"/>
      <c r="Q13" s="18"/>
    </row>
    <row r="14" spans="1:37" ht="26.1" customHeight="1" x14ac:dyDescent="0.25">
      <c r="C14" s="60" t="s">
        <v>29</v>
      </c>
      <c r="D14" s="61"/>
      <c r="E14" s="62"/>
      <c r="F14" s="14">
        <v>2.9</v>
      </c>
      <c r="G14" s="59">
        <f>F14*1.1*$E$8</f>
        <v>0</v>
      </c>
      <c r="H14" s="59"/>
      <c r="I14" s="22" t="s">
        <v>26</v>
      </c>
      <c r="O14" s="20"/>
      <c r="Q14" s="18"/>
    </row>
    <row r="15" spans="1:37" ht="26.1" customHeight="1" x14ac:dyDescent="0.25">
      <c r="C15" s="63" t="s">
        <v>64</v>
      </c>
      <c r="D15" s="64"/>
      <c r="E15" s="65"/>
      <c r="F15" s="14">
        <v>5</v>
      </c>
      <c r="G15" s="59">
        <f>F15*1.1*$E$8</f>
        <v>0</v>
      </c>
      <c r="H15" s="59"/>
      <c r="I15" s="22" t="s">
        <v>26</v>
      </c>
      <c r="O15" s="20"/>
      <c r="Q15" s="18"/>
    </row>
    <row r="16" spans="1:37" ht="27.75" customHeight="1" thickBot="1" x14ac:dyDescent="0.3">
      <c r="A16" s="19"/>
      <c r="B16" s="18"/>
      <c r="C16" s="80" t="s">
        <v>63</v>
      </c>
      <c r="D16" s="81"/>
      <c r="E16" s="82"/>
      <c r="F16" s="23">
        <v>0.1</v>
      </c>
      <c r="G16" s="83">
        <f>F16*1.1*$E$8</f>
        <v>0</v>
      </c>
      <c r="H16" s="83"/>
      <c r="I16" s="24" t="s">
        <v>26</v>
      </c>
      <c r="O16" s="20"/>
    </row>
    <row r="17" spans="1:17" ht="20.100000000000001" customHeight="1" thickBot="1" x14ac:dyDescent="0.3">
      <c r="A17" s="19"/>
      <c r="C17" s="52" t="s">
        <v>27</v>
      </c>
      <c r="D17" s="53"/>
      <c r="E17" s="54"/>
      <c r="F17" s="25">
        <f>SUM(F12:F16)</f>
        <v>10</v>
      </c>
      <c r="G17" s="55" t="s">
        <v>25</v>
      </c>
      <c r="H17" s="55"/>
      <c r="I17" s="25" t="s">
        <v>26</v>
      </c>
      <c r="J17" s="5" t="s">
        <v>28</v>
      </c>
      <c r="O17" s="20"/>
    </row>
    <row r="18" spans="1:17" ht="24" customHeight="1" thickBot="1" x14ac:dyDescent="0.3">
      <c r="A18" s="17"/>
      <c r="B18" s="18" t="s">
        <v>42</v>
      </c>
      <c r="F18" s="34"/>
      <c r="G18" s="66" t="s">
        <v>65</v>
      </c>
      <c r="H18" s="56"/>
      <c r="J18" s="13"/>
    </row>
    <row r="19" spans="1:17" ht="15" customHeight="1" x14ac:dyDescent="0.25">
      <c r="A19" s="19"/>
      <c r="B19" s="18"/>
      <c r="F19" s="34"/>
      <c r="G19" s="56" t="s">
        <v>66</v>
      </c>
      <c r="H19" s="56"/>
      <c r="J19" s="13"/>
    </row>
    <row r="20" spans="1:17" ht="15.75" x14ac:dyDescent="0.25">
      <c r="A20" s="19"/>
      <c r="G20" s="67" t="s">
        <v>68</v>
      </c>
      <c r="H20" s="67"/>
      <c r="I20" s="68" t="s">
        <v>67</v>
      </c>
      <c r="J20" s="59"/>
    </row>
    <row r="21" spans="1:17" ht="15.75" x14ac:dyDescent="0.25">
      <c r="A21" s="19"/>
      <c r="G21" s="67" t="s">
        <v>69</v>
      </c>
      <c r="H21" s="67"/>
      <c r="I21" s="59"/>
      <c r="J21" s="59"/>
    </row>
    <row r="22" spans="1:17" ht="16.5" thickBot="1" x14ac:dyDescent="0.3">
      <c r="A22" s="19"/>
      <c r="G22" s="67" t="s">
        <v>70</v>
      </c>
      <c r="H22" s="67"/>
      <c r="I22" s="59"/>
      <c r="J22" s="59"/>
    </row>
    <row r="23" spans="1:17" ht="24.75" customHeight="1" thickBot="1" x14ac:dyDescent="0.3">
      <c r="A23" s="19"/>
      <c r="B23" s="73" t="s">
        <v>71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</row>
    <row r="24" spans="1:17" ht="26.1" customHeight="1" thickBot="1" x14ac:dyDescent="0.3">
      <c r="A24" s="17"/>
      <c r="B24" s="18" t="str">
        <f>IF($F$8=TRUE,CONCATENATE("Pipet ",FIXED($E$8*SUM(F27:F29)/12*1.1)," µL of MM into each well of row 2 of MM plate"),CONCATENATE("Pipet ",(($G$8+1)*SUM((F27:F29))*1.1)," µL of MM into first ",$H$8," wells and ",(($G$8)*(SUM(F27:F29))*1.1)," µL into the other wells of MM plate row 2"))</f>
        <v>Pipet 0.00 µL of MM into each well of row 2 of MM plate</v>
      </c>
      <c r="D24" s="18"/>
      <c r="E24" s="18"/>
    </row>
    <row r="25" spans="1:17" ht="26.1" customHeight="1" thickBot="1" x14ac:dyDescent="0.3">
      <c r="A25" s="19"/>
      <c r="B25" s="18"/>
      <c r="C25" s="18"/>
      <c r="D25" s="18"/>
      <c r="E25" s="18"/>
      <c r="F25" s="21" t="s">
        <v>22</v>
      </c>
      <c r="G25" s="57" t="str">
        <f>CONCATENATE(" Volume for ",$E$8, " samples")</f>
        <v xml:space="preserve"> Volume for  samples</v>
      </c>
      <c r="H25" s="57"/>
      <c r="O25" s="20"/>
    </row>
    <row r="26" spans="1:17" ht="26.1" customHeight="1" thickBot="1" x14ac:dyDescent="0.3">
      <c r="A26" s="17"/>
      <c r="B26" s="18" t="s">
        <v>23</v>
      </c>
      <c r="C26" s="58" t="s">
        <v>24</v>
      </c>
      <c r="D26" s="58"/>
      <c r="E26" s="58"/>
      <c r="F26" s="14">
        <v>1</v>
      </c>
      <c r="G26" s="59" t="s">
        <v>25</v>
      </c>
      <c r="H26" s="59"/>
      <c r="I26" s="22" t="s">
        <v>26</v>
      </c>
      <c r="O26" s="20"/>
    </row>
    <row r="27" spans="1:17" ht="26.1" customHeight="1" x14ac:dyDescent="0.25">
      <c r="C27" s="60" t="s">
        <v>62</v>
      </c>
      <c r="D27" s="61"/>
      <c r="E27" s="62"/>
      <c r="F27" s="14">
        <v>1</v>
      </c>
      <c r="G27" s="59">
        <f>F27*1.1*$E$8</f>
        <v>0</v>
      </c>
      <c r="H27" s="59"/>
      <c r="I27" s="22" t="s">
        <v>26</v>
      </c>
      <c r="O27" s="20"/>
      <c r="Q27" s="18"/>
    </row>
    <row r="28" spans="1:17" ht="26.1" customHeight="1" x14ac:dyDescent="0.25">
      <c r="C28" s="60" t="s">
        <v>29</v>
      </c>
      <c r="D28" s="61"/>
      <c r="E28" s="62"/>
      <c r="F28" s="14">
        <v>2.9</v>
      </c>
      <c r="G28" s="59">
        <f>F28*1.1*$E$8</f>
        <v>0</v>
      </c>
      <c r="H28" s="59"/>
      <c r="I28" s="22" t="s">
        <v>26</v>
      </c>
      <c r="O28" s="20"/>
      <c r="Q28" s="18"/>
    </row>
    <row r="29" spans="1:17" ht="26.1" customHeight="1" x14ac:dyDescent="0.25">
      <c r="C29" s="63" t="s">
        <v>64</v>
      </c>
      <c r="D29" s="64"/>
      <c r="E29" s="65"/>
      <c r="F29" s="14">
        <v>5</v>
      </c>
      <c r="G29" s="59">
        <f>F29*1.1*$E$8</f>
        <v>0</v>
      </c>
      <c r="H29" s="59"/>
      <c r="I29" s="22" t="s">
        <v>26</v>
      </c>
      <c r="O29" s="20"/>
      <c r="Q29" s="18"/>
    </row>
    <row r="30" spans="1:17" ht="20.100000000000001" customHeight="1" thickBot="1" x14ac:dyDescent="0.3">
      <c r="A30" s="19"/>
      <c r="C30" s="52" t="s">
        <v>27</v>
      </c>
      <c r="D30" s="53"/>
      <c r="E30" s="54"/>
      <c r="F30" s="25">
        <f>SUM(F26:F29)</f>
        <v>9.9</v>
      </c>
      <c r="G30" s="55" t="s">
        <v>25</v>
      </c>
      <c r="H30" s="55"/>
      <c r="I30" s="25" t="s">
        <v>26</v>
      </c>
      <c r="J30" s="5" t="s">
        <v>28</v>
      </c>
      <c r="O30" s="20"/>
    </row>
    <row r="31" spans="1:17" ht="23.25" customHeight="1" thickBot="1" x14ac:dyDescent="0.3">
      <c r="A31" s="28"/>
      <c r="B31" s="26" t="s">
        <v>32</v>
      </c>
      <c r="J31" s="5" t="s">
        <v>33</v>
      </c>
      <c r="K31" s="29"/>
    </row>
    <row r="32" spans="1:17" ht="18" customHeight="1" x14ac:dyDescent="0.25">
      <c r="A32" s="19"/>
      <c r="B32" s="30"/>
      <c r="C32" s="31">
        <v>1</v>
      </c>
      <c r="D32" s="31">
        <v>2</v>
      </c>
      <c r="E32" s="31">
        <v>3</v>
      </c>
      <c r="F32" s="31">
        <v>4</v>
      </c>
      <c r="G32" s="31">
        <v>5</v>
      </c>
      <c r="H32" s="31">
        <v>6</v>
      </c>
      <c r="I32" s="31">
        <v>7</v>
      </c>
      <c r="J32" s="31">
        <v>8</v>
      </c>
      <c r="K32" s="31">
        <v>9</v>
      </c>
      <c r="L32" s="31">
        <v>10</v>
      </c>
      <c r="M32" s="31">
        <v>11</v>
      </c>
      <c r="N32" s="31">
        <v>12</v>
      </c>
    </row>
    <row r="33" spans="1:15" ht="18" customHeight="1" x14ac:dyDescent="0.25">
      <c r="A33" s="19"/>
      <c r="B33" s="32" t="s">
        <v>34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spans="1:15" ht="18" customHeight="1" x14ac:dyDescent="0.25">
      <c r="B34" s="32" t="s">
        <v>35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spans="1:15" ht="18" customHeight="1" x14ac:dyDescent="0.25">
      <c r="B35" s="32" t="s">
        <v>36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spans="1:15" ht="15.75" x14ac:dyDescent="0.25">
      <c r="B36" s="32" t="s">
        <v>37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spans="1:15" ht="15.75" x14ac:dyDescent="0.25">
      <c r="B37" s="32" t="s">
        <v>38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5" ht="15.75" x14ac:dyDescent="0.25">
      <c r="B38" s="32" t="s">
        <v>39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 spans="1:15" ht="15.75" x14ac:dyDescent="0.25">
      <c r="B39" s="32" t="s">
        <v>40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spans="1:15" ht="16.5" thickBot="1" x14ac:dyDescent="0.3">
      <c r="B40" s="32" t="s">
        <v>41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</row>
    <row r="41" spans="1:15" ht="24" customHeight="1" thickBot="1" x14ac:dyDescent="0.3">
      <c r="A41" s="17"/>
      <c r="B41" s="18" t="s">
        <v>42</v>
      </c>
      <c r="F41" s="34"/>
      <c r="G41" s="66" t="s">
        <v>65</v>
      </c>
      <c r="H41" s="56"/>
      <c r="J41"/>
      <c r="K41"/>
    </row>
    <row r="42" spans="1:15" ht="15" customHeight="1" x14ac:dyDescent="0.25">
      <c r="A42" s="19"/>
      <c r="B42" s="18"/>
      <c r="F42" s="34"/>
      <c r="G42" s="56" t="s">
        <v>66</v>
      </c>
      <c r="H42" s="56"/>
      <c r="J42" s="13"/>
    </row>
    <row r="43" spans="1:15" ht="15.75" x14ac:dyDescent="0.25">
      <c r="A43" s="19"/>
      <c r="G43" s="67" t="s">
        <v>68</v>
      </c>
      <c r="H43" s="67"/>
      <c r="I43" s="68" t="str">
        <f>IF(K41&gt;0,CONCATENATE(K41," cycles"),"___cycles")</f>
        <v>___cycles</v>
      </c>
      <c r="J43" s="59"/>
    </row>
    <row r="44" spans="1:15" ht="15.75" x14ac:dyDescent="0.25">
      <c r="A44" s="19"/>
      <c r="G44" s="67" t="s">
        <v>69</v>
      </c>
      <c r="H44" s="67"/>
      <c r="I44" s="59"/>
      <c r="J44" s="59"/>
    </row>
    <row r="45" spans="1:15" ht="15.75" x14ac:dyDescent="0.25">
      <c r="A45" s="19"/>
      <c r="G45" s="67" t="s">
        <v>70</v>
      </c>
      <c r="H45" s="67"/>
      <c r="I45" s="59"/>
      <c r="J45" s="59"/>
    </row>
    <row r="46" spans="1:15" ht="15.75" x14ac:dyDescent="0.25">
      <c r="A46" s="19"/>
      <c r="G46" s="56" t="s">
        <v>43</v>
      </c>
      <c r="H46" s="56"/>
      <c r="I46" s="18"/>
      <c r="J46" s="18"/>
    </row>
    <row r="47" spans="1:15" ht="16.5" thickBot="1" x14ac:dyDescent="0.3">
      <c r="G47" s="56" t="s">
        <v>30</v>
      </c>
      <c r="H47" s="56"/>
      <c r="I47" s="13"/>
      <c r="J47" s="13"/>
    </row>
    <row r="48" spans="1:15" ht="26.1" customHeight="1" thickBot="1" x14ac:dyDescent="0.3">
      <c r="A48" s="13"/>
      <c r="B48" s="77" t="s">
        <v>31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9"/>
    </row>
    <row r="49" spans="1:15" s="18" customFormat="1" ht="24" customHeight="1" thickBot="1" x14ac:dyDescent="0.3">
      <c r="A49" s="27"/>
      <c r="B49" s="18" t="s">
        <v>72</v>
      </c>
    </row>
    <row r="50" spans="1:15" s="13" customFormat="1" ht="25.5" customHeight="1" thickBot="1" x14ac:dyDescent="0.3">
      <c r="A50" s="36"/>
      <c r="B50" s="35" t="s">
        <v>73</v>
      </c>
      <c r="K50" s="35"/>
    </row>
    <row r="51" spans="1:15" s="13" customFormat="1" ht="24.75" customHeight="1" thickBot="1" x14ac:dyDescent="0.3">
      <c r="A51" s="28"/>
      <c r="B51" s="73" t="s">
        <v>44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/>
    </row>
    <row r="52" spans="1:15" s="45" customFormat="1" ht="24.95" customHeight="1" x14ac:dyDescent="0.25">
      <c r="B52" s="46" t="s">
        <v>260</v>
      </c>
    </row>
    <row r="53" spans="1:15" s="45" customFormat="1" ht="24.95" customHeight="1" x14ac:dyDescent="0.25">
      <c r="B53" s="47"/>
      <c r="C53" s="48">
        <v>1</v>
      </c>
      <c r="D53" s="48">
        <v>2</v>
      </c>
      <c r="E53" s="48">
        <v>3</v>
      </c>
      <c r="F53" s="48">
        <v>4</v>
      </c>
      <c r="G53" s="48">
        <v>5</v>
      </c>
      <c r="H53" s="48">
        <v>6</v>
      </c>
      <c r="I53" s="48">
        <v>7</v>
      </c>
      <c r="J53" s="48">
        <v>8</v>
      </c>
      <c r="K53" s="48">
        <v>9</v>
      </c>
      <c r="L53" s="48">
        <v>10</v>
      </c>
      <c r="M53" s="48">
        <v>11</v>
      </c>
      <c r="N53" s="48">
        <v>12</v>
      </c>
    </row>
    <row r="54" spans="1:15" s="45" customFormat="1" ht="24.95" customHeight="1" x14ac:dyDescent="0.25">
      <c r="B54" s="49" t="s">
        <v>34</v>
      </c>
      <c r="C54" s="50">
        <f>IF(ISNUMBER($E$8),prep_table!$P$2,prep_table!$P$2)</f>
        <v>0</v>
      </c>
      <c r="D54" s="51">
        <f>IF(ISNUMBER($E$8),prep_table!$P$3,prep_table!$P$10)</f>
        <v>0</v>
      </c>
      <c r="E54" s="50">
        <f>IF(ISNUMBER($E$8),prep_table!$P$4,prep_table!$P$18)</f>
        <v>0</v>
      </c>
      <c r="F54" s="51">
        <f>IF(ISNUMBER($E$8),prep_table!$P$5,prep_table!$P$26)</f>
        <v>0</v>
      </c>
      <c r="G54" s="50">
        <f>IF(ISNUMBER($E$8),prep_table!$P$6,prep_table!$P$34)</f>
        <v>0</v>
      </c>
      <c r="H54" s="51">
        <f>IF(ISNUMBER($E$8),prep_table!$P$7,prep_table!$P$42)</f>
        <v>0</v>
      </c>
      <c r="I54" s="50">
        <f>IF(ISNUMBER($E$8),prep_table!$P$8,prep_table!$P$50)</f>
        <v>0</v>
      </c>
      <c r="J54" s="51">
        <f>IF(ISNUMBER($E$8),prep_table!$P$9,prep_table!$P$58)</f>
        <v>0</v>
      </c>
      <c r="K54" s="50">
        <f>IF(ISNUMBER($E$8),prep_table!$P$9,prep_table!$P$66)</f>
        <v>0</v>
      </c>
      <c r="L54" s="51">
        <f>IF(ISNUMBER($E$8),prep_table!$P$11,prep_table!$P$74)</f>
        <v>0</v>
      </c>
      <c r="M54" s="50">
        <f>IF(ISNUMBER($E$8),prep_table!$P$12,prep_table!$P$82)</f>
        <v>0</v>
      </c>
      <c r="N54" s="51">
        <f>IF(ISNUMBER($E$8),prep_table!$P$13,prep_table!$P$90)</f>
        <v>0</v>
      </c>
    </row>
    <row r="55" spans="1:15" s="45" customFormat="1" ht="24.95" customHeight="1" x14ac:dyDescent="0.25">
      <c r="B55" s="49" t="s">
        <v>35</v>
      </c>
      <c r="C55" s="50">
        <f>IF(ISNUMBER($E$8),prep_table!$P$14,prep_table!$P$3)</f>
        <v>0</v>
      </c>
      <c r="D55" s="51">
        <f>IF(ISNUMBER($E$8),prep_table!$P$15,prep_table!$P$11)</f>
        <v>0</v>
      </c>
      <c r="E55" s="50">
        <f>IF(ISNUMBER($E$8),prep_table!$P$16,prep_table!$P$19)</f>
        <v>0</v>
      </c>
      <c r="F55" s="51">
        <f>IF(ISNUMBER($E$8),prep_table!$P$17,prep_table!$P$27)</f>
        <v>0</v>
      </c>
      <c r="G55" s="50">
        <f>IF(ISNUMBER($E$8),prep_table!$P$18,prep_table!$P$35)</f>
        <v>0</v>
      </c>
      <c r="H55" s="51">
        <f>IF(ISNUMBER($E$8),prep_table!$P$19,prep_table!$P$43)</f>
        <v>0</v>
      </c>
      <c r="I55" s="50">
        <f>IF(ISNUMBER($E$8),prep_table!$P$20,prep_table!$P$51)</f>
        <v>0</v>
      </c>
      <c r="J55" s="51">
        <f>IF(ISNUMBER($E$8),prep_table!$P$21,prep_table!$P$59)</f>
        <v>0</v>
      </c>
      <c r="K55" s="50">
        <f>IF(ISNUMBER($E$8),prep_table!$P$22,prep_table!$P$67)</f>
        <v>0</v>
      </c>
      <c r="L55" s="51">
        <f>IF(ISNUMBER($E$8),prep_table!$P$23,prep_table!$P$75)</f>
        <v>0</v>
      </c>
      <c r="M55" s="50">
        <f>IF(ISNUMBER($E$8),prep_table!$P$24,prep_table!$P$83)</f>
        <v>0</v>
      </c>
      <c r="N55" s="51">
        <f>IF(ISNUMBER($E$8),prep_table!$P$25,prep_table!$P$91)</f>
        <v>0</v>
      </c>
    </row>
    <row r="56" spans="1:15" s="45" customFormat="1" ht="24.95" customHeight="1" x14ac:dyDescent="0.25">
      <c r="B56" s="49" t="s">
        <v>36</v>
      </c>
      <c r="C56" s="50">
        <f>IF(ISNUMBER($E$8),prep_table!$P$26,prep_table!$P$4)</f>
        <v>0</v>
      </c>
      <c r="D56" s="51">
        <f>IF(ISNUMBER($E$8),prep_table!$P$27,prep_table!$P$12)</f>
        <v>0</v>
      </c>
      <c r="E56" s="50">
        <f>IF(ISNUMBER($E$8),prep_table!$P$28,prep_table!$P$20)</f>
        <v>0</v>
      </c>
      <c r="F56" s="51">
        <f>IF(ISNUMBER($E$8),prep_table!$P$29,prep_table!$P$28)</f>
        <v>0</v>
      </c>
      <c r="G56" s="50">
        <f>IF(ISNUMBER($E$8),prep_table!$P$30,prep_table!$P$36)</f>
        <v>0</v>
      </c>
      <c r="H56" s="51">
        <f>IF(ISNUMBER($E$8),prep_table!$P$31,prep_table!$P$44)</f>
        <v>0</v>
      </c>
      <c r="I56" s="50">
        <f>IF(ISNUMBER($E$8),prep_table!$P$32,prep_table!$P$52)</f>
        <v>0</v>
      </c>
      <c r="J56" s="51">
        <f>IF(ISNUMBER($E$8),prep_table!$P$33,prep_table!$P$60)</f>
        <v>0</v>
      </c>
      <c r="K56" s="50">
        <f>IF(ISNUMBER($E$8),prep_table!$P$34,prep_table!$P$68)</f>
        <v>0</v>
      </c>
      <c r="L56" s="51">
        <f>IF(ISNUMBER($E$8),prep_table!$P$35,prep_table!$P$76)</f>
        <v>0</v>
      </c>
      <c r="M56" s="50">
        <f>IF(ISNUMBER($E$8),prep_table!$P$36,prep_table!$P$84)</f>
        <v>0</v>
      </c>
      <c r="N56" s="51">
        <f>IF(ISNUMBER($E$8),prep_table!$P$37,prep_table!$P$92)</f>
        <v>0</v>
      </c>
    </row>
    <row r="57" spans="1:15" s="45" customFormat="1" ht="24.95" customHeight="1" x14ac:dyDescent="0.25">
      <c r="B57" s="49" t="s">
        <v>37</v>
      </c>
      <c r="C57" s="50">
        <f>IF(ISNUMBER($E$8),prep_table!$P$38,prep_table!$P$5)</f>
        <v>0</v>
      </c>
      <c r="D57" s="51">
        <f>IF(ISNUMBER($E$8),prep_table!$P$39,prep_table!$P$13)</f>
        <v>0</v>
      </c>
      <c r="E57" s="50">
        <f>IF(ISNUMBER($E$8),prep_table!$P$40,prep_table!$P$21)</f>
        <v>0</v>
      </c>
      <c r="F57" s="51">
        <f>IF(ISNUMBER($E$8),prep_table!$P$41,prep_table!$P$29)</f>
        <v>0</v>
      </c>
      <c r="G57" s="50">
        <f>IF(ISNUMBER($E$8),prep_table!$P$42,prep_table!$P$37)</f>
        <v>0</v>
      </c>
      <c r="H57" s="51">
        <f>IF(ISNUMBER($E$8),prep_table!$P$43,prep_table!$P$45)</f>
        <v>0</v>
      </c>
      <c r="I57" s="50">
        <f>IF(ISNUMBER($E$8),prep_table!$P$43,prep_table!$P$53)</f>
        <v>0</v>
      </c>
      <c r="J57" s="51">
        <f>IF(ISNUMBER($E$8),prep_table!$P$44,prep_table!$P$61)</f>
        <v>0</v>
      </c>
      <c r="K57" s="50">
        <f>IF(ISNUMBER($E$8),prep_table!$P$45,prep_table!$P$69)</f>
        <v>0</v>
      </c>
      <c r="L57" s="51">
        <f>IF(ISNUMBER($E$8),prep_table!$P$46,prep_table!$P$77)</f>
        <v>0</v>
      </c>
      <c r="M57" s="50">
        <f>IF(ISNUMBER($E$8),prep_table!$P$47,prep_table!$P$85)</f>
        <v>0</v>
      </c>
      <c r="N57" s="51">
        <f>IF(ISNUMBER($E$8),prep_table!$P$48,prep_table!$P$93)</f>
        <v>0</v>
      </c>
    </row>
    <row r="58" spans="1:15" s="45" customFormat="1" ht="24.95" customHeight="1" x14ac:dyDescent="0.25">
      <c r="B58" s="49" t="s">
        <v>38</v>
      </c>
      <c r="C58" s="50">
        <f>IF(ISNUMBER($E$8),prep_table!$P$50,prep_table!$P$6)</f>
        <v>0</v>
      </c>
      <c r="D58" s="51">
        <f>IF(ISNUMBER($E$8),prep_table!$P$50,prep_table!$P$14)</f>
        <v>0</v>
      </c>
      <c r="E58" s="50">
        <f>IF(ISNUMBER($E$8),prep_table!$P$51,prep_table!$P$22)</f>
        <v>0</v>
      </c>
      <c r="F58" s="51">
        <f>IF(ISNUMBER($E$8),prep_table!$P$52,prep_table!$P$30)</f>
        <v>0</v>
      </c>
      <c r="G58" s="50">
        <f>IF(ISNUMBER($E$8),prep_table!$P$53,prep_table!$P$38)</f>
        <v>0</v>
      </c>
      <c r="H58" s="51">
        <f>IF(ISNUMBER($E$8),prep_table!$P$54,prep_table!$P$46)</f>
        <v>0</v>
      </c>
      <c r="I58" s="50">
        <f>IF(ISNUMBER($E$8),prep_table!$P$55,prep_table!$P$54)</f>
        <v>0</v>
      </c>
      <c r="J58" s="51">
        <f>IF(ISNUMBER($E$8),prep_table!$P$56,prep_table!$P$62)</f>
        <v>0</v>
      </c>
      <c r="K58" s="50">
        <f>IF(ISNUMBER($E$8),prep_table!$P$57,prep_table!$P$70)</f>
        <v>0</v>
      </c>
      <c r="L58" s="51">
        <f>IF(ISNUMBER($E$8),prep_table!$P$58,prep_table!$P$78)</f>
        <v>0</v>
      </c>
      <c r="M58" s="50">
        <f>IF(ISNUMBER($E$8),prep_table!$P$59,prep_table!$P$86)</f>
        <v>0</v>
      </c>
      <c r="N58" s="51">
        <f>IF(ISNUMBER($E$8),prep_table!$P$60,prep_table!$P$94)</f>
        <v>0</v>
      </c>
    </row>
    <row r="59" spans="1:15" s="45" customFormat="1" ht="24.95" customHeight="1" x14ac:dyDescent="0.25">
      <c r="B59" s="49" t="s">
        <v>39</v>
      </c>
      <c r="C59" s="50">
        <f>IF(ISNUMBER($E$8),prep_table!$P$62,prep_table!$P$7)</f>
        <v>0</v>
      </c>
      <c r="D59" s="51">
        <f>IF(ISNUMBER($E$8),prep_table!$P$62,prep_table!$P$15)</f>
        <v>0</v>
      </c>
      <c r="E59" s="50">
        <f>IF(ISNUMBER($E$8),prep_table!$P$63,prep_table!$P$23)</f>
        <v>0</v>
      </c>
      <c r="F59" s="51">
        <f>IF(ISNUMBER($E$8),prep_table!$P$64,prep_table!$P$31)</f>
        <v>0</v>
      </c>
      <c r="G59" s="50">
        <f>IF(ISNUMBER($E$8),prep_table!$P$65,prep_table!$P$39)</f>
        <v>0</v>
      </c>
      <c r="H59" s="51">
        <f>IF(ISNUMBER($E$8),prep_table!$P$66,prep_table!$P$47)</f>
        <v>0</v>
      </c>
      <c r="I59" s="50">
        <f>IF(ISNUMBER($E$8),prep_table!$P$67,prep_table!$P$55)</f>
        <v>0</v>
      </c>
      <c r="J59" s="51">
        <f>IF(ISNUMBER($E$8),prep_table!$P$68,prep_table!$P$63)</f>
        <v>0</v>
      </c>
      <c r="K59" s="50">
        <f>IF(ISNUMBER($E$8),prep_table!$P$69,prep_table!$P$71)</f>
        <v>0</v>
      </c>
      <c r="L59" s="51">
        <f>IF(ISNUMBER($E$8),prep_table!$P$70,prep_table!$P$79)</f>
        <v>0</v>
      </c>
      <c r="M59" s="50">
        <f>IF(ISNUMBER($E$8),prep_table!$P$71,prep_table!$P$87)</f>
        <v>0</v>
      </c>
      <c r="N59" s="51">
        <f>IF(ISNUMBER($E$8),prep_table!$P$71,prep_table!$P$95)</f>
        <v>0</v>
      </c>
    </row>
    <row r="60" spans="1:15" s="45" customFormat="1" ht="24.95" customHeight="1" x14ac:dyDescent="0.25">
      <c r="B60" s="49" t="s">
        <v>40</v>
      </c>
      <c r="C60" s="50">
        <f>IF(ISNUMBER($E$8),prep_table!$P$74,prep_table!$P$8)</f>
        <v>0</v>
      </c>
      <c r="D60" s="51">
        <f>IF(ISNUMBER($E$8),prep_table!$P$74,prep_table!$P$16)</f>
        <v>0</v>
      </c>
      <c r="E60" s="50">
        <f>IF(ISNUMBER($E$8),prep_table!$P$75,prep_table!$P$24)</f>
        <v>0</v>
      </c>
      <c r="F60" s="51">
        <f>IF(ISNUMBER($E$8),prep_table!$P$78,prep_table!$P$32)</f>
        <v>0</v>
      </c>
      <c r="G60" s="50">
        <f>IF(ISNUMBER($E$8),prep_table!$P$79,prep_table!$P$40)</f>
        <v>0</v>
      </c>
      <c r="H60" s="51">
        <f>IF(ISNUMBER($E$8),prep_table!$P$80,prep_table!$P$48)</f>
        <v>0</v>
      </c>
      <c r="I60" s="50">
        <f>IF(ISNUMBER($E$8),prep_table!$P$81,prep_table!$P$56)</f>
        <v>0</v>
      </c>
      <c r="J60" s="51">
        <f>IF(ISNUMBER($E$8),prep_table!$P$82,prep_table!$P$64)</f>
        <v>0</v>
      </c>
      <c r="K60" s="50">
        <f>IF(ISNUMBER($E$8),prep_table!$P$83,prep_table!$P$72)</f>
        <v>0</v>
      </c>
      <c r="L60" s="51">
        <f>IF(ISNUMBER($E$8),prep_table!$P$84,prep_table!$P$80)</f>
        <v>0</v>
      </c>
      <c r="M60" s="50">
        <f>IF(ISNUMBER($E$8),prep_table!$P$85,prep_table!$P$88)</f>
        <v>0</v>
      </c>
      <c r="N60" s="51">
        <f>IF(ISNUMBER($E$8),prep_table!$P$86,prep_table!$P$96)</f>
        <v>0</v>
      </c>
    </row>
    <row r="61" spans="1:15" s="45" customFormat="1" ht="24.95" customHeight="1" thickBot="1" x14ac:dyDescent="0.3">
      <c r="B61" s="49" t="s">
        <v>41</v>
      </c>
      <c r="C61" s="50">
        <f>IF(ISNUMBER($E$8),prep_table!$P$86,prep_table!$P$9)</f>
        <v>0</v>
      </c>
      <c r="D61" s="51">
        <f>IF(ISNUMBER($E$8),prep_table!$P$87,prep_table!$P$17)</f>
        <v>0</v>
      </c>
      <c r="E61" s="50">
        <f>IF(ISNUMBER($E$8),prep_table!$P$88,prep_table!$P$25)</f>
        <v>0</v>
      </c>
      <c r="F61" s="51">
        <f>IF(ISNUMBER($E$8),prep_table!$P$89,prep_table!$P$33)</f>
        <v>0</v>
      </c>
      <c r="G61" s="50">
        <f>IF(ISNUMBER($E$8),prep_table!$P$90,prep_table!$P$41)</f>
        <v>0</v>
      </c>
      <c r="H61" s="51">
        <f>IF(ISNUMBER($E$8),prep_table!$P$91,prep_table!$P$49)</f>
        <v>0</v>
      </c>
      <c r="I61" s="50">
        <f>IF(ISNUMBER($E$8),prep_table!$P$92,prep_table!$P$57)</f>
        <v>0</v>
      </c>
      <c r="J61" s="51">
        <f>IF(ISNUMBER($E$8),prep_table!$P$93,prep_table!$P$65)</f>
        <v>0</v>
      </c>
      <c r="K61" s="50">
        <f>IF(ISNUMBER($E$8),prep_table!$P$94,prep_table!$P$73)</f>
        <v>0</v>
      </c>
      <c r="L61" s="51">
        <f>IF(ISNUMBER($E$8),prep_table!$P$95,prep_table!$P$81)</f>
        <v>0</v>
      </c>
      <c r="M61" s="50">
        <f>IF(ISNUMBER($E$8),prep_table!$P$96,prep_table!$P$89)</f>
        <v>0</v>
      </c>
      <c r="N61" s="51">
        <f>IF(ISNUMBER($E$8),prep_table!$P$97,prep_table!$P$97)</f>
        <v>0</v>
      </c>
    </row>
    <row r="62" spans="1:15" ht="26.1" customHeight="1" thickBot="1" x14ac:dyDescent="0.3">
      <c r="A62" s="27"/>
      <c r="B62" s="35" t="s">
        <v>45</v>
      </c>
      <c r="C62" s="18"/>
      <c r="E62" s="37"/>
    </row>
    <row r="63" spans="1:15" ht="26.1" customHeight="1" thickBot="1" x14ac:dyDescent="0.3">
      <c r="A63" s="27"/>
      <c r="B63" s="18" t="s">
        <v>46</v>
      </c>
      <c r="C63" s="13"/>
      <c r="D63" s="13"/>
      <c r="E63" s="13"/>
    </row>
    <row r="64" spans="1:15" ht="26.1" customHeight="1" x14ac:dyDescent="0.25">
      <c r="A64" s="26"/>
      <c r="C64" s="76" t="s">
        <v>47</v>
      </c>
      <c r="D64" s="76"/>
      <c r="E64" s="76"/>
      <c r="F64" s="76"/>
      <c r="G64" s="76"/>
      <c r="H64" s="76"/>
      <c r="I64" s="76"/>
      <c r="J64" s="76"/>
      <c r="K64" s="72" t="s">
        <v>48</v>
      </c>
      <c r="L64" s="72"/>
      <c r="M64" s="38"/>
    </row>
    <row r="65" spans="1:15" ht="26.1" customHeight="1" x14ac:dyDescent="0.25">
      <c r="A65" s="26"/>
      <c r="C65" s="71" t="s">
        <v>64</v>
      </c>
      <c r="D65" s="71"/>
      <c r="E65" s="71"/>
      <c r="F65" s="71"/>
      <c r="G65" s="71"/>
      <c r="H65" s="71"/>
      <c r="I65" s="71"/>
      <c r="J65" s="71"/>
      <c r="K65" s="72"/>
      <c r="L65" s="72"/>
      <c r="M65" s="39"/>
      <c r="O65" s="40"/>
    </row>
    <row r="69" spans="1:15" ht="26.1" customHeight="1" x14ac:dyDescent="0.25">
      <c r="C69" s="70" t="s">
        <v>49</v>
      </c>
      <c r="D69" s="70"/>
      <c r="E69" s="70"/>
      <c r="F69" s="70"/>
      <c r="G69" s="69" t="s">
        <v>76</v>
      </c>
      <c r="H69" s="69"/>
      <c r="I69" s="69"/>
      <c r="J69" s="69"/>
    </row>
    <row r="70" spans="1:15" ht="26.1" customHeight="1" x14ac:dyDescent="0.25">
      <c r="C70" s="69" t="s">
        <v>50</v>
      </c>
      <c r="D70" s="69"/>
      <c r="E70" s="69"/>
      <c r="F70" s="69"/>
      <c r="G70" s="69" t="s">
        <v>74</v>
      </c>
      <c r="H70" s="69"/>
      <c r="I70" s="69"/>
      <c r="J70" s="69"/>
    </row>
    <row r="71" spans="1:15" ht="26.1" customHeight="1" x14ac:dyDescent="0.25">
      <c r="C71" s="69" t="s">
        <v>51</v>
      </c>
      <c r="D71" s="69"/>
      <c r="E71" s="69"/>
      <c r="F71" s="69"/>
      <c r="G71" s="69" t="s">
        <v>52</v>
      </c>
      <c r="H71" s="69"/>
      <c r="I71" s="69"/>
      <c r="J71" s="69"/>
    </row>
    <row r="72" spans="1:15" ht="26.1" customHeight="1" x14ac:dyDescent="0.25">
      <c r="C72" s="69" t="s">
        <v>53</v>
      </c>
      <c r="D72" s="69"/>
      <c r="E72" s="69"/>
      <c r="F72" s="69"/>
      <c r="G72" s="69" t="s">
        <v>75</v>
      </c>
      <c r="H72" s="69"/>
      <c r="I72" s="69"/>
      <c r="J72" s="69"/>
    </row>
    <row r="73" spans="1:15" ht="26.1" customHeight="1" x14ac:dyDescent="0.25">
      <c r="C73" s="69" t="s">
        <v>54</v>
      </c>
      <c r="D73" s="69"/>
      <c r="E73" s="69"/>
      <c r="F73" s="69"/>
      <c r="G73" s="69" t="s">
        <v>56</v>
      </c>
      <c r="H73" s="69"/>
      <c r="I73" s="69"/>
      <c r="J73" s="69"/>
    </row>
    <row r="74" spans="1:15" ht="26.1" customHeight="1" x14ac:dyDescent="0.25">
      <c r="C74" s="69" t="s">
        <v>55</v>
      </c>
      <c r="D74" s="69"/>
      <c r="E74" s="69"/>
      <c r="F74" s="69"/>
      <c r="G74" s="69" t="s">
        <v>56</v>
      </c>
      <c r="H74" s="69"/>
      <c r="I74" s="69"/>
      <c r="J74" s="69"/>
    </row>
    <row r="75" spans="1:15" ht="26.1" customHeight="1" x14ac:dyDescent="0.25">
      <c r="C75" s="69" t="s">
        <v>57</v>
      </c>
      <c r="D75" s="69"/>
      <c r="E75" s="69"/>
      <c r="F75" s="69"/>
      <c r="G75" s="69">
        <v>20260108</v>
      </c>
      <c r="H75" s="69"/>
      <c r="I75" s="69"/>
      <c r="J75" s="69"/>
    </row>
    <row r="76" spans="1:15" ht="26.1" customHeight="1" x14ac:dyDescent="0.25">
      <c r="C76" s="69" t="s">
        <v>58</v>
      </c>
      <c r="D76" s="69"/>
      <c r="E76" s="69"/>
      <c r="F76" s="69"/>
      <c r="G76" s="69">
        <v>20260108</v>
      </c>
      <c r="H76" s="69"/>
      <c r="I76" s="69"/>
      <c r="J76" s="69"/>
    </row>
  </sheetData>
  <mergeCells count="76">
    <mergeCell ref="A5:F5"/>
    <mergeCell ref="G5:I5"/>
    <mergeCell ref="K5:L5"/>
    <mergeCell ref="N4:O4"/>
    <mergeCell ref="C1:J1"/>
    <mergeCell ref="A2:F2"/>
    <mergeCell ref="A3:F3"/>
    <mergeCell ref="G3:I3"/>
    <mergeCell ref="A4:F4"/>
    <mergeCell ref="G4:I4"/>
    <mergeCell ref="A6:F6"/>
    <mergeCell ref="G6:I6"/>
    <mergeCell ref="A7:F7"/>
    <mergeCell ref="G7:I7"/>
    <mergeCell ref="B9:O9"/>
    <mergeCell ref="C17:E17"/>
    <mergeCell ref="G17:H17"/>
    <mergeCell ref="B23:O23"/>
    <mergeCell ref="G11:H11"/>
    <mergeCell ref="C12:E12"/>
    <mergeCell ref="G12:H12"/>
    <mergeCell ref="C13:E13"/>
    <mergeCell ref="G13:H13"/>
    <mergeCell ref="C16:E16"/>
    <mergeCell ref="G16:H16"/>
    <mergeCell ref="C14:E14"/>
    <mergeCell ref="G14:H14"/>
    <mergeCell ref="C15:E15"/>
    <mergeCell ref="K65:L65"/>
    <mergeCell ref="B51:O51"/>
    <mergeCell ref="C64:J64"/>
    <mergeCell ref="K64:L64"/>
    <mergeCell ref="B48:O48"/>
    <mergeCell ref="C69:F69"/>
    <mergeCell ref="G69:J69"/>
    <mergeCell ref="C70:F70"/>
    <mergeCell ref="G70:J70"/>
    <mergeCell ref="C65:J65"/>
    <mergeCell ref="C71:F71"/>
    <mergeCell ref="G71:J71"/>
    <mergeCell ref="C72:F72"/>
    <mergeCell ref="G72:J72"/>
    <mergeCell ref="C73:F73"/>
    <mergeCell ref="G73:J73"/>
    <mergeCell ref="C74:F74"/>
    <mergeCell ref="G74:J74"/>
    <mergeCell ref="C75:F75"/>
    <mergeCell ref="G75:J75"/>
    <mergeCell ref="C76:F76"/>
    <mergeCell ref="G76:J76"/>
    <mergeCell ref="I43:J45"/>
    <mergeCell ref="G44:H44"/>
    <mergeCell ref="G45:H45"/>
    <mergeCell ref="G15:H15"/>
    <mergeCell ref="G18:H18"/>
    <mergeCell ref="G20:H20"/>
    <mergeCell ref="I20:J22"/>
    <mergeCell ref="G21:H21"/>
    <mergeCell ref="G22:H22"/>
    <mergeCell ref="G19:H19"/>
    <mergeCell ref="G29:H29"/>
    <mergeCell ref="C30:E30"/>
    <mergeCell ref="G30:H30"/>
    <mergeCell ref="G46:H46"/>
    <mergeCell ref="G47:H47"/>
    <mergeCell ref="G25:H25"/>
    <mergeCell ref="C26:E26"/>
    <mergeCell ref="G26:H26"/>
    <mergeCell ref="C27:E27"/>
    <mergeCell ref="G27:H27"/>
    <mergeCell ref="C28:E28"/>
    <mergeCell ref="G28:H28"/>
    <mergeCell ref="C29:E29"/>
    <mergeCell ref="G41:H41"/>
    <mergeCell ref="G42:H42"/>
    <mergeCell ref="G43:H43"/>
  </mergeCells>
  <pageMargins left="0.25" right="0" top="0.25" bottom="0.25" header="0" footer="0"/>
  <pageSetup paperSize="9" scale="67" fitToWidth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1077-9BDB-41FE-8FB2-DB1854603BBF}">
  <dimension ref="A1:G385"/>
  <sheetViews>
    <sheetView topLeftCell="A367" workbookViewId="0">
      <selection activeCell="A2" sqref="A2"/>
    </sheetView>
  </sheetViews>
  <sheetFormatPr defaultRowHeight="15" x14ac:dyDescent="0.25"/>
  <cols>
    <col min="1" max="3" width="9" style="13"/>
    <col min="4" max="4" width="21.875" style="13" customWidth="1"/>
    <col min="5" max="5" width="10.875" style="13" customWidth="1"/>
    <col min="6" max="6" width="22.125" style="13" customWidth="1"/>
    <col min="7" max="7" width="11.5" style="13" customWidth="1"/>
    <col min="8" max="16384" width="9" style="13"/>
  </cols>
  <sheetData>
    <row r="1" spans="1:7" x14ac:dyDescent="0.25">
      <c r="A1" s="41" t="s">
        <v>259</v>
      </c>
      <c r="B1" s="42" t="s">
        <v>161</v>
      </c>
      <c r="C1" s="42" t="s">
        <v>162</v>
      </c>
      <c r="D1" s="42" t="s">
        <v>77</v>
      </c>
      <c r="E1" s="42" t="s">
        <v>78</v>
      </c>
      <c r="F1" s="42" t="s">
        <v>79</v>
      </c>
      <c r="G1" s="42" t="s">
        <v>80</v>
      </c>
    </row>
    <row r="2" spans="1:7" x14ac:dyDescent="0.25">
      <c r="A2" s="43">
        <v>1</v>
      </c>
      <c r="B2" s="43" t="s">
        <v>34</v>
      </c>
      <c r="C2" s="43" t="s">
        <v>163</v>
      </c>
      <c r="D2" s="43" t="s">
        <v>81</v>
      </c>
      <c r="E2" s="43" t="s">
        <v>121</v>
      </c>
      <c r="F2" s="43" t="s">
        <v>82</v>
      </c>
      <c r="G2" s="43" t="s">
        <v>133</v>
      </c>
    </row>
    <row r="3" spans="1:7" x14ac:dyDescent="0.25">
      <c r="A3" s="43">
        <v>2</v>
      </c>
      <c r="B3" s="43" t="s">
        <v>34</v>
      </c>
      <c r="C3" s="43" t="s">
        <v>164</v>
      </c>
      <c r="D3" s="43" t="s">
        <v>83</v>
      </c>
      <c r="E3" s="43" t="s">
        <v>122</v>
      </c>
      <c r="F3" s="43" t="s">
        <v>82</v>
      </c>
      <c r="G3" s="43" t="s">
        <v>133</v>
      </c>
    </row>
    <row r="4" spans="1:7" x14ac:dyDescent="0.25">
      <c r="A4" s="43">
        <v>3</v>
      </c>
      <c r="B4" s="43" t="s">
        <v>34</v>
      </c>
      <c r="C4" s="43" t="s">
        <v>165</v>
      </c>
      <c r="D4" s="43" t="s">
        <v>84</v>
      </c>
      <c r="E4" s="43" t="s">
        <v>123</v>
      </c>
      <c r="F4" s="43" t="s">
        <v>82</v>
      </c>
      <c r="G4" s="43" t="s">
        <v>133</v>
      </c>
    </row>
    <row r="5" spans="1:7" x14ac:dyDescent="0.25">
      <c r="A5" s="43">
        <v>4</v>
      </c>
      <c r="B5" s="43" t="s">
        <v>34</v>
      </c>
      <c r="C5" s="43" t="s">
        <v>166</v>
      </c>
      <c r="D5" s="43" t="s">
        <v>85</v>
      </c>
      <c r="E5" s="43" t="s">
        <v>124</v>
      </c>
      <c r="F5" s="43" t="s">
        <v>82</v>
      </c>
      <c r="G5" s="43" t="s">
        <v>133</v>
      </c>
    </row>
    <row r="6" spans="1:7" x14ac:dyDescent="0.25">
      <c r="A6" s="43">
        <v>5</v>
      </c>
      <c r="B6" s="43" t="s">
        <v>34</v>
      </c>
      <c r="C6" s="43" t="s">
        <v>167</v>
      </c>
      <c r="D6" s="43" t="s">
        <v>86</v>
      </c>
      <c r="E6" s="43" t="s">
        <v>125</v>
      </c>
      <c r="F6" s="43" t="s">
        <v>82</v>
      </c>
      <c r="G6" s="43" t="s">
        <v>133</v>
      </c>
    </row>
    <row r="7" spans="1:7" x14ac:dyDescent="0.25">
      <c r="A7" s="43">
        <v>6</v>
      </c>
      <c r="B7" s="43" t="s">
        <v>34</v>
      </c>
      <c r="C7" s="43" t="s">
        <v>168</v>
      </c>
      <c r="D7" s="43" t="s">
        <v>87</v>
      </c>
      <c r="E7" s="43" t="s">
        <v>126</v>
      </c>
      <c r="F7" s="43" t="s">
        <v>82</v>
      </c>
      <c r="G7" s="43" t="s">
        <v>133</v>
      </c>
    </row>
    <row r="8" spans="1:7" x14ac:dyDescent="0.25">
      <c r="A8" s="43">
        <v>7</v>
      </c>
      <c r="B8" s="43" t="s">
        <v>34</v>
      </c>
      <c r="C8" s="43" t="s">
        <v>169</v>
      </c>
      <c r="D8" s="43" t="s">
        <v>88</v>
      </c>
      <c r="E8" s="43" t="s">
        <v>127</v>
      </c>
      <c r="F8" s="43" t="s">
        <v>82</v>
      </c>
      <c r="G8" s="43" t="s">
        <v>133</v>
      </c>
    </row>
    <row r="9" spans="1:7" x14ac:dyDescent="0.25">
      <c r="A9" s="43">
        <v>8</v>
      </c>
      <c r="B9" s="43" t="s">
        <v>34</v>
      </c>
      <c r="C9" s="43" t="s">
        <v>170</v>
      </c>
      <c r="D9" s="43" t="s">
        <v>89</v>
      </c>
      <c r="E9" s="43" t="s">
        <v>128</v>
      </c>
      <c r="F9" s="43" t="s">
        <v>82</v>
      </c>
      <c r="G9" s="43" t="s">
        <v>133</v>
      </c>
    </row>
    <row r="10" spans="1:7" x14ac:dyDescent="0.25">
      <c r="A10" s="43">
        <v>9</v>
      </c>
      <c r="B10" s="43" t="s">
        <v>34</v>
      </c>
      <c r="C10" s="43" t="s">
        <v>171</v>
      </c>
      <c r="D10" s="43" t="s">
        <v>90</v>
      </c>
      <c r="E10" s="43" t="s">
        <v>129</v>
      </c>
      <c r="F10" s="43" t="s">
        <v>82</v>
      </c>
      <c r="G10" s="43" t="s">
        <v>133</v>
      </c>
    </row>
    <row r="11" spans="1:7" x14ac:dyDescent="0.25">
      <c r="A11" s="43">
        <v>10</v>
      </c>
      <c r="B11" s="43" t="s">
        <v>34</v>
      </c>
      <c r="C11" s="43" t="s">
        <v>172</v>
      </c>
      <c r="D11" s="43" t="s">
        <v>91</v>
      </c>
      <c r="E11" s="43" t="s">
        <v>130</v>
      </c>
      <c r="F11" s="43" t="s">
        <v>82</v>
      </c>
      <c r="G11" s="43" t="s">
        <v>133</v>
      </c>
    </row>
    <row r="12" spans="1:7" x14ac:dyDescent="0.25">
      <c r="A12" s="43">
        <v>11</v>
      </c>
      <c r="B12" s="43" t="s">
        <v>34</v>
      </c>
      <c r="C12" s="43" t="s">
        <v>173</v>
      </c>
      <c r="D12" s="43" t="s">
        <v>92</v>
      </c>
      <c r="E12" s="43" t="s">
        <v>131</v>
      </c>
      <c r="F12" s="43" t="s">
        <v>82</v>
      </c>
      <c r="G12" s="43" t="s">
        <v>133</v>
      </c>
    </row>
    <row r="13" spans="1:7" x14ac:dyDescent="0.25">
      <c r="A13" s="43">
        <v>12</v>
      </c>
      <c r="B13" s="43" t="s">
        <v>34</v>
      </c>
      <c r="C13" s="43" t="s">
        <v>174</v>
      </c>
      <c r="D13" s="43" t="s">
        <v>93</v>
      </c>
      <c r="E13" s="43" t="s">
        <v>132</v>
      </c>
      <c r="F13" s="43" t="s">
        <v>82</v>
      </c>
      <c r="G13" s="43" t="s">
        <v>133</v>
      </c>
    </row>
    <row r="14" spans="1:7" x14ac:dyDescent="0.25">
      <c r="A14" s="43">
        <v>13</v>
      </c>
      <c r="B14" s="43" t="s">
        <v>34</v>
      </c>
      <c r="C14" s="43" t="s">
        <v>175</v>
      </c>
      <c r="D14" s="43" t="s">
        <v>81</v>
      </c>
      <c r="E14" s="43" t="s">
        <v>121</v>
      </c>
      <c r="F14" s="43" t="s">
        <v>94</v>
      </c>
      <c r="G14" s="43" t="s">
        <v>134</v>
      </c>
    </row>
    <row r="15" spans="1:7" x14ac:dyDescent="0.25">
      <c r="A15" s="43">
        <v>14</v>
      </c>
      <c r="B15" s="43" t="s">
        <v>34</v>
      </c>
      <c r="C15" s="43" t="s">
        <v>176</v>
      </c>
      <c r="D15" s="43" t="s">
        <v>83</v>
      </c>
      <c r="E15" s="43" t="s">
        <v>122</v>
      </c>
      <c r="F15" s="43" t="s">
        <v>94</v>
      </c>
      <c r="G15" s="43" t="s">
        <v>134</v>
      </c>
    </row>
    <row r="16" spans="1:7" x14ac:dyDescent="0.25">
      <c r="A16" s="43">
        <v>15</v>
      </c>
      <c r="B16" s="43" t="s">
        <v>34</v>
      </c>
      <c r="C16" s="43" t="s">
        <v>177</v>
      </c>
      <c r="D16" s="43" t="s">
        <v>84</v>
      </c>
      <c r="E16" s="43" t="s">
        <v>123</v>
      </c>
      <c r="F16" s="43" t="s">
        <v>94</v>
      </c>
      <c r="G16" s="43" t="s">
        <v>134</v>
      </c>
    </row>
    <row r="17" spans="1:7" x14ac:dyDescent="0.25">
      <c r="A17" s="43">
        <v>16</v>
      </c>
      <c r="B17" s="43" t="s">
        <v>34</v>
      </c>
      <c r="C17" s="43" t="s">
        <v>178</v>
      </c>
      <c r="D17" s="43" t="s">
        <v>85</v>
      </c>
      <c r="E17" s="43" t="s">
        <v>124</v>
      </c>
      <c r="F17" s="43" t="s">
        <v>94</v>
      </c>
      <c r="G17" s="43" t="s">
        <v>134</v>
      </c>
    </row>
    <row r="18" spans="1:7" x14ac:dyDescent="0.25">
      <c r="A18" s="43">
        <v>17</v>
      </c>
      <c r="B18" s="43" t="s">
        <v>34</v>
      </c>
      <c r="C18" s="43" t="s">
        <v>179</v>
      </c>
      <c r="D18" s="43" t="s">
        <v>86</v>
      </c>
      <c r="E18" s="43" t="s">
        <v>125</v>
      </c>
      <c r="F18" s="43" t="s">
        <v>94</v>
      </c>
      <c r="G18" s="43" t="s">
        <v>134</v>
      </c>
    </row>
    <row r="19" spans="1:7" x14ac:dyDescent="0.25">
      <c r="A19" s="43">
        <v>18</v>
      </c>
      <c r="B19" s="43" t="s">
        <v>34</v>
      </c>
      <c r="C19" s="43" t="s">
        <v>180</v>
      </c>
      <c r="D19" s="43" t="s">
        <v>87</v>
      </c>
      <c r="E19" s="43" t="s">
        <v>126</v>
      </c>
      <c r="F19" s="43" t="s">
        <v>94</v>
      </c>
      <c r="G19" s="43" t="s">
        <v>134</v>
      </c>
    </row>
    <row r="20" spans="1:7" x14ac:dyDescent="0.25">
      <c r="A20" s="43">
        <v>19</v>
      </c>
      <c r="B20" s="43" t="s">
        <v>34</v>
      </c>
      <c r="C20" s="43" t="s">
        <v>181</v>
      </c>
      <c r="D20" s="43" t="s">
        <v>88</v>
      </c>
      <c r="E20" s="43" t="s">
        <v>127</v>
      </c>
      <c r="F20" s="43" t="s">
        <v>94</v>
      </c>
      <c r="G20" s="43" t="s">
        <v>134</v>
      </c>
    </row>
    <row r="21" spans="1:7" x14ac:dyDescent="0.25">
      <c r="A21" s="43">
        <v>20</v>
      </c>
      <c r="B21" s="43" t="s">
        <v>34</v>
      </c>
      <c r="C21" s="43" t="s">
        <v>182</v>
      </c>
      <c r="D21" s="43" t="s">
        <v>89</v>
      </c>
      <c r="E21" s="43" t="s">
        <v>128</v>
      </c>
      <c r="F21" s="43" t="s">
        <v>94</v>
      </c>
      <c r="G21" s="43" t="s">
        <v>134</v>
      </c>
    </row>
    <row r="22" spans="1:7" x14ac:dyDescent="0.25">
      <c r="A22" s="43">
        <v>21</v>
      </c>
      <c r="B22" s="43" t="s">
        <v>34</v>
      </c>
      <c r="C22" s="43" t="s">
        <v>183</v>
      </c>
      <c r="D22" s="43" t="s">
        <v>90</v>
      </c>
      <c r="E22" s="43" t="s">
        <v>129</v>
      </c>
      <c r="F22" s="43" t="s">
        <v>94</v>
      </c>
      <c r="G22" s="43" t="s">
        <v>134</v>
      </c>
    </row>
    <row r="23" spans="1:7" x14ac:dyDescent="0.25">
      <c r="A23" s="43">
        <v>22</v>
      </c>
      <c r="B23" s="43" t="s">
        <v>34</v>
      </c>
      <c r="C23" s="43" t="s">
        <v>184</v>
      </c>
      <c r="D23" s="43" t="s">
        <v>91</v>
      </c>
      <c r="E23" s="43" t="s">
        <v>130</v>
      </c>
      <c r="F23" s="43" t="s">
        <v>94</v>
      </c>
      <c r="G23" s="43" t="s">
        <v>134</v>
      </c>
    </row>
    <row r="24" spans="1:7" x14ac:dyDescent="0.25">
      <c r="A24" s="43">
        <v>23</v>
      </c>
      <c r="B24" s="43" t="s">
        <v>34</v>
      </c>
      <c r="C24" s="43" t="s">
        <v>185</v>
      </c>
      <c r="D24" s="43" t="s">
        <v>92</v>
      </c>
      <c r="E24" s="43" t="s">
        <v>131</v>
      </c>
      <c r="F24" s="43" t="s">
        <v>94</v>
      </c>
      <c r="G24" s="43" t="s">
        <v>134</v>
      </c>
    </row>
    <row r="25" spans="1:7" x14ac:dyDescent="0.25">
      <c r="A25" s="43">
        <v>24</v>
      </c>
      <c r="B25" s="43" t="s">
        <v>34</v>
      </c>
      <c r="C25" s="43" t="s">
        <v>186</v>
      </c>
      <c r="D25" s="43" t="s">
        <v>93</v>
      </c>
      <c r="E25" s="43" t="s">
        <v>132</v>
      </c>
      <c r="F25" s="43" t="s">
        <v>94</v>
      </c>
      <c r="G25" s="43" t="s">
        <v>134</v>
      </c>
    </row>
    <row r="26" spans="1:7" x14ac:dyDescent="0.25">
      <c r="A26" s="43">
        <v>25</v>
      </c>
      <c r="B26" s="43" t="s">
        <v>34</v>
      </c>
      <c r="C26" s="43" t="s">
        <v>187</v>
      </c>
      <c r="D26" s="43" t="s">
        <v>81</v>
      </c>
      <c r="E26" s="43" t="s">
        <v>121</v>
      </c>
      <c r="F26" s="43" t="s">
        <v>95</v>
      </c>
      <c r="G26" s="43" t="s">
        <v>135</v>
      </c>
    </row>
    <row r="27" spans="1:7" x14ac:dyDescent="0.25">
      <c r="A27" s="43">
        <v>26</v>
      </c>
      <c r="B27" s="43" t="s">
        <v>34</v>
      </c>
      <c r="C27" s="43" t="s">
        <v>188</v>
      </c>
      <c r="D27" s="43" t="s">
        <v>83</v>
      </c>
      <c r="E27" s="43" t="s">
        <v>122</v>
      </c>
      <c r="F27" s="43" t="s">
        <v>95</v>
      </c>
      <c r="G27" s="43" t="s">
        <v>135</v>
      </c>
    </row>
    <row r="28" spans="1:7" x14ac:dyDescent="0.25">
      <c r="A28" s="43">
        <v>27</v>
      </c>
      <c r="B28" s="43" t="s">
        <v>34</v>
      </c>
      <c r="C28" s="43" t="s">
        <v>189</v>
      </c>
      <c r="D28" s="43" t="s">
        <v>84</v>
      </c>
      <c r="E28" s="43" t="s">
        <v>123</v>
      </c>
      <c r="F28" s="43" t="s">
        <v>95</v>
      </c>
      <c r="G28" s="43" t="s">
        <v>135</v>
      </c>
    </row>
    <row r="29" spans="1:7" x14ac:dyDescent="0.25">
      <c r="A29" s="43">
        <v>28</v>
      </c>
      <c r="B29" s="43" t="s">
        <v>34</v>
      </c>
      <c r="C29" s="43" t="s">
        <v>190</v>
      </c>
      <c r="D29" s="43" t="s">
        <v>85</v>
      </c>
      <c r="E29" s="43" t="s">
        <v>124</v>
      </c>
      <c r="F29" s="43" t="s">
        <v>95</v>
      </c>
      <c r="G29" s="43" t="s">
        <v>135</v>
      </c>
    </row>
    <row r="30" spans="1:7" x14ac:dyDescent="0.25">
      <c r="A30" s="43">
        <v>29</v>
      </c>
      <c r="B30" s="43" t="s">
        <v>34</v>
      </c>
      <c r="C30" s="43" t="s">
        <v>191</v>
      </c>
      <c r="D30" s="43" t="s">
        <v>86</v>
      </c>
      <c r="E30" s="43" t="s">
        <v>125</v>
      </c>
      <c r="F30" s="43" t="s">
        <v>95</v>
      </c>
      <c r="G30" s="43" t="s">
        <v>135</v>
      </c>
    </row>
    <row r="31" spans="1:7" x14ac:dyDescent="0.25">
      <c r="A31" s="43">
        <v>30</v>
      </c>
      <c r="B31" s="43" t="s">
        <v>34</v>
      </c>
      <c r="C31" s="43" t="s">
        <v>192</v>
      </c>
      <c r="D31" s="43" t="s">
        <v>87</v>
      </c>
      <c r="E31" s="43" t="s">
        <v>126</v>
      </c>
      <c r="F31" s="43" t="s">
        <v>95</v>
      </c>
      <c r="G31" s="43" t="s">
        <v>135</v>
      </c>
    </row>
    <row r="32" spans="1:7" x14ac:dyDescent="0.25">
      <c r="A32" s="43">
        <v>31</v>
      </c>
      <c r="B32" s="43" t="s">
        <v>34</v>
      </c>
      <c r="C32" s="43" t="s">
        <v>193</v>
      </c>
      <c r="D32" s="43" t="s">
        <v>88</v>
      </c>
      <c r="E32" s="43" t="s">
        <v>127</v>
      </c>
      <c r="F32" s="43" t="s">
        <v>95</v>
      </c>
      <c r="G32" s="43" t="s">
        <v>135</v>
      </c>
    </row>
    <row r="33" spans="1:7" x14ac:dyDescent="0.25">
      <c r="A33" s="43">
        <v>32</v>
      </c>
      <c r="B33" s="43" t="s">
        <v>34</v>
      </c>
      <c r="C33" s="43" t="s">
        <v>194</v>
      </c>
      <c r="D33" s="43" t="s">
        <v>89</v>
      </c>
      <c r="E33" s="43" t="s">
        <v>128</v>
      </c>
      <c r="F33" s="43" t="s">
        <v>95</v>
      </c>
      <c r="G33" s="43" t="s">
        <v>135</v>
      </c>
    </row>
    <row r="34" spans="1:7" x14ac:dyDescent="0.25">
      <c r="A34" s="43">
        <v>33</v>
      </c>
      <c r="B34" s="43" t="s">
        <v>34</v>
      </c>
      <c r="C34" s="43" t="s">
        <v>195</v>
      </c>
      <c r="D34" s="43" t="s">
        <v>90</v>
      </c>
      <c r="E34" s="43" t="s">
        <v>129</v>
      </c>
      <c r="F34" s="43" t="s">
        <v>95</v>
      </c>
      <c r="G34" s="43" t="s">
        <v>135</v>
      </c>
    </row>
    <row r="35" spans="1:7" x14ac:dyDescent="0.25">
      <c r="A35" s="43">
        <v>34</v>
      </c>
      <c r="B35" s="43" t="s">
        <v>34</v>
      </c>
      <c r="C35" s="43" t="s">
        <v>196</v>
      </c>
      <c r="D35" s="43" t="s">
        <v>91</v>
      </c>
      <c r="E35" s="43" t="s">
        <v>130</v>
      </c>
      <c r="F35" s="43" t="s">
        <v>95</v>
      </c>
      <c r="G35" s="43" t="s">
        <v>135</v>
      </c>
    </row>
    <row r="36" spans="1:7" x14ac:dyDescent="0.25">
      <c r="A36" s="43">
        <v>35</v>
      </c>
      <c r="B36" s="43" t="s">
        <v>34</v>
      </c>
      <c r="C36" s="43" t="s">
        <v>197</v>
      </c>
      <c r="D36" s="43" t="s">
        <v>92</v>
      </c>
      <c r="E36" s="43" t="s">
        <v>131</v>
      </c>
      <c r="F36" s="43" t="s">
        <v>95</v>
      </c>
      <c r="G36" s="43" t="s">
        <v>135</v>
      </c>
    </row>
    <row r="37" spans="1:7" x14ac:dyDescent="0.25">
      <c r="A37" s="43">
        <v>36</v>
      </c>
      <c r="B37" s="43" t="s">
        <v>34</v>
      </c>
      <c r="C37" s="43" t="s">
        <v>198</v>
      </c>
      <c r="D37" s="43" t="s">
        <v>93</v>
      </c>
      <c r="E37" s="43" t="s">
        <v>132</v>
      </c>
      <c r="F37" s="43" t="s">
        <v>95</v>
      </c>
      <c r="G37" s="43" t="s">
        <v>135</v>
      </c>
    </row>
    <row r="38" spans="1:7" x14ac:dyDescent="0.25">
      <c r="A38" s="43">
        <v>37</v>
      </c>
      <c r="B38" s="43" t="s">
        <v>34</v>
      </c>
      <c r="C38" s="43" t="s">
        <v>199</v>
      </c>
      <c r="D38" s="43" t="s">
        <v>81</v>
      </c>
      <c r="E38" s="43" t="s">
        <v>121</v>
      </c>
      <c r="F38" s="43" t="s">
        <v>96</v>
      </c>
      <c r="G38" s="43" t="s">
        <v>136</v>
      </c>
    </row>
    <row r="39" spans="1:7" x14ac:dyDescent="0.25">
      <c r="A39" s="43">
        <v>38</v>
      </c>
      <c r="B39" s="43" t="s">
        <v>34</v>
      </c>
      <c r="C39" s="43" t="s">
        <v>200</v>
      </c>
      <c r="D39" s="43" t="s">
        <v>83</v>
      </c>
      <c r="E39" s="43" t="s">
        <v>122</v>
      </c>
      <c r="F39" s="43" t="s">
        <v>96</v>
      </c>
      <c r="G39" s="43" t="s">
        <v>136</v>
      </c>
    </row>
    <row r="40" spans="1:7" x14ac:dyDescent="0.25">
      <c r="A40" s="43">
        <v>39</v>
      </c>
      <c r="B40" s="43" t="s">
        <v>34</v>
      </c>
      <c r="C40" s="43" t="s">
        <v>201</v>
      </c>
      <c r="D40" s="43" t="s">
        <v>84</v>
      </c>
      <c r="E40" s="43" t="s">
        <v>123</v>
      </c>
      <c r="F40" s="43" t="s">
        <v>96</v>
      </c>
      <c r="G40" s="43" t="s">
        <v>136</v>
      </c>
    </row>
    <row r="41" spans="1:7" x14ac:dyDescent="0.25">
      <c r="A41" s="43">
        <v>40</v>
      </c>
      <c r="B41" s="43" t="s">
        <v>34</v>
      </c>
      <c r="C41" s="43" t="s">
        <v>202</v>
      </c>
      <c r="D41" s="43" t="s">
        <v>85</v>
      </c>
      <c r="E41" s="43" t="s">
        <v>124</v>
      </c>
      <c r="F41" s="43" t="s">
        <v>96</v>
      </c>
      <c r="G41" s="43" t="s">
        <v>136</v>
      </c>
    </row>
    <row r="42" spans="1:7" x14ac:dyDescent="0.25">
      <c r="A42" s="43">
        <v>41</v>
      </c>
      <c r="B42" s="43" t="s">
        <v>34</v>
      </c>
      <c r="C42" s="43" t="s">
        <v>203</v>
      </c>
      <c r="D42" s="43" t="s">
        <v>86</v>
      </c>
      <c r="E42" s="43" t="s">
        <v>125</v>
      </c>
      <c r="F42" s="43" t="s">
        <v>96</v>
      </c>
      <c r="G42" s="43" t="s">
        <v>136</v>
      </c>
    </row>
    <row r="43" spans="1:7" x14ac:dyDescent="0.25">
      <c r="A43" s="43">
        <v>42</v>
      </c>
      <c r="B43" s="43" t="s">
        <v>34</v>
      </c>
      <c r="C43" s="43" t="s">
        <v>204</v>
      </c>
      <c r="D43" s="43" t="s">
        <v>87</v>
      </c>
      <c r="E43" s="43" t="s">
        <v>126</v>
      </c>
      <c r="F43" s="43" t="s">
        <v>96</v>
      </c>
      <c r="G43" s="43" t="s">
        <v>136</v>
      </c>
    </row>
    <row r="44" spans="1:7" x14ac:dyDescent="0.25">
      <c r="A44" s="43">
        <v>43</v>
      </c>
      <c r="B44" s="43" t="s">
        <v>34</v>
      </c>
      <c r="C44" s="43" t="s">
        <v>205</v>
      </c>
      <c r="D44" s="43" t="s">
        <v>88</v>
      </c>
      <c r="E44" s="43" t="s">
        <v>127</v>
      </c>
      <c r="F44" s="43" t="s">
        <v>96</v>
      </c>
      <c r="G44" s="43" t="s">
        <v>136</v>
      </c>
    </row>
    <row r="45" spans="1:7" x14ac:dyDescent="0.25">
      <c r="A45" s="43">
        <v>44</v>
      </c>
      <c r="B45" s="43" t="s">
        <v>34</v>
      </c>
      <c r="C45" s="43" t="s">
        <v>206</v>
      </c>
      <c r="D45" s="43" t="s">
        <v>89</v>
      </c>
      <c r="E45" s="43" t="s">
        <v>128</v>
      </c>
      <c r="F45" s="43" t="s">
        <v>96</v>
      </c>
      <c r="G45" s="43" t="s">
        <v>136</v>
      </c>
    </row>
    <row r="46" spans="1:7" x14ac:dyDescent="0.25">
      <c r="A46" s="43">
        <v>45</v>
      </c>
      <c r="B46" s="43" t="s">
        <v>34</v>
      </c>
      <c r="C46" s="43" t="s">
        <v>207</v>
      </c>
      <c r="D46" s="43" t="s">
        <v>90</v>
      </c>
      <c r="E46" s="43" t="s">
        <v>129</v>
      </c>
      <c r="F46" s="43" t="s">
        <v>96</v>
      </c>
      <c r="G46" s="43" t="s">
        <v>136</v>
      </c>
    </row>
    <row r="47" spans="1:7" x14ac:dyDescent="0.25">
      <c r="A47" s="43">
        <v>46</v>
      </c>
      <c r="B47" s="43" t="s">
        <v>34</v>
      </c>
      <c r="C47" s="43" t="s">
        <v>208</v>
      </c>
      <c r="D47" s="43" t="s">
        <v>91</v>
      </c>
      <c r="E47" s="43" t="s">
        <v>130</v>
      </c>
      <c r="F47" s="43" t="s">
        <v>96</v>
      </c>
      <c r="G47" s="43" t="s">
        <v>136</v>
      </c>
    </row>
    <row r="48" spans="1:7" x14ac:dyDescent="0.25">
      <c r="A48" s="43">
        <v>47</v>
      </c>
      <c r="B48" s="43" t="s">
        <v>34</v>
      </c>
      <c r="C48" s="43" t="s">
        <v>209</v>
      </c>
      <c r="D48" s="43" t="s">
        <v>92</v>
      </c>
      <c r="E48" s="43" t="s">
        <v>131</v>
      </c>
      <c r="F48" s="43" t="s">
        <v>96</v>
      </c>
      <c r="G48" s="43" t="s">
        <v>136</v>
      </c>
    </row>
    <row r="49" spans="1:7" x14ac:dyDescent="0.25">
      <c r="A49" s="43">
        <v>48</v>
      </c>
      <c r="B49" s="43" t="s">
        <v>34</v>
      </c>
      <c r="C49" s="43" t="s">
        <v>210</v>
      </c>
      <c r="D49" s="43" t="s">
        <v>93</v>
      </c>
      <c r="E49" s="43" t="s">
        <v>132</v>
      </c>
      <c r="F49" s="43" t="s">
        <v>96</v>
      </c>
      <c r="G49" s="43" t="s">
        <v>136</v>
      </c>
    </row>
    <row r="50" spans="1:7" x14ac:dyDescent="0.25">
      <c r="A50" s="43">
        <v>49</v>
      </c>
      <c r="B50" s="43" t="s">
        <v>34</v>
      </c>
      <c r="C50" s="43" t="s">
        <v>211</v>
      </c>
      <c r="D50" s="43" t="s">
        <v>81</v>
      </c>
      <c r="E50" s="43" t="s">
        <v>121</v>
      </c>
      <c r="F50" s="43" t="s">
        <v>97</v>
      </c>
      <c r="G50" s="43" t="s">
        <v>137</v>
      </c>
    </row>
    <row r="51" spans="1:7" x14ac:dyDescent="0.25">
      <c r="A51" s="43">
        <v>50</v>
      </c>
      <c r="B51" s="43" t="s">
        <v>34</v>
      </c>
      <c r="C51" s="43" t="s">
        <v>212</v>
      </c>
      <c r="D51" s="43" t="s">
        <v>83</v>
      </c>
      <c r="E51" s="43" t="s">
        <v>122</v>
      </c>
      <c r="F51" s="43" t="s">
        <v>97</v>
      </c>
      <c r="G51" s="43" t="s">
        <v>137</v>
      </c>
    </row>
    <row r="52" spans="1:7" x14ac:dyDescent="0.25">
      <c r="A52" s="43">
        <v>51</v>
      </c>
      <c r="B52" s="43" t="s">
        <v>34</v>
      </c>
      <c r="C52" s="43" t="s">
        <v>213</v>
      </c>
      <c r="D52" s="43" t="s">
        <v>84</v>
      </c>
      <c r="E52" s="43" t="s">
        <v>123</v>
      </c>
      <c r="F52" s="43" t="s">
        <v>97</v>
      </c>
      <c r="G52" s="43" t="s">
        <v>137</v>
      </c>
    </row>
    <row r="53" spans="1:7" x14ac:dyDescent="0.25">
      <c r="A53" s="43">
        <v>52</v>
      </c>
      <c r="B53" s="43" t="s">
        <v>34</v>
      </c>
      <c r="C53" s="43" t="s">
        <v>214</v>
      </c>
      <c r="D53" s="43" t="s">
        <v>85</v>
      </c>
      <c r="E53" s="43" t="s">
        <v>124</v>
      </c>
      <c r="F53" s="43" t="s">
        <v>97</v>
      </c>
      <c r="G53" s="43" t="s">
        <v>137</v>
      </c>
    </row>
    <row r="54" spans="1:7" x14ac:dyDescent="0.25">
      <c r="A54" s="43">
        <v>53</v>
      </c>
      <c r="B54" s="43" t="s">
        <v>34</v>
      </c>
      <c r="C54" s="43" t="s">
        <v>215</v>
      </c>
      <c r="D54" s="43" t="s">
        <v>86</v>
      </c>
      <c r="E54" s="43" t="s">
        <v>125</v>
      </c>
      <c r="F54" s="43" t="s">
        <v>97</v>
      </c>
      <c r="G54" s="43" t="s">
        <v>137</v>
      </c>
    </row>
    <row r="55" spans="1:7" x14ac:dyDescent="0.25">
      <c r="A55" s="43">
        <v>54</v>
      </c>
      <c r="B55" s="43" t="s">
        <v>34</v>
      </c>
      <c r="C55" s="43" t="s">
        <v>216</v>
      </c>
      <c r="D55" s="43" t="s">
        <v>87</v>
      </c>
      <c r="E55" s="43" t="s">
        <v>126</v>
      </c>
      <c r="F55" s="43" t="s">
        <v>97</v>
      </c>
      <c r="G55" s="43" t="s">
        <v>137</v>
      </c>
    </row>
    <row r="56" spans="1:7" x14ac:dyDescent="0.25">
      <c r="A56" s="43">
        <v>55</v>
      </c>
      <c r="B56" s="43" t="s">
        <v>34</v>
      </c>
      <c r="C56" s="43" t="s">
        <v>217</v>
      </c>
      <c r="D56" s="43" t="s">
        <v>88</v>
      </c>
      <c r="E56" s="43" t="s">
        <v>127</v>
      </c>
      <c r="F56" s="43" t="s">
        <v>97</v>
      </c>
      <c r="G56" s="43" t="s">
        <v>137</v>
      </c>
    </row>
    <row r="57" spans="1:7" x14ac:dyDescent="0.25">
      <c r="A57" s="43">
        <v>56</v>
      </c>
      <c r="B57" s="43" t="s">
        <v>34</v>
      </c>
      <c r="C57" s="43" t="s">
        <v>218</v>
      </c>
      <c r="D57" s="43" t="s">
        <v>89</v>
      </c>
      <c r="E57" s="43" t="s">
        <v>128</v>
      </c>
      <c r="F57" s="43" t="s">
        <v>97</v>
      </c>
      <c r="G57" s="43" t="s">
        <v>137</v>
      </c>
    </row>
    <row r="58" spans="1:7" x14ac:dyDescent="0.25">
      <c r="A58" s="43">
        <v>57</v>
      </c>
      <c r="B58" s="43" t="s">
        <v>34</v>
      </c>
      <c r="C58" s="43" t="s">
        <v>219</v>
      </c>
      <c r="D58" s="43" t="s">
        <v>90</v>
      </c>
      <c r="E58" s="43" t="s">
        <v>129</v>
      </c>
      <c r="F58" s="43" t="s">
        <v>97</v>
      </c>
      <c r="G58" s="43" t="s">
        <v>137</v>
      </c>
    </row>
    <row r="59" spans="1:7" x14ac:dyDescent="0.25">
      <c r="A59" s="43">
        <v>58</v>
      </c>
      <c r="B59" s="43" t="s">
        <v>34</v>
      </c>
      <c r="C59" s="43" t="s">
        <v>220</v>
      </c>
      <c r="D59" s="43" t="s">
        <v>91</v>
      </c>
      <c r="E59" s="43" t="s">
        <v>130</v>
      </c>
      <c r="F59" s="43" t="s">
        <v>97</v>
      </c>
      <c r="G59" s="43" t="s">
        <v>137</v>
      </c>
    </row>
    <row r="60" spans="1:7" x14ac:dyDescent="0.25">
      <c r="A60" s="43">
        <v>59</v>
      </c>
      <c r="B60" s="43" t="s">
        <v>34</v>
      </c>
      <c r="C60" s="43" t="s">
        <v>221</v>
      </c>
      <c r="D60" s="43" t="s">
        <v>92</v>
      </c>
      <c r="E60" s="43" t="s">
        <v>131</v>
      </c>
      <c r="F60" s="43" t="s">
        <v>97</v>
      </c>
      <c r="G60" s="43" t="s">
        <v>137</v>
      </c>
    </row>
    <row r="61" spans="1:7" x14ac:dyDescent="0.25">
      <c r="A61" s="43">
        <v>60</v>
      </c>
      <c r="B61" s="43" t="s">
        <v>34</v>
      </c>
      <c r="C61" s="43" t="s">
        <v>222</v>
      </c>
      <c r="D61" s="43" t="s">
        <v>93</v>
      </c>
      <c r="E61" s="43" t="s">
        <v>132</v>
      </c>
      <c r="F61" s="43" t="s">
        <v>97</v>
      </c>
      <c r="G61" s="43" t="s">
        <v>137</v>
      </c>
    </row>
    <row r="62" spans="1:7" x14ac:dyDescent="0.25">
      <c r="A62" s="43">
        <v>61</v>
      </c>
      <c r="B62" s="43" t="s">
        <v>34</v>
      </c>
      <c r="C62" s="43" t="s">
        <v>223</v>
      </c>
      <c r="D62" s="43" t="s">
        <v>81</v>
      </c>
      <c r="E62" s="43" t="s">
        <v>121</v>
      </c>
      <c r="F62" s="43" t="s">
        <v>98</v>
      </c>
      <c r="G62" s="43" t="s">
        <v>138</v>
      </c>
    </row>
    <row r="63" spans="1:7" x14ac:dyDescent="0.25">
      <c r="A63" s="43">
        <v>62</v>
      </c>
      <c r="B63" s="43" t="s">
        <v>34</v>
      </c>
      <c r="C63" s="43" t="s">
        <v>224</v>
      </c>
      <c r="D63" s="43" t="s">
        <v>83</v>
      </c>
      <c r="E63" s="43" t="s">
        <v>122</v>
      </c>
      <c r="F63" s="43" t="s">
        <v>98</v>
      </c>
      <c r="G63" s="43" t="s">
        <v>138</v>
      </c>
    </row>
    <row r="64" spans="1:7" x14ac:dyDescent="0.25">
      <c r="A64" s="43">
        <v>63</v>
      </c>
      <c r="B64" s="43" t="s">
        <v>34</v>
      </c>
      <c r="C64" s="43" t="s">
        <v>225</v>
      </c>
      <c r="D64" s="43" t="s">
        <v>84</v>
      </c>
      <c r="E64" s="43" t="s">
        <v>123</v>
      </c>
      <c r="F64" s="43" t="s">
        <v>98</v>
      </c>
      <c r="G64" s="43" t="s">
        <v>138</v>
      </c>
    </row>
    <row r="65" spans="1:7" x14ac:dyDescent="0.25">
      <c r="A65" s="43">
        <v>64</v>
      </c>
      <c r="B65" s="43" t="s">
        <v>34</v>
      </c>
      <c r="C65" s="43" t="s">
        <v>226</v>
      </c>
      <c r="D65" s="43" t="s">
        <v>85</v>
      </c>
      <c r="E65" s="43" t="s">
        <v>124</v>
      </c>
      <c r="F65" s="43" t="s">
        <v>98</v>
      </c>
      <c r="G65" s="43" t="s">
        <v>138</v>
      </c>
    </row>
    <row r="66" spans="1:7" x14ac:dyDescent="0.25">
      <c r="A66" s="43">
        <v>65</v>
      </c>
      <c r="B66" s="43" t="s">
        <v>34</v>
      </c>
      <c r="C66" s="43" t="s">
        <v>227</v>
      </c>
      <c r="D66" s="43" t="s">
        <v>86</v>
      </c>
      <c r="E66" s="43" t="s">
        <v>125</v>
      </c>
      <c r="F66" s="43" t="s">
        <v>98</v>
      </c>
      <c r="G66" s="43" t="s">
        <v>138</v>
      </c>
    </row>
    <row r="67" spans="1:7" x14ac:dyDescent="0.25">
      <c r="A67" s="43">
        <v>66</v>
      </c>
      <c r="B67" s="43" t="s">
        <v>34</v>
      </c>
      <c r="C67" s="43" t="s">
        <v>228</v>
      </c>
      <c r="D67" s="43" t="s">
        <v>87</v>
      </c>
      <c r="E67" s="43" t="s">
        <v>126</v>
      </c>
      <c r="F67" s="43" t="s">
        <v>98</v>
      </c>
      <c r="G67" s="43" t="s">
        <v>138</v>
      </c>
    </row>
    <row r="68" spans="1:7" x14ac:dyDescent="0.25">
      <c r="A68" s="43">
        <v>67</v>
      </c>
      <c r="B68" s="43" t="s">
        <v>34</v>
      </c>
      <c r="C68" s="43" t="s">
        <v>229</v>
      </c>
      <c r="D68" s="43" t="s">
        <v>88</v>
      </c>
      <c r="E68" s="43" t="s">
        <v>127</v>
      </c>
      <c r="F68" s="43" t="s">
        <v>98</v>
      </c>
      <c r="G68" s="43" t="s">
        <v>138</v>
      </c>
    </row>
    <row r="69" spans="1:7" x14ac:dyDescent="0.25">
      <c r="A69" s="43">
        <v>68</v>
      </c>
      <c r="B69" s="43" t="s">
        <v>34</v>
      </c>
      <c r="C69" s="43" t="s">
        <v>230</v>
      </c>
      <c r="D69" s="43" t="s">
        <v>89</v>
      </c>
      <c r="E69" s="43" t="s">
        <v>128</v>
      </c>
      <c r="F69" s="43" t="s">
        <v>98</v>
      </c>
      <c r="G69" s="43" t="s">
        <v>138</v>
      </c>
    </row>
    <row r="70" spans="1:7" x14ac:dyDescent="0.25">
      <c r="A70" s="43">
        <v>69</v>
      </c>
      <c r="B70" s="43" t="s">
        <v>34</v>
      </c>
      <c r="C70" s="43" t="s">
        <v>231</v>
      </c>
      <c r="D70" s="43" t="s">
        <v>90</v>
      </c>
      <c r="E70" s="43" t="s">
        <v>129</v>
      </c>
      <c r="F70" s="43" t="s">
        <v>98</v>
      </c>
      <c r="G70" s="43" t="s">
        <v>138</v>
      </c>
    </row>
    <row r="71" spans="1:7" x14ac:dyDescent="0.25">
      <c r="A71" s="43">
        <v>70</v>
      </c>
      <c r="B71" s="43" t="s">
        <v>34</v>
      </c>
      <c r="C71" s="43" t="s">
        <v>232</v>
      </c>
      <c r="D71" s="43" t="s">
        <v>91</v>
      </c>
      <c r="E71" s="43" t="s">
        <v>130</v>
      </c>
      <c r="F71" s="43" t="s">
        <v>98</v>
      </c>
      <c r="G71" s="43" t="s">
        <v>138</v>
      </c>
    </row>
    <row r="72" spans="1:7" x14ac:dyDescent="0.25">
      <c r="A72" s="43">
        <v>71</v>
      </c>
      <c r="B72" s="43" t="s">
        <v>34</v>
      </c>
      <c r="C72" s="43" t="s">
        <v>233</v>
      </c>
      <c r="D72" s="43" t="s">
        <v>92</v>
      </c>
      <c r="E72" s="43" t="s">
        <v>131</v>
      </c>
      <c r="F72" s="43" t="s">
        <v>98</v>
      </c>
      <c r="G72" s="43" t="s">
        <v>138</v>
      </c>
    </row>
    <row r="73" spans="1:7" x14ac:dyDescent="0.25">
      <c r="A73" s="43">
        <v>72</v>
      </c>
      <c r="B73" s="43" t="s">
        <v>34</v>
      </c>
      <c r="C73" s="43" t="s">
        <v>234</v>
      </c>
      <c r="D73" s="43" t="s">
        <v>93</v>
      </c>
      <c r="E73" s="43" t="s">
        <v>132</v>
      </c>
      <c r="F73" s="43" t="s">
        <v>98</v>
      </c>
      <c r="G73" s="43" t="s">
        <v>138</v>
      </c>
    </row>
    <row r="74" spans="1:7" x14ac:dyDescent="0.25">
      <c r="A74" s="43">
        <v>73</v>
      </c>
      <c r="B74" s="43" t="s">
        <v>34</v>
      </c>
      <c r="C74" s="43" t="s">
        <v>235</v>
      </c>
      <c r="D74" s="43" t="s">
        <v>81</v>
      </c>
      <c r="E74" s="43" t="s">
        <v>121</v>
      </c>
      <c r="F74" s="43" t="s">
        <v>99</v>
      </c>
      <c r="G74" s="43" t="s">
        <v>139</v>
      </c>
    </row>
    <row r="75" spans="1:7" x14ac:dyDescent="0.25">
      <c r="A75" s="43">
        <v>74</v>
      </c>
      <c r="B75" s="43" t="s">
        <v>34</v>
      </c>
      <c r="C75" s="43" t="s">
        <v>236</v>
      </c>
      <c r="D75" s="43" t="s">
        <v>83</v>
      </c>
      <c r="E75" s="43" t="s">
        <v>122</v>
      </c>
      <c r="F75" s="43" t="s">
        <v>99</v>
      </c>
      <c r="G75" s="43" t="s">
        <v>139</v>
      </c>
    </row>
    <row r="76" spans="1:7" x14ac:dyDescent="0.25">
      <c r="A76" s="43">
        <v>75</v>
      </c>
      <c r="B76" s="43" t="s">
        <v>34</v>
      </c>
      <c r="C76" s="43" t="s">
        <v>237</v>
      </c>
      <c r="D76" s="43" t="s">
        <v>84</v>
      </c>
      <c r="E76" s="43" t="s">
        <v>123</v>
      </c>
      <c r="F76" s="43" t="s">
        <v>99</v>
      </c>
      <c r="G76" s="43" t="s">
        <v>139</v>
      </c>
    </row>
    <row r="77" spans="1:7" x14ac:dyDescent="0.25">
      <c r="A77" s="43">
        <v>76</v>
      </c>
      <c r="B77" s="43" t="s">
        <v>34</v>
      </c>
      <c r="C77" s="43" t="s">
        <v>238</v>
      </c>
      <c r="D77" s="43" t="s">
        <v>85</v>
      </c>
      <c r="E77" s="43" t="s">
        <v>124</v>
      </c>
      <c r="F77" s="43" t="s">
        <v>99</v>
      </c>
      <c r="G77" s="43" t="s">
        <v>139</v>
      </c>
    </row>
    <row r="78" spans="1:7" x14ac:dyDescent="0.25">
      <c r="A78" s="43">
        <v>77</v>
      </c>
      <c r="B78" s="43" t="s">
        <v>34</v>
      </c>
      <c r="C78" s="43" t="s">
        <v>239</v>
      </c>
      <c r="D78" s="43" t="s">
        <v>86</v>
      </c>
      <c r="E78" s="43" t="s">
        <v>125</v>
      </c>
      <c r="F78" s="43" t="s">
        <v>99</v>
      </c>
      <c r="G78" s="43" t="s">
        <v>139</v>
      </c>
    </row>
    <row r="79" spans="1:7" x14ac:dyDescent="0.25">
      <c r="A79" s="43">
        <v>78</v>
      </c>
      <c r="B79" s="43" t="s">
        <v>34</v>
      </c>
      <c r="C79" s="43" t="s">
        <v>240</v>
      </c>
      <c r="D79" s="43" t="s">
        <v>87</v>
      </c>
      <c r="E79" s="43" t="s">
        <v>126</v>
      </c>
      <c r="F79" s="43" t="s">
        <v>99</v>
      </c>
      <c r="G79" s="43" t="s">
        <v>139</v>
      </c>
    </row>
    <row r="80" spans="1:7" x14ac:dyDescent="0.25">
      <c r="A80" s="43">
        <v>79</v>
      </c>
      <c r="B80" s="43" t="s">
        <v>34</v>
      </c>
      <c r="C80" s="43" t="s">
        <v>241</v>
      </c>
      <c r="D80" s="43" t="s">
        <v>88</v>
      </c>
      <c r="E80" s="43" t="s">
        <v>127</v>
      </c>
      <c r="F80" s="43" t="s">
        <v>99</v>
      </c>
      <c r="G80" s="43" t="s">
        <v>139</v>
      </c>
    </row>
    <row r="81" spans="1:7" x14ac:dyDescent="0.25">
      <c r="A81" s="43">
        <v>80</v>
      </c>
      <c r="B81" s="43" t="s">
        <v>34</v>
      </c>
      <c r="C81" s="43" t="s">
        <v>242</v>
      </c>
      <c r="D81" s="43" t="s">
        <v>89</v>
      </c>
      <c r="E81" s="43" t="s">
        <v>128</v>
      </c>
      <c r="F81" s="43" t="s">
        <v>99</v>
      </c>
      <c r="G81" s="43" t="s">
        <v>139</v>
      </c>
    </row>
    <row r="82" spans="1:7" x14ac:dyDescent="0.25">
      <c r="A82" s="43">
        <v>81</v>
      </c>
      <c r="B82" s="43" t="s">
        <v>34</v>
      </c>
      <c r="C82" s="43" t="s">
        <v>243</v>
      </c>
      <c r="D82" s="43" t="s">
        <v>90</v>
      </c>
      <c r="E82" s="43" t="s">
        <v>129</v>
      </c>
      <c r="F82" s="43" t="s">
        <v>99</v>
      </c>
      <c r="G82" s="43" t="s">
        <v>139</v>
      </c>
    </row>
    <row r="83" spans="1:7" x14ac:dyDescent="0.25">
      <c r="A83" s="43">
        <v>82</v>
      </c>
      <c r="B83" s="43" t="s">
        <v>34</v>
      </c>
      <c r="C83" s="43" t="s">
        <v>244</v>
      </c>
      <c r="D83" s="43" t="s">
        <v>91</v>
      </c>
      <c r="E83" s="43" t="s">
        <v>130</v>
      </c>
      <c r="F83" s="43" t="s">
        <v>99</v>
      </c>
      <c r="G83" s="43" t="s">
        <v>139</v>
      </c>
    </row>
    <row r="84" spans="1:7" x14ac:dyDescent="0.25">
      <c r="A84" s="43">
        <v>83</v>
      </c>
      <c r="B84" s="43" t="s">
        <v>34</v>
      </c>
      <c r="C84" s="43" t="s">
        <v>245</v>
      </c>
      <c r="D84" s="43" t="s">
        <v>92</v>
      </c>
      <c r="E84" s="43" t="s">
        <v>131</v>
      </c>
      <c r="F84" s="43" t="s">
        <v>99</v>
      </c>
      <c r="G84" s="43" t="s">
        <v>139</v>
      </c>
    </row>
    <row r="85" spans="1:7" x14ac:dyDescent="0.25">
      <c r="A85" s="43">
        <v>84</v>
      </c>
      <c r="B85" s="43" t="s">
        <v>34</v>
      </c>
      <c r="C85" s="43" t="s">
        <v>246</v>
      </c>
      <c r="D85" s="43" t="s">
        <v>93</v>
      </c>
      <c r="E85" s="43" t="s">
        <v>132</v>
      </c>
      <c r="F85" s="43" t="s">
        <v>99</v>
      </c>
      <c r="G85" s="43" t="s">
        <v>139</v>
      </c>
    </row>
    <row r="86" spans="1:7" x14ac:dyDescent="0.25">
      <c r="A86" s="43">
        <v>85</v>
      </c>
      <c r="B86" s="43" t="s">
        <v>34</v>
      </c>
      <c r="C86" s="43" t="s">
        <v>247</v>
      </c>
      <c r="D86" s="43" t="s">
        <v>81</v>
      </c>
      <c r="E86" s="43" t="s">
        <v>121</v>
      </c>
      <c r="F86" s="43" t="s">
        <v>100</v>
      </c>
      <c r="G86" s="43" t="s">
        <v>140</v>
      </c>
    </row>
    <row r="87" spans="1:7" x14ac:dyDescent="0.25">
      <c r="A87" s="43">
        <v>86</v>
      </c>
      <c r="B87" s="43" t="s">
        <v>34</v>
      </c>
      <c r="C87" s="43" t="s">
        <v>248</v>
      </c>
      <c r="D87" s="43" t="s">
        <v>83</v>
      </c>
      <c r="E87" s="43" t="s">
        <v>122</v>
      </c>
      <c r="F87" s="43" t="s">
        <v>100</v>
      </c>
      <c r="G87" s="43" t="s">
        <v>140</v>
      </c>
    </row>
    <row r="88" spans="1:7" x14ac:dyDescent="0.25">
      <c r="A88" s="43">
        <v>87</v>
      </c>
      <c r="B88" s="43" t="s">
        <v>34</v>
      </c>
      <c r="C88" s="43" t="s">
        <v>249</v>
      </c>
      <c r="D88" s="43" t="s">
        <v>84</v>
      </c>
      <c r="E88" s="43" t="s">
        <v>123</v>
      </c>
      <c r="F88" s="43" t="s">
        <v>100</v>
      </c>
      <c r="G88" s="43" t="s">
        <v>140</v>
      </c>
    </row>
    <row r="89" spans="1:7" x14ac:dyDescent="0.25">
      <c r="A89" s="43">
        <v>88</v>
      </c>
      <c r="B89" s="43" t="s">
        <v>34</v>
      </c>
      <c r="C89" s="43" t="s">
        <v>250</v>
      </c>
      <c r="D89" s="43" t="s">
        <v>85</v>
      </c>
      <c r="E89" s="43" t="s">
        <v>124</v>
      </c>
      <c r="F89" s="43" t="s">
        <v>100</v>
      </c>
      <c r="G89" s="43" t="s">
        <v>140</v>
      </c>
    </row>
    <row r="90" spans="1:7" x14ac:dyDescent="0.25">
      <c r="A90" s="43">
        <v>89</v>
      </c>
      <c r="B90" s="43" t="s">
        <v>34</v>
      </c>
      <c r="C90" s="43" t="s">
        <v>251</v>
      </c>
      <c r="D90" s="43" t="s">
        <v>86</v>
      </c>
      <c r="E90" s="43" t="s">
        <v>125</v>
      </c>
      <c r="F90" s="43" t="s">
        <v>100</v>
      </c>
      <c r="G90" s="43" t="s">
        <v>140</v>
      </c>
    </row>
    <row r="91" spans="1:7" x14ac:dyDescent="0.25">
      <c r="A91" s="43">
        <v>90</v>
      </c>
      <c r="B91" s="43" t="s">
        <v>34</v>
      </c>
      <c r="C91" s="43" t="s">
        <v>252</v>
      </c>
      <c r="D91" s="43" t="s">
        <v>87</v>
      </c>
      <c r="E91" s="43" t="s">
        <v>126</v>
      </c>
      <c r="F91" s="43" t="s">
        <v>100</v>
      </c>
      <c r="G91" s="43" t="s">
        <v>140</v>
      </c>
    </row>
    <row r="92" spans="1:7" x14ac:dyDescent="0.25">
      <c r="A92" s="43">
        <v>91</v>
      </c>
      <c r="B92" s="43" t="s">
        <v>34</v>
      </c>
      <c r="C92" s="43" t="s">
        <v>253</v>
      </c>
      <c r="D92" s="43" t="s">
        <v>88</v>
      </c>
      <c r="E92" s="43" t="s">
        <v>127</v>
      </c>
      <c r="F92" s="43" t="s">
        <v>100</v>
      </c>
      <c r="G92" s="43" t="s">
        <v>140</v>
      </c>
    </row>
    <row r="93" spans="1:7" x14ac:dyDescent="0.25">
      <c r="A93" s="43">
        <v>92</v>
      </c>
      <c r="B93" s="43" t="s">
        <v>34</v>
      </c>
      <c r="C93" s="43" t="s">
        <v>254</v>
      </c>
      <c r="D93" s="43" t="s">
        <v>89</v>
      </c>
      <c r="E93" s="43" t="s">
        <v>128</v>
      </c>
      <c r="F93" s="43" t="s">
        <v>100</v>
      </c>
      <c r="G93" s="43" t="s">
        <v>140</v>
      </c>
    </row>
    <row r="94" spans="1:7" x14ac:dyDescent="0.25">
      <c r="A94" s="43">
        <v>93</v>
      </c>
      <c r="B94" s="43" t="s">
        <v>34</v>
      </c>
      <c r="C94" s="43" t="s">
        <v>255</v>
      </c>
      <c r="D94" s="43" t="s">
        <v>90</v>
      </c>
      <c r="E94" s="43" t="s">
        <v>129</v>
      </c>
      <c r="F94" s="43" t="s">
        <v>100</v>
      </c>
      <c r="G94" s="43" t="s">
        <v>140</v>
      </c>
    </row>
    <row r="95" spans="1:7" x14ac:dyDescent="0.25">
      <c r="A95" s="43">
        <v>94</v>
      </c>
      <c r="B95" s="43" t="s">
        <v>34</v>
      </c>
      <c r="C95" s="43" t="s">
        <v>256</v>
      </c>
      <c r="D95" s="43" t="s">
        <v>91</v>
      </c>
      <c r="E95" s="43" t="s">
        <v>130</v>
      </c>
      <c r="F95" s="43" t="s">
        <v>100</v>
      </c>
      <c r="G95" s="43" t="s">
        <v>140</v>
      </c>
    </row>
    <row r="96" spans="1:7" x14ac:dyDescent="0.25">
      <c r="A96" s="43">
        <v>95</v>
      </c>
      <c r="B96" s="43" t="s">
        <v>34</v>
      </c>
      <c r="C96" s="43" t="s">
        <v>257</v>
      </c>
      <c r="D96" s="43" t="s">
        <v>92</v>
      </c>
      <c r="E96" s="43" t="s">
        <v>131</v>
      </c>
      <c r="F96" s="43" t="s">
        <v>100</v>
      </c>
      <c r="G96" s="43" t="s">
        <v>140</v>
      </c>
    </row>
    <row r="97" spans="1:7" x14ac:dyDescent="0.25">
      <c r="A97" s="44">
        <v>96</v>
      </c>
      <c r="B97" s="44" t="s">
        <v>34</v>
      </c>
      <c r="C97" s="44" t="s">
        <v>258</v>
      </c>
      <c r="D97" s="44" t="s">
        <v>93</v>
      </c>
      <c r="E97" s="44" t="s">
        <v>132</v>
      </c>
      <c r="F97" s="44" t="s">
        <v>100</v>
      </c>
      <c r="G97" s="44" t="s">
        <v>140</v>
      </c>
    </row>
    <row r="98" spans="1:7" x14ac:dyDescent="0.25">
      <c r="A98" s="43">
        <v>97</v>
      </c>
      <c r="B98" s="43" t="s">
        <v>35</v>
      </c>
      <c r="C98" s="43" t="s">
        <v>163</v>
      </c>
      <c r="D98" s="43" t="s">
        <v>101</v>
      </c>
      <c r="E98" s="43" t="s">
        <v>141</v>
      </c>
      <c r="F98" s="43" t="s">
        <v>82</v>
      </c>
      <c r="G98" s="43" t="s">
        <v>133</v>
      </c>
    </row>
    <row r="99" spans="1:7" x14ac:dyDescent="0.25">
      <c r="A99" s="43">
        <v>98</v>
      </c>
      <c r="B99" s="43" t="s">
        <v>35</v>
      </c>
      <c r="C99" s="43" t="s">
        <v>164</v>
      </c>
      <c r="D99" s="43" t="s">
        <v>102</v>
      </c>
      <c r="E99" s="43" t="s">
        <v>142</v>
      </c>
      <c r="F99" s="43" t="s">
        <v>82</v>
      </c>
      <c r="G99" s="43" t="s">
        <v>133</v>
      </c>
    </row>
    <row r="100" spans="1:7" x14ac:dyDescent="0.25">
      <c r="A100" s="43">
        <v>99</v>
      </c>
      <c r="B100" s="43" t="s">
        <v>35</v>
      </c>
      <c r="C100" s="43" t="s">
        <v>165</v>
      </c>
      <c r="D100" s="43" t="s">
        <v>103</v>
      </c>
      <c r="E100" s="43" t="s">
        <v>143</v>
      </c>
      <c r="F100" s="43" t="s">
        <v>82</v>
      </c>
      <c r="G100" s="43" t="s">
        <v>133</v>
      </c>
    </row>
    <row r="101" spans="1:7" x14ac:dyDescent="0.25">
      <c r="A101" s="43">
        <v>100</v>
      </c>
      <c r="B101" s="43" t="s">
        <v>35</v>
      </c>
      <c r="C101" s="43" t="s">
        <v>166</v>
      </c>
      <c r="D101" s="43" t="s">
        <v>104</v>
      </c>
      <c r="E101" s="43" t="s">
        <v>144</v>
      </c>
      <c r="F101" s="43" t="s">
        <v>82</v>
      </c>
      <c r="G101" s="43" t="s">
        <v>133</v>
      </c>
    </row>
    <row r="102" spans="1:7" x14ac:dyDescent="0.25">
      <c r="A102" s="43">
        <v>101</v>
      </c>
      <c r="B102" s="43" t="s">
        <v>35</v>
      </c>
      <c r="C102" s="43" t="s">
        <v>167</v>
      </c>
      <c r="D102" s="43" t="s">
        <v>105</v>
      </c>
      <c r="E102" s="43" t="s">
        <v>145</v>
      </c>
      <c r="F102" s="43" t="s">
        <v>82</v>
      </c>
      <c r="G102" s="43" t="s">
        <v>133</v>
      </c>
    </row>
    <row r="103" spans="1:7" x14ac:dyDescent="0.25">
      <c r="A103" s="43">
        <v>102</v>
      </c>
      <c r="B103" s="43" t="s">
        <v>35</v>
      </c>
      <c r="C103" s="43" t="s">
        <v>168</v>
      </c>
      <c r="D103" s="43" t="s">
        <v>106</v>
      </c>
      <c r="E103" s="43" t="s">
        <v>146</v>
      </c>
      <c r="F103" s="43" t="s">
        <v>82</v>
      </c>
      <c r="G103" s="43" t="s">
        <v>133</v>
      </c>
    </row>
    <row r="104" spans="1:7" x14ac:dyDescent="0.25">
      <c r="A104" s="43">
        <v>103</v>
      </c>
      <c r="B104" s="43" t="s">
        <v>35</v>
      </c>
      <c r="C104" s="43" t="s">
        <v>169</v>
      </c>
      <c r="D104" s="43" t="s">
        <v>107</v>
      </c>
      <c r="E104" s="43" t="s">
        <v>147</v>
      </c>
      <c r="F104" s="43" t="s">
        <v>82</v>
      </c>
      <c r="G104" s="43" t="s">
        <v>133</v>
      </c>
    </row>
    <row r="105" spans="1:7" x14ac:dyDescent="0.25">
      <c r="A105" s="43">
        <v>104</v>
      </c>
      <c r="B105" s="43" t="s">
        <v>35</v>
      </c>
      <c r="C105" s="43" t="s">
        <v>170</v>
      </c>
      <c r="D105" s="43" t="s">
        <v>108</v>
      </c>
      <c r="E105" s="43" t="s">
        <v>148</v>
      </c>
      <c r="F105" s="43" t="s">
        <v>82</v>
      </c>
      <c r="G105" s="43" t="s">
        <v>133</v>
      </c>
    </row>
    <row r="106" spans="1:7" x14ac:dyDescent="0.25">
      <c r="A106" s="43">
        <v>105</v>
      </c>
      <c r="B106" s="43" t="s">
        <v>35</v>
      </c>
      <c r="C106" s="43" t="s">
        <v>171</v>
      </c>
      <c r="D106" s="43" t="s">
        <v>109</v>
      </c>
      <c r="E106" s="43" t="s">
        <v>149</v>
      </c>
      <c r="F106" s="43" t="s">
        <v>82</v>
      </c>
      <c r="G106" s="43" t="s">
        <v>133</v>
      </c>
    </row>
    <row r="107" spans="1:7" x14ac:dyDescent="0.25">
      <c r="A107" s="43">
        <v>106</v>
      </c>
      <c r="B107" s="43" t="s">
        <v>35</v>
      </c>
      <c r="C107" s="43" t="s">
        <v>172</v>
      </c>
      <c r="D107" s="43" t="s">
        <v>110</v>
      </c>
      <c r="E107" s="43" t="s">
        <v>150</v>
      </c>
      <c r="F107" s="43" t="s">
        <v>82</v>
      </c>
      <c r="G107" s="43" t="s">
        <v>133</v>
      </c>
    </row>
    <row r="108" spans="1:7" x14ac:dyDescent="0.25">
      <c r="A108" s="43">
        <v>107</v>
      </c>
      <c r="B108" s="43" t="s">
        <v>35</v>
      </c>
      <c r="C108" s="43" t="s">
        <v>173</v>
      </c>
      <c r="D108" s="43" t="s">
        <v>111</v>
      </c>
      <c r="E108" s="43" t="s">
        <v>151</v>
      </c>
      <c r="F108" s="43" t="s">
        <v>82</v>
      </c>
      <c r="G108" s="43" t="s">
        <v>133</v>
      </c>
    </row>
    <row r="109" spans="1:7" x14ac:dyDescent="0.25">
      <c r="A109" s="43">
        <v>108</v>
      </c>
      <c r="B109" s="43" t="s">
        <v>35</v>
      </c>
      <c r="C109" s="43" t="s">
        <v>174</v>
      </c>
      <c r="D109" s="43" t="s">
        <v>112</v>
      </c>
      <c r="E109" s="43" t="s">
        <v>152</v>
      </c>
      <c r="F109" s="43" t="s">
        <v>82</v>
      </c>
      <c r="G109" s="43" t="s">
        <v>133</v>
      </c>
    </row>
    <row r="110" spans="1:7" x14ac:dyDescent="0.25">
      <c r="A110" s="43">
        <v>109</v>
      </c>
      <c r="B110" s="43" t="s">
        <v>35</v>
      </c>
      <c r="C110" s="43" t="s">
        <v>175</v>
      </c>
      <c r="D110" s="43" t="s">
        <v>101</v>
      </c>
      <c r="E110" s="43" t="s">
        <v>141</v>
      </c>
      <c r="F110" s="43" t="s">
        <v>94</v>
      </c>
      <c r="G110" s="43" t="s">
        <v>134</v>
      </c>
    </row>
    <row r="111" spans="1:7" x14ac:dyDescent="0.25">
      <c r="A111" s="43">
        <v>110</v>
      </c>
      <c r="B111" s="43" t="s">
        <v>35</v>
      </c>
      <c r="C111" s="43" t="s">
        <v>176</v>
      </c>
      <c r="D111" s="43" t="s">
        <v>102</v>
      </c>
      <c r="E111" s="43" t="s">
        <v>142</v>
      </c>
      <c r="F111" s="43" t="s">
        <v>94</v>
      </c>
      <c r="G111" s="43" t="s">
        <v>134</v>
      </c>
    </row>
    <row r="112" spans="1:7" x14ac:dyDescent="0.25">
      <c r="A112" s="43">
        <v>111</v>
      </c>
      <c r="B112" s="43" t="s">
        <v>35</v>
      </c>
      <c r="C112" s="43" t="s">
        <v>177</v>
      </c>
      <c r="D112" s="43" t="s">
        <v>103</v>
      </c>
      <c r="E112" s="43" t="s">
        <v>143</v>
      </c>
      <c r="F112" s="43" t="s">
        <v>94</v>
      </c>
      <c r="G112" s="43" t="s">
        <v>134</v>
      </c>
    </row>
    <row r="113" spans="1:7" x14ac:dyDescent="0.25">
      <c r="A113" s="43">
        <v>112</v>
      </c>
      <c r="B113" s="43" t="s">
        <v>35</v>
      </c>
      <c r="C113" s="43" t="s">
        <v>178</v>
      </c>
      <c r="D113" s="43" t="s">
        <v>104</v>
      </c>
      <c r="E113" s="43" t="s">
        <v>144</v>
      </c>
      <c r="F113" s="43" t="s">
        <v>94</v>
      </c>
      <c r="G113" s="43" t="s">
        <v>134</v>
      </c>
    </row>
    <row r="114" spans="1:7" x14ac:dyDescent="0.25">
      <c r="A114" s="43">
        <v>113</v>
      </c>
      <c r="B114" s="43" t="s">
        <v>35</v>
      </c>
      <c r="C114" s="43" t="s">
        <v>179</v>
      </c>
      <c r="D114" s="43" t="s">
        <v>105</v>
      </c>
      <c r="E114" s="43" t="s">
        <v>145</v>
      </c>
      <c r="F114" s="43" t="s">
        <v>94</v>
      </c>
      <c r="G114" s="43" t="s">
        <v>134</v>
      </c>
    </row>
    <row r="115" spans="1:7" x14ac:dyDescent="0.25">
      <c r="A115" s="43">
        <v>114</v>
      </c>
      <c r="B115" s="43" t="s">
        <v>35</v>
      </c>
      <c r="C115" s="43" t="s">
        <v>180</v>
      </c>
      <c r="D115" s="43" t="s">
        <v>106</v>
      </c>
      <c r="E115" s="43" t="s">
        <v>146</v>
      </c>
      <c r="F115" s="43" t="s">
        <v>94</v>
      </c>
      <c r="G115" s="43" t="s">
        <v>134</v>
      </c>
    </row>
    <row r="116" spans="1:7" x14ac:dyDescent="0.25">
      <c r="A116" s="43">
        <v>115</v>
      </c>
      <c r="B116" s="43" t="s">
        <v>35</v>
      </c>
      <c r="C116" s="43" t="s">
        <v>181</v>
      </c>
      <c r="D116" s="43" t="s">
        <v>107</v>
      </c>
      <c r="E116" s="43" t="s">
        <v>147</v>
      </c>
      <c r="F116" s="43" t="s">
        <v>94</v>
      </c>
      <c r="G116" s="43" t="s">
        <v>134</v>
      </c>
    </row>
    <row r="117" spans="1:7" x14ac:dyDescent="0.25">
      <c r="A117" s="43">
        <v>116</v>
      </c>
      <c r="B117" s="43" t="s">
        <v>35</v>
      </c>
      <c r="C117" s="43" t="s">
        <v>182</v>
      </c>
      <c r="D117" s="43" t="s">
        <v>108</v>
      </c>
      <c r="E117" s="43" t="s">
        <v>148</v>
      </c>
      <c r="F117" s="43" t="s">
        <v>94</v>
      </c>
      <c r="G117" s="43" t="s">
        <v>134</v>
      </c>
    </row>
    <row r="118" spans="1:7" x14ac:dyDescent="0.25">
      <c r="A118" s="43">
        <v>117</v>
      </c>
      <c r="B118" s="43" t="s">
        <v>35</v>
      </c>
      <c r="C118" s="43" t="s">
        <v>183</v>
      </c>
      <c r="D118" s="43" t="s">
        <v>109</v>
      </c>
      <c r="E118" s="43" t="s">
        <v>149</v>
      </c>
      <c r="F118" s="43" t="s">
        <v>94</v>
      </c>
      <c r="G118" s="43" t="s">
        <v>134</v>
      </c>
    </row>
    <row r="119" spans="1:7" x14ac:dyDescent="0.25">
      <c r="A119" s="43">
        <v>118</v>
      </c>
      <c r="B119" s="43" t="s">
        <v>35</v>
      </c>
      <c r="C119" s="43" t="s">
        <v>184</v>
      </c>
      <c r="D119" s="43" t="s">
        <v>110</v>
      </c>
      <c r="E119" s="43" t="s">
        <v>150</v>
      </c>
      <c r="F119" s="43" t="s">
        <v>94</v>
      </c>
      <c r="G119" s="43" t="s">
        <v>134</v>
      </c>
    </row>
    <row r="120" spans="1:7" x14ac:dyDescent="0.25">
      <c r="A120" s="43">
        <v>119</v>
      </c>
      <c r="B120" s="43" t="s">
        <v>35</v>
      </c>
      <c r="C120" s="43" t="s">
        <v>185</v>
      </c>
      <c r="D120" s="43" t="s">
        <v>111</v>
      </c>
      <c r="E120" s="43" t="s">
        <v>151</v>
      </c>
      <c r="F120" s="43" t="s">
        <v>94</v>
      </c>
      <c r="G120" s="43" t="s">
        <v>134</v>
      </c>
    </row>
    <row r="121" spans="1:7" x14ac:dyDescent="0.25">
      <c r="A121" s="43">
        <v>120</v>
      </c>
      <c r="B121" s="43" t="s">
        <v>35</v>
      </c>
      <c r="C121" s="43" t="s">
        <v>186</v>
      </c>
      <c r="D121" s="43" t="s">
        <v>112</v>
      </c>
      <c r="E121" s="43" t="s">
        <v>152</v>
      </c>
      <c r="F121" s="43" t="s">
        <v>94</v>
      </c>
      <c r="G121" s="43" t="s">
        <v>134</v>
      </c>
    </row>
    <row r="122" spans="1:7" x14ac:dyDescent="0.25">
      <c r="A122" s="43">
        <v>121</v>
      </c>
      <c r="B122" s="43" t="s">
        <v>35</v>
      </c>
      <c r="C122" s="43" t="s">
        <v>187</v>
      </c>
      <c r="D122" s="43" t="s">
        <v>101</v>
      </c>
      <c r="E122" s="43" t="s">
        <v>141</v>
      </c>
      <c r="F122" s="43" t="s">
        <v>95</v>
      </c>
      <c r="G122" s="43" t="s">
        <v>135</v>
      </c>
    </row>
    <row r="123" spans="1:7" x14ac:dyDescent="0.25">
      <c r="A123" s="43">
        <v>122</v>
      </c>
      <c r="B123" s="43" t="s">
        <v>35</v>
      </c>
      <c r="C123" s="43" t="s">
        <v>188</v>
      </c>
      <c r="D123" s="43" t="s">
        <v>102</v>
      </c>
      <c r="E123" s="43" t="s">
        <v>142</v>
      </c>
      <c r="F123" s="43" t="s">
        <v>95</v>
      </c>
      <c r="G123" s="43" t="s">
        <v>135</v>
      </c>
    </row>
    <row r="124" spans="1:7" x14ac:dyDescent="0.25">
      <c r="A124" s="43">
        <v>123</v>
      </c>
      <c r="B124" s="43" t="s">
        <v>35</v>
      </c>
      <c r="C124" s="43" t="s">
        <v>189</v>
      </c>
      <c r="D124" s="43" t="s">
        <v>103</v>
      </c>
      <c r="E124" s="43" t="s">
        <v>143</v>
      </c>
      <c r="F124" s="43" t="s">
        <v>95</v>
      </c>
      <c r="G124" s="43" t="s">
        <v>135</v>
      </c>
    </row>
    <row r="125" spans="1:7" x14ac:dyDescent="0.25">
      <c r="A125" s="43">
        <v>124</v>
      </c>
      <c r="B125" s="43" t="s">
        <v>35</v>
      </c>
      <c r="C125" s="43" t="s">
        <v>190</v>
      </c>
      <c r="D125" s="43" t="s">
        <v>104</v>
      </c>
      <c r="E125" s="43" t="s">
        <v>144</v>
      </c>
      <c r="F125" s="43" t="s">
        <v>95</v>
      </c>
      <c r="G125" s="43" t="s">
        <v>135</v>
      </c>
    </row>
    <row r="126" spans="1:7" x14ac:dyDescent="0.25">
      <c r="A126" s="43">
        <v>125</v>
      </c>
      <c r="B126" s="43" t="s">
        <v>35</v>
      </c>
      <c r="C126" s="43" t="s">
        <v>191</v>
      </c>
      <c r="D126" s="43" t="s">
        <v>105</v>
      </c>
      <c r="E126" s="43" t="s">
        <v>145</v>
      </c>
      <c r="F126" s="43" t="s">
        <v>95</v>
      </c>
      <c r="G126" s="43" t="s">
        <v>135</v>
      </c>
    </row>
    <row r="127" spans="1:7" x14ac:dyDescent="0.25">
      <c r="A127" s="43">
        <v>126</v>
      </c>
      <c r="B127" s="43" t="s">
        <v>35</v>
      </c>
      <c r="C127" s="43" t="s">
        <v>192</v>
      </c>
      <c r="D127" s="43" t="s">
        <v>106</v>
      </c>
      <c r="E127" s="43" t="s">
        <v>146</v>
      </c>
      <c r="F127" s="43" t="s">
        <v>95</v>
      </c>
      <c r="G127" s="43" t="s">
        <v>135</v>
      </c>
    </row>
    <row r="128" spans="1:7" x14ac:dyDescent="0.25">
      <c r="A128" s="43">
        <v>127</v>
      </c>
      <c r="B128" s="43" t="s">
        <v>35</v>
      </c>
      <c r="C128" s="43" t="s">
        <v>193</v>
      </c>
      <c r="D128" s="43" t="s">
        <v>107</v>
      </c>
      <c r="E128" s="43" t="s">
        <v>147</v>
      </c>
      <c r="F128" s="43" t="s">
        <v>95</v>
      </c>
      <c r="G128" s="43" t="s">
        <v>135</v>
      </c>
    </row>
    <row r="129" spans="1:7" x14ac:dyDescent="0.25">
      <c r="A129" s="43">
        <v>128</v>
      </c>
      <c r="B129" s="43" t="s">
        <v>35</v>
      </c>
      <c r="C129" s="43" t="s">
        <v>194</v>
      </c>
      <c r="D129" s="43" t="s">
        <v>108</v>
      </c>
      <c r="E129" s="43" t="s">
        <v>148</v>
      </c>
      <c r="F129" s="43" t="s">
        <v>95</v>
      </c>
      <c r="G129" s="43" t="s">
        <v>135</v>
      </c>
    </row>
    <row r="130" spans="1:7" x14ac:dyDescent="0.25">
      <c r="A130" s="43">
        <v>129</v>
      </c>
      <c r="B130" s="43" t="s">
        <v>35</v>
      </c>
      <c r="C130" s="43" t="s">
        <v>195</v>
      </c>
      <c r="D130" s="43" t="s">
        <v>109</v>
      </c>
      <c r="E130" s="43" t="s">
        <v>149</v>
      </c>
      <c r="F130" s="43" t="s">
        <v>95</v>
      </c>
      <c r="G130" s="43" t="s">
        <v>135</v>
      </c>
    </row>
    <row r="131" spans="1:7" x14ac:dyDescent="0.25">
      <c r="A131" s="43">
        <v>130</v>
      </c>
      <c r="B131" s="43" t="s">
        <v>35</v>
      </c>
      <c r="C131" s="43" t="s">
        <v>196</v>
      </c>
      <c r="D131" s="43" t="s">
        <v>110</v>
      </c>
      <c r="E131" s="43" t="s">
        <v>150</v>
      </c>
      <c r="F131" s="43" t="s">
        <v>95</v>
      </c>
      <c r="G131" s="43" t="s">
        <v>135</v>
      </c>
    </row>
    <row r="132" spans="1:7" x14ac:dyDescent="0.25">
      <c r="A132" s="43">
        <v>131</v>
      </c>
      <c r="B132" s="43" t="s">
        <v>35</v>
      </c>
      <c r="C132" s="43" t="s">
        <v>197</v>
      </c>
      <c r="D132" s="43" t="s">
        <v>111</v>
      </c>
      <c r="E132" s="43" t="s">
        <v>151</v>
      </c>
      <c r="F132" s="43" t="s">
        <v>95</v>
      </c>
      <c r="G132" s="43" t="s">
        <v>135</v>
      </c>
    </row>
    <row r="133" spans="1:7" x14ac:dyDescent="0.25">
      <c r="A133" s="43">
        <v>132</v>
      </c>
      <c r="B133" s="43" t="s">
        <v>35</v>
      </c>
      <c r="C133" s="43" t="s">
        <v>198</v>
      </c>
      <c r="D133" s="43" t="s">
        <v>112</v>
      </c>
      <c r="E133" s="43" t="s">
        <v>152</v>
      </c>
      <c r="F133" s="43" t="s">
        <v>95</v>
      </c>
      <c r="G133" s="43" t="s">
        <v>135</v>
      </c>
    </row>
    <row r="134" spans="1:7" x14ac:dyDescent="0.25">
      <c r="A134" s="43">
        <v>133</v>
      </c>
      <c r="B134" s="43" t="s">
        <v>35</v>
      </c>
      <c r="C134" s="43" t="s">
        <v>199</v>
      </c>
      <c r="D134" s="43" t="s">
        <v>101</v>
      </c>
      <c r="E134" s="43" t="s">
        <v>141</v>
      </c>
      <c r="F134" s="43" t="s">
        <v>96</v>
      </c>
      <c r="G134" s="43" t="s">
        <v>136</v>
      </c>
    </row>
    <row r="135" spans="1:7" x14ac:dyDescent="0.25">
      <c r="A135" s="43">
        <v>134</v>
      </c>
      <c r="B135" s="43" t="s">
        <v>35</v>
      </c>
      <c r="C135" s="43" t="s">
        <v>200</v>
      </c>
      <c r="D135" s="43" t="s">
        <v>102</v>
      </c>
      <c r="E135" s="43" t="s">
        <v>142</v>
      </c>
      <c r="F135" s="43" t="s">
        <v>96</v>
      </c>
      <c r="G135" s="43" t="s">
        <v>136</v>
      </c>
    </row>
    <row r="136" spans="1:7" x14ac:dyDescent="0.25">
      <c r="A136" s="43">
        <v>135</v>
      </c>
      <c r="B136" s="43" t="s">
        <v>35</v>
      </c>
      <c r="C136" s="43" t="s">
        <v>201</v>
      </c>
      <c r="D136" s="43" t="s">
        <v>103</v>
      </c>
      <c r="E136" s="43" t="s">
        <v>143</v>
      </c>
      <c r="F136" s="43" t="s">
        <v>96</v>
      </c>
      <c r="G136" s="43" t="s">
        <v>136</v>
      </c>
    </row>
    <row r="137" spans="1:7" x14ac:dyDescent="0.25">
      <c r="A137" s="43">
        <v>136</v>
      </c>
      <c r="B137" s="43" t="s">
        <v>35</v>
      </c>
      <c r="C137" s="43" t="s">
        <v>202</v>
      </c>
      <c r="D137" s="43" t="s">
        <v>104</v>
      </c>
      <c r="E137" s="43" t="s">
        <v>144</v>
      </c>
      <c r="F137" s="43" t="s">
        <v>96</v>
      </c>
      <c r="G137" s="43" t="s">
        <v>136</v>
      </c>
    </row>
    <row r="138" spans="1:7" x14ac:dyDescent="0.25">
      <c r="A138" s="43">
        <v>137</v>
      </c>
      <c r="B138" s="43" t="s">
        <v>35</v>
      </c>
      <c r="C138" s="43" t="s">
        <v>203</v>
      </c>
      <c r="D138" s="43" t="s">
        <v>105</v>
      </c>
      <c r="E138" s="43" t="s">
        <v>145</v>
      </c>
      <c r="F138" s="43" t="s">
        <v>96</v>
      </c>
      <c r="G138" s="43" t="s">
        <v>136</v>
      </c>
    </row>
    <row r="139" spans="1:7" x14ac:dyDescent="0.25">
      <c r="A139" s="43">
        <v>138</v>
      </c>
      <c r="B139" s="43" t="s">
        <v>35</v>
      </c>
      <c r="C139" s="43" t="s">
        <v>204</v>
      </c>
      <c r="D139" s="43" t="s">
        <v>106</v>
      </c>
      <c r="E139" s="43" t="s">
        <v>146</v>
      </c>
      <c r="F139" s="43" t="s">
        <v>96</v>
      </c>
      <c r="G139" s="43" t="s">
        <v>136</v>
      </c>
    </row>
    <row r="140" spans="1:7" x14ac:dyDescent="0.25">
      <c r="A140" s="43">
        <v>139</v>
      </c>
      <c r="B140" s="43" t="s">
        <v>35</v>
      </c>
      <c r="C140" s="43" t="s">
        <v>205</v>
      </c>
      <c r="D140" s="43" t="s">
        <v>107</v>
      </c>
      <c r="E140" s="43" t="s">
        <v>147</v>
      </c>
      <c r="F140" s="43" t="s">
        <v>96</v>
      </c>
      <c r="G140" s="43" t="s">
        <v>136</v>
      </c>
    </row>
    <row r="141" spans="1:7" x14ac:dyDescent="0.25">
      <c r="A141" s="43">
        <v>140</v>
      </c>
      <c r="B141" s="43" t="s">
        <v>35</v>
      </c>
      <c r="C141" s="43" t="s">
        <v>206</v>
      </c>
      <c r="D141" s="43" t="s">
        <v>108</v>
      </c>
      <c r="E141" s="43" t="s">
        <v>148</v>
      </c>
      <c r="F141" s="43" t="s">
        <v>96</v>
      </c>
      <c r="G141" s="43" t="s">
        <v>136</v>
      </c>
    </row>
    <row r="142" spans="1:7" x14ac:dyDescent="0.25">
      <c r="A142" s="43">
        <v>141</v>
      </c>
      <c r="B142" s="43" t="s">
        <v>35</v>
      </c>
      <c r="C142" s="43" t="s">
        <v>207</v>
      </c>
      <c r="D142" s="43" t="s">
        <v>109</v>
      </c>
      <c r="E142" s="43" t="s">
        <v>149</v>
      </c>
      <c r="F142" s="43" t="s">
        <v>96</v>
      </c>
      <c r="G142" s="43" t="s">
        <v>136</v>
      </c>
    </row>
    <row r="143" spans="1:7" x14ac:dyDescent="0.25">
      <c r="A143" s="43">
        <v>142</v>
      </c>
      <c r="B143" s="43" t="s">
        <v>35</v>
      </c>
      <c r="C143" s="43" t="s">
        <v>208</v>
      </c>
      <c r="D143" s="43" t="s">
        <v>110</v>
      </c>
      <c r="E143" s="43" t="s">
        <v>150</v>
      </c>
      <c r="F143" s="43" t="s">
        <v>96</v>
      </c>
      <c r="G143" s="43" t="s">
        <v>136</v>
      </c>
    </row>
    <row r="144" spans="1:7" x14ac:dyDescent="0.25">
      <c r="A144" s="43">
        <v>143</v>
      </c>
      <c r="B144" s="43" t="s">
        <v>35</v>
      </c>
      <c r="C144" s="43" t="s">
        <v>209</v>
      </c>
      <c r="D144" s="43" t="s">
        <v>111</v>
      </c>
      <c r="E144" s="43" t="s">
        <v>151</v>
      </c>
      <c r="F144" s="43" t="s">
        <v>96</v>
      </c>
      <c r="G144" s="43" t="s">
        <v>136</v>
      </c>
    </row>
    <row r="145" spans="1:7" x14ac:dyDescent="0.25">
      <c r="A145" s="43">
        <v>144</v>
      </c>
      <c r="B145" s="43" t="s">
        <v>35</v>
      </c>
      <c r="C145" s="43" t="s">
        <v>210</v>
      </c>
      <c r="D145" s="43" t="s">
        <v>112</v>
      </c>
      <c r="E145" s="43" t="s">
        <v>152</v>
      </c>
      <c r="F145" s="43" t="s">
        <v>96</v>
      </c>
      <c r="G145" s="43" t="s">
        <v>136</v>
      </c>
    </row>
    <row r="146" spans="1:7" x14ac:dyDescent="0.25">
      <c r="A146" s="43">
        <v>145</v>
      </c>
      <c r="B146" s="43" t="s">
        <v>35</v>
      </c>
      <c r="C146" s="43" t="s">
        <v>211</v>
      </c>
      <c r="D146" s="43" t="s">
        <v>101</v>
      </c>
      <c r="E146" s="43" t="s">
        <v>141</v>
      </c>
      <c r="F146" s="43" t="s">
        <v>97</v>
      </c>
      <c r="G146" s="43" t="s">
        <v>137</v>
      </c>
    </row>
    <row r="147" spans="1:7" x14ac:dyDescent="0.25">
      <c r="A147" s="43">
        <v>146</v>
      </c>
      <c r="B147" s="43" t="s">
        <v>35</v>
      </c>
      <c r="C147" s="43" t="s">
        <v>212</v>
      </c>
      <c r="D147" s="43" t="s">
        <v>102</v>
      </c>
      <c r="E147" s="43" t="s">
        <v>142</v>
      </c>
      <c r="F147" s="43" t="s">
        <v>97</v>
      </c>
      <c r="G147" s="43" t="s">
        <v>137</v>
      </c>
    </row>
    <row r="148" spans="1:7" x14ac:dyDescent="0.25">
      <c r="A148" s="43">
        <v>147</v>
      </c>
      <c r="B148" s="43" t="s">
        <v>35</v>
      </c>
      <c r="C148" s="43" t="s">
        <v>213</v>
      </c>
      <c r="D148" s="43" t="s">
        <v>103</v>
      </c>
      <c r="E148" s="43" t="s">
        <v>143</v>
      </c>
      <c r="F148" s="43" t="s">
        <v>97</v>
      </c>
      <c r="G148" s="43" t="s">
        <v>137</v>
      </c>
    </row>
    <row r="149" spans="1:7" x14ac:dyDescent="0.25">
      <c r="A149" s="43">
        <v>148</v>
      </c>
      <c r="B149" s="43" t="s">
        <v>35</v>
      </c>
      <c r="C149" s="43" t="s">
        <v>214</v>
      </c>
      <c r="D149" s="43" t="s">
        <v>104</v>
      </c>
      <c r="E149" s="43" t="s">
        <v>144</v>
      </c>
      <c r="F149" s="43" t="s">
        <v>97</v>
      </c>
      <c r="G149" s="43" t="s">
        <v>137</v>
      </c>
    </row>
    <row r="150" spans="1:7" x14ac:dyDescent="0.25">
      <c r="A150" s="43">
        <v>149</v>
      </c>
      <c r="B150" s="43" t="s">
        <v>35</v>
      </c>
      <c r="C150" s="43" t="s">
        <v>215</v>
      </c>
      <c r="D150" s="43" t="s">
        <v>105</v>
      </c>
      <c r="E150" s="43" t="s">
        <v>145</v>
      </c>
      <c r="F150" s="43" t="s">
        <v>97</v>
      </c>
      <c r="G150" s="43" t="s">
        <v>137</v>
      </c>
    </row>
    <row r="151" spans="1:7" x14ac:dyDescent="0.25">
      <c r="A151" s="43">
        <v>150</v>
      </c>
      <c r="B151" s="43" t="s">
        <v>35</v>
      </c>
      <c r="C151" s="43" t="s">
        <v>216</v>
      </c>
      <c r="D151" s="43" t="s">
        <v>106</v>
      </c>
      <c r="E151" s="43" t="s">
        <v>146</v>
      </c>
      <c r="F151" s="43" t="s">
        <v>97</v>
      </c>
      <c r="G151" s="43" t="s">
        <v>137</v>
      </c>
    </row>
    <row r="152" spans="1:7" x14ac:dyDescent="0.25">
      <c r="A152" s="43">
        <v>151</v>
      </c>
      <c r="B152" s="43" t="s">
        <v>35</v>
      </c>
      <c r="C152" s="43" t="s">
        <v>217</v>
      </c>
      <c r="D152" s="43" t="s">
        <v>107</v>
      </c>
      <c r="E152" s="43" t="s">
        <v>147</v>
      </c>
      <c r="F152" s="43" t="s">
        <v>97</v>
      </c>
      <c r="G152" s="43" t="s">
        <v>137</v>
      </c>
    </row>
    <row r="153" spans="1:7" x14ac:dyDescent="0.25">
      <c r="A153" s="43">
        <v>152</v>
      </c>
      <c r="B153" s="43" t="s">
        <v>35</v>
      </c>
      <c r="C153" s="43" t="s">
        <v>218</v>
      </c>
      <c r="D153" s="43" t="s">
        <v>108</v>
      </c>
      <c r="E153" s="43" t="s">
        <v>148</v>
      </c>
      <c r="F153" s="43" t="s">
        <v>97</v>
      </c>
      <c r="G153" s="43" t="s">
        <v>137</v>
      </c>
    </row>
    <row r="154" spans="1:7" x14ac:dyDescent="0.25">
      <c r="A154" s="43">
        <v>153</v>
      </c>
      <c r="B154" s="43" t="s">
        <v>35</v>
      </c>
      <c r="C154" s="43" t="s">
        <v>219</v>
      </c>
      <c r="D154" s="43" t="s">
        <v>109</v>
      </c>
      <c r="E154" s="43" t="s">
        <v>149</v>
      </c>
      <c r="F154" s="43" t="s">
        <v>97</v>
      </c>
      <c r="G154" s="43" t="s">
        <v>137</v>
      </c>
    </row>
    <row r="155" spans="1:7" x14ac:dyDescent="0.25">
      <c r="A155" s="43">
        <v>154</v>
      </c>
      <c r="B155" s="43" t="s">
        <v>35</v>
      </c>
      <c r="C155" s="43" t="s">
        <v>220</v>
      </c>
      <c r="D155" s="43" t="s">
        <v>110</v>
      </c>
      <c r="E155" s="43" t="s">
        <v>150</v>
      </c>
      <c r="F155" s="43" t="s">
        <v>97</v>
      </c>
      <c r="G155" s="43" t="s">
        <v>137</v>
      </c>
    </row>
    <row r="156" spans="1:7" x14ac:dyDescent="0.25">
      <c r="A156" s="43">
        <v>155</v>
      </c>
      <c r="B156" s="43" t="s">
        <v>35</v>
      </c>
      <c r="C156" s="43" t="s">
        <v>221</v>
      </c>
      <c r="D156" s="43" t="s">
        <v>111</v>
      </c>
      <c r="E156" s="43" t="s">
        <v>151</v>
      </c>
      <c r="F156" s="43" t="s">
        <v>97</v>
      </c>
      <c r="G156" s="43" t="s">
        <v>137</v>
      </c>
    </row>
    <row r="157" spans="1:7" x14ac:dyDescent="0.25">
      <c r="A157" s="43">
        <v>156</v>
      </c>
      <c r="B157" s="43" t="s">
        <v>35</v>
      </c>
      <c r="C157" s="43" t="s">
        <v>222</v>
      </c>
      <c r="D157" s="43" t="s">
        <v>112</v>
      </c>
      <c r="E157" s="43" t="s">
        <v>152</v>
      </c>
      <c r="F157" s="43" t="s">
        <v>97</v>
      </c>
      <c r="G157" s="43" t="s">
        <v>137</v>
      </c>
    </row>
    <row r="158" spans="1:7" x14ac:dyDescent="0.25">
      <c r="A158" s="43">
        <v>157</v>
      </c>
      <c r="B158" s="43" t="s">
        <v>35</v>
      </c>
      <c r="C158" s="43" t="s">
        <v>223</v>
      </c>
      <c r="D158" s="43" t="s">
        <v>101</v>
      </c>
      <c r="E158" s="43" t="s">
        <v>141</v>
      </c>
      <c r="F158" s="43" t="s">
        <v>98</v>
      </c>
      <c r="G158" s="43" t="s">
        <v>138</v>
      </c>
    </row>
    <row r="159" spans="1:7" x14ac:dyDescent="0.25">
      <c r="A159" s="43">
        <v>158</v>
      </c>
      <c r="B159" s="43" t="s">
        <v>35</v>
      </c>
      <c r="C159" s="43" t="s">
        <v>224</v>
      </c>
      <c r="D159" s="43" t="s">
        <v>102</v>
      </c>
      <c r="E159" s="43" t="s">
        <v>142</v>
      </c>
      <c r="F159" s="43" t="s">
        <v>98</v>
      </c>
      <c r="G159" s="43" t="s">
        <v>138</v>
      </c>
    </row>
    <row r="160" spans="1:7" x14ac:dyDescent="0.25">
      <c r="A160" s="43">
        <v>159</v>
      </c>
      <c r="B160" s="43" t="s">
        <v>35</v>
      </c>
      <c r="C160" s="43" t="s">
        <v>225</v>
      </c>
      <c r="D160" s="43" t="s">
        <v>103</v>
      </c>
      <c r="E160" s="43" t="s">
        <v>143</v>
      </c>
      <c r="F160" s="43" t="s">
        <v>98</v>
      </c>
      <c r="G160" s="43" t="s">
        <v>138</v>
      </c>
    </row>
    <row r="161" spans="1:7" x14ac:dyDescent="0.25">
      <c r="A161" s="43">
        <v>160</v>
      </c>
      <c r="B161" s="43" t="s">
        <v>35</v>
      </c>
      <c r="C161" s="43" t="s">
        <v>226</v>
      </c>
      <c r="D161" s="43" t="s">
        <v>104</v>
      </c>
      <c r="E161" s="43" t="s">
        <v>144</v>
      </c>
      <c r="F161" s="43" t="s">
        <v>98</v>
      </c>
      <c r="G161" s="43" t="s">
        <v>138</v>
      </c>
    </row>
    <row r="162" spans="1:7" x14ac:dyDescent="0.25">
      <c r="A162" s="43">
        <v>161</v>
      </c>
      <c r="B162" s="43" t="s">
        <v>35</v>
      </c>
      <c r="C162" s="43" t="s">
        <v>227</v>
      </c>
      <c r="D162" s="43" t="s">
        <v>105</v>
      </c>
      <c r="E162" s="43" t="s">
        <v>145</v>
      </c>
      <c r="F162" s="43" t="s">
        <v>98</v>
      </c>
      <c r="G162" s="43" t="s">
        <v>138</v>
      </c>
    </row>
    <row r="163" spans="1:7" x14ac:dyDescent="0.25">
      <c r="A163" s="43">
        <v>162</v>
      </c>
      <c r="B163" s="43" t="s">
        <v>35</v>
      </c>
      <c r="C163" s="43" t="s">
        <v>228</v>
      </c>
      <c r="D163" s="43" t="s">
        <v>106</v>
      </c>
      <c r="E163" s="43" t="s">
        <v>146</v>
      </c>
      <c r="F163" s="43" t="s">
        <v>98</v>
      </c>
      <c r="G163" s="43" t="s">
        <v>138</v>
      </c>
    </row>
    <row r="164" spans="1:7" x14ac:dyDescent="0.25">
      <c r="A164" s="43">
        <v>163</v>
      </c>
      <c r="B164" s="43" t="s">
        <v>35</v>
      </c>
      <c r="C164" s="43" t="s">
        <v>229</v>
      </c>
      <c r="D164" s="43" t="s">
        <v>107</v>
      </c>
      <c r="E164" s="43" t="s">
        <v>147</v>
      </c>
      <c r="F164" s="43" t="s">
        <v>98</v>
      </c>
      <c r="G164" s="43" t="s">
        <v>138</v>
      </c>
    </row>
    <row r="165" spans="1:7" x14ac:dyDescent="0.25">
      <c r="A165" s="43">
        <v>164</v>
      </c>
      <c r="B165" s="43" t="s">
        <v>35</v>
      </c>
      <c r="C165" s="43" t="s">
        <v>230</v>
      </c>
      <c r="D165" s="43" t="s">
        <v>108</v>
      </c>
      <c r="E165" s="43" t="s">
        <v>148</v>
      </c>
      <c r="F165" s="43" t="s">
        <v>98</v>
      </c>
      <c r="G165" s="43" t="s">
        <v>138</v>
      </c>
    </row>
    <row r="166" spans="1:7" x14ac:dyDescent="0.25">
      <c r="A166" s="43">
        <v>165</v>
      </c>
      <c r="B166" s="43" t="s">
        <v>35</v>
      </c>
      <c r="C166" s="43" t="s">
        <v>231</v>
      </c>
      <c r="D166" s="43" t="s">
        <v>109</v>
      </c>
      <c r="E166" s="43" t="s">
        <v>149</v>
      </c>
      <c r="F166" s="43" t="s">
        <v>98</v>
      </c>
      <c r="G166" s="43" t="s">
        <v>138</v>
      </c>
    </row>
    <row r="167" spans="1:7" x14ac:dyDescent="0.25">
      <c r="A167" s="43">
        <v>166</v>
      </c>
      <c r="B167" s="43" t="s">
        <v>35</v>
      </c>
      <c r="C167" s="43" t="s">
        <v>232</v>
      </c>
      <c r="D167" s="43" t="s">
        <v>110</v>
      </c>
      <c r="E167" s="43" t="s">
        <v>150</v>
      </c>
      <c r="F167" s="43" t="s">
        <v>98</v>
      </c>
      <c r="G167" s="43" t="s">
        <v>138</v>
      </c>
    </row>
    <row r="168" spans="1:7" x14ac:dyDescent="0.25">
      <c r="A168" s="43">
        <v>167</v>
      </c>
      <c r="B168" s="43" t="s">
        <v>35</v>
      </c>
      <c r="C168" s="43" t="s">
        <v>233</v>
      </c>
      <c r="D168" s="43" t="s">
        <v>111</v>
      </c>
      <c r="E168" s="43" t="s">
        <v>151</v>
      </c>
      <c r="F168" s="43" t="s">
        <v>98</v>
      </c>
      <c r="G168" s="43" t="s">
        <v>138</v>
      </c>
    </row>
    <row r="169" spans="1:7" x14ac:dyDescent="0.25">
      <c r="A169" s="43">
        <v>168</v>
      </c>
      <c r="B169" s="43" t="s">
        <v>35</v>
      </c>
      <c r="C169" s="43" t="s">
        <v>234</v>
      </c>
      <c r="D169" s="43" t="s">
        <v>112</v>
      </c>
      <c r="E169" s="43" t="s">
        <v>152</v>
      </c>
      <c r="F169" s="43" t="s">
        <v>98</v>
      </c>
      <c r="G169" s="43" t="s">
        <v>138</v>
      </c>
    </row>
    <row r="170" spans="1:7" x14ac:dyDescent="0.25">
      <c r="A170" s="43">
        <v>169</v>
      </c>
      <c r="B170" s="43" t="s">
        <v>35</v>
      </c>
      <c r="C170" s="43" t="s">
        <v>235</v>
      </c>
      <c r="D170" s="43" t="s">
        <v>101</v>
      </c>
      <c r="E170" s="43" t="s">
        <v>141</v>
      </c>
      <c r="F170" s="43" t="s">
        <v>99</v>
      </c>
      <c r="G170" s="43" t="s">
        <v>139</v>
      </c>
    </row>
    <row r="171" spans="1:7" x14ac:dyDescent="0.25">
      <c r="A171" s="43">
        <v>170</v>
      </c>
      <c r="B171" s="43" t="s">
        <v>35</v>
      </c>
      <c r="C171" s="43" t="s">
        <v>236</v>
      </c>
      <c r="D171" s="43" t="s">
        <v>102</v>
      </c>
      <c r="E171" s="43" t="s">
        <v>142</v>
      </c>
      <c r="F171" s="43" t="s">
        <v>99</v>
      </c>
      <c r="G171" s="43" t="s">
        <v>139</v>
      </c>
    </row>
    <row r="172" spans="1:7" x14ac:dyDescent="0.25">
      <c r="A172" s="43">
        <v>171</v>
      </c>
      <c r="B172" s="43" t="s">
        <v>35</v>
      </c>
      <c r="C172" s="43" t="s">
        <v>237</v>
      </c>
      <c r="D172" s="43" t="s">
        <v>103</v>
      </c>
      <c r="E172" s="43" t="s">
        <v>143</v>
      </c>
      <c r="F172" s="43" t="s">
        <v>99</v>
      </c>
      <c r="G172" s="43" t="s">
        <v>139</v>
      </c>
    </row>
    <row r="173" spans="1:7" x14ac:dyDescent="0.25">
      <c r="A173" s="43">
        <v>172</v>
      </c>
      <c r="B173" s="43" t="s">
        <v>35</v>
      </c>
      <c r="C173" s="43" t="s">
        <v>238</v>
      </c>
      <c r="D173" s="43" t="s">
        <v>104</v>
      </c>
      <c r="E173" s="43" t="s">
        <v>144</v>
      </c>
      <c r="F173" s="43" t="s">
        <v>99</v>
      </c>
      <c r="G173" s="43" t="s">
        <v>139</v>
      </c>
    </row>
    <row r="174" spans="1:7" x14ac:dyDescent="0.25">
      <c r="A174" s="43">
        <v>173</v>
      </c>
      <c r="B174" s="43" t="s">
        <v>35</v>
      </c>
      <c r="C174" s="43" t="s">
        <v>239</v>
      </c>
      <c r="D174" s="43" t="s">
        <v>105</v>
      </c>
      <c r="E174" s="43" t="s">
        <v>145</v>
      </c>
      <c r="F174" s="43" t="s">
        <v>99</v>
      </c>
      <c r="G174" s="43" t="s">
        <v>139</v>
      </c>
    </row>
    <row r="175" spans="1:7" x14ac:dyDescent="0.25">
      <c r="A175" s="43">
        <v>174</v>
      </c>
      <c r="B175" s="43" t="s">
        <v>35</v>
      </c>
      <c r="C175" s="43" t="s">
        <v>240</v>
      </c>
      <c r="D175" s="43" t="s">
        <v>106</v>
      </c>
      <c r="E175" s="43" t="s">
        <v>146</v>
      </c>
      <c r="F175" s="43" t="s">
        <v>99</v>
      </c>
      <c r="G175" s="43" t="s">
        <v>139</v>
      </c>
    </row>
    <row r="176" spans="1:7" x14ac:dyDescent="0.25">
      <c r="A176" s="43">
        <v>175</v>
      </c>
      <c r="B176" s="43" t="s">
        <v>35</v>
      </c>
      <c r="C176" s="43" t="s">
        <v>241</v>
      </c>
      <c r="D176" s="43" t="s">
        <v>107</v>
      </c>
      <c r="E176" s="43" t="s">
        <v>147</v>
      </c>
      <c r="F176" s="43" t="s">
        <v>99</v>
      </c>
      <c r="G176" s="43" t="s">
        <v>139</v>
      </c>
    </row>
    <row r="177" spans="1:7" x14ac:dyDescent="0.25">
      <c r="A177" s="43">
        <v>176</v>
      </c>
      <c r="B177" s="43" t="s">
        <v>35</v>
      </c>
      <c r="C177" s="43" t="s">
        <v>242</v>
      </c>
      <c r="D177" s="43" t="s">
        <v>108</v>
      </c>
      <c r="E177" s="43" t="s">
        <v>148</v>
      </c>
      <c r="F177" s="43" t="s">
        <v>99</v>
      </c>
      <c r="G177" s="43" t="s">
        <v>139</v>
      </c>
    </row>
    <row r="178" spans="1:7" x14ac:dyDescent="0.25">
      <c r="A178" s="43">
        <v>177</v>
      </c>
      <c r="B178" s="43" t="s">
        <v>35</v>
      </c>
      <c r="C178" s="43" t="s">
        <v>243</v>
      </c>
      <c r="D178" s="43" t="s">
        <v>109</v>
      </c>
      <c r="E178" s="43" t="s">
        <v>149</v>
      </c>
      <c r="F178" s="43" t="s">
        <v>99</v>
      </c>
      <c r="G178" s="43" t="s">
        <v>139</v>
      </c>
    </row>
    <row r="179" spans="1:7" x14ac:dyDescent="0.25">
      <c r="A179" s="43">
        <v>178</v>
      </c>
      <c r="B179" s="43" t="s">
        <v>35</v>
      </c>
      <c r="C179" s="43" t="s">
        <v>244</v>
      </c>
      <c r="D179" s="43" t="s">
        <v>110</v>
      </c>
      <c r="E179" s="43" t="s">
        <v>150</v>
      </c>
      <c r="F179" s="43" t="s">
        <v>99</v>
      </c>
      <c r="G179" s="43" t="s">
        <v>139</v>
      </c>
    </row>
    <row r="180" spans="1:7" x14ac:dyDescent="0.25">
      <c r="A180" s="43">
        <v>179</v>
      </c>
      <c r="B180" s="43" t="s">
        <v>35</v>
      </c>
      <c r="C180" s="43" t="s">
        <v>245</v>
      </c>
      <c r="D180" s="43" t="s">
        <v>111</v>
      </c>
      <c r="E180" s="43" t="s">
        <v>151</v>
      </c>
      <c r="F180" s="43" t="s">
        <v>99</v>
      </c>
      <c r="G180" s="43" t="s">
        <v>139</v>
      </c>
    </row>
    <row r="181" spans="1:7" x14ac:dyDescent="0.25">
      <c r="A181" s="43">
        <v>180</v>
      </c>
      <c r="B181" s="43" t="s">
        <v>35</v>
      </c>
      <c r="C181" s="43" t="s">
        <v>246</v>
      </c>
      <c r="D181" s="43" t="s">
        <v>112</v>
      </c>
      <c r="E181" s="43" t="s">
        <v>152</v>
      </c>
      <c r="F181" s="43" t="s">
        <v>99</v>
      </c>
      <c r="G181" s="43" t="s">
        <v>139</v>
      </c>
    </row>
    <row r="182" spans="1:7" x14ac:dyDescent="0.25">
      <c r="A182" s="43">
        <v>181</v>
      </c>
      <c r="B182" s="43" t="s">
        <v>35</v>
      </c>
      <c r="C182" s="43" t="s">
        <v>247</v>
      </c>
      <c r="D182" s="43" t="s">
        <v>101</v>
      </c>
      <c r="E182" s="43" t="s">
        <v>141</v>
      </c>
      <c r="F182" s="43" t="s">
        <v>100</v>
      </c>
      <c r="G182" s="43" t="s">
        <v>140</v>
      </c>
    </row>
    <row r="183" spans="1:7" x14ac:dyDescent="0.25">
      <c r="A183" s="43">
        <v>182</v>
      </c>
      <c r="B183" s="43" t="s">
        <v>35</v>
      </c>
      <c r="C183" s="43" t="s">
        <v>248</v>
      </c>
      <c r="D183" s="43" t="s">
        <v>102</v>
      </c>
      <c r="E183" s="43" t="s">
        <v>142</v>
      </c>
      <c r="F183" s="43" t="s">
        <v>100</v>
      </c>
      <c r="G183" s="43" t="s">
        <v>140</v>
      </c>
    </row>
    <row r="184" spans="1:7" x14ac:dyDescent="0.25">
      <c r="A184" s="43">
        <v>183</v>
      </c>
      <c r="B184" s="43" t="s">
        <v>35</v>
      </c>
      <c r="C184" s="43" t="s">
        <v>249</v>
      </c>
      <c r="D184" s="43" t="s">
        <v>103</v>
      </c>
      <c r="E184" s="43" t="s">
        <v>143</v>
      </c>
      <c r="F184" s="43" t="s">
        <v>100</v>
      </c>
      <c r="G184" s="43" t="s">
        <v>140</v>
      </c>
    </row>
    <row r="185" spans="1:7" x14ac:dyDescent="0.25">
      <c r="A185" s="43">
        <v>184</v>
      </c>
      <c r="B185" s="43" t="s">
        <v>35</v>
      </c>
      <c r="C185" s="43" t="s">
        <v>250</v>
      </c>
      <c r="D185" s="43" t="s">
        <v>104</v>
      </c>
      <c r="E185" s="43" t="s">
        <v>144</v>
      </c>
      <c r="F185" s="43" t="s">
        <v>100</v>
      </c>
      <c r="G185" s="43" t="s">
        <v>140</v>
      </c>
    </row>
    <row r="186" spans="1:7" x14ac:dyDescent="0.25">
      <c r="A186" s="43">
        <v>185</v>
      </c>
      <c r="B186" s="43" t="s">
        <v>35</v>
      </c>
      <c r="C186" s="43" t="s">
        <v>251</v>
      </c>
      <c r="D186" s="43" t="s">
        <v>105</v>
      </c>
      <c r="E186" s="43" t="s">
        <v>145</v>
      </c>
      <c r="F186" s="43" t="s">
        <v>100</v>
      </c>
      <c r="G186" s="43" t="s">
        <v>140</v>
      </c>
    </row>
    <row r="187" spans="1:7" x14ac:dyDescent="0.25">
      <c r="A187" s="43">
        <v>186</v>
      </c>
      <c r="B187" s="43" t="s">
        <v>35</v>
      </c>
      <c r="C187" s="43" t="s">
        <v>252</v>
      </c>
      <c r="D187" s="43" t="s">
        <v>106</v>
      </c>
      <c r="E187" s="43" t="s">
        <v>146</v>
      </c>
      <c r="F187" s="43" t="s">
        <v>100</v>
      </c>
      <c r="G187" s="43" t="s">
        <v>140</v>
      </c>
    </row>
    <row r="188" spans="1:7" x14ac:dyDescent="0.25">
      <c r="A188" s="43">
        <v>187</v>
      </c>
      <c r="B188" s="43" t="s">
        <v>35</v>
      </c>
      <c r="C188" s="43" t="s">
        <v>253</v>
      </c>
      <c r="D188" s="43" t="s">
        <v>107</v>
      </c>
      <c r="E188" s="43" t="s">
        <v>147</v>
      </c>
      <c r="F188" s="43" t="s">
        <v>100</v>
      </c>
      <c r="G188" s="43" t="s">
        <v>140</v>
      </c>
    </row>
    <row r="189" spans="1:7" x14ac:dyDescent="0.25">
      <c r="A189" s="43">
        <v>188</v>
      </c>
      <c r="B189" s="43" t="s">
        <v>35</v>
      </c>
      <c r="C189" s="43" t="s">
        <v>254</v>
      </c>
      <c r="D189" s="43" t="s">
        <v>108</v>
      </c>
      <c r="E189" s="43" t="s">
        <v>148</v>
      </c>
      <c r="F189" s="43" t="s">
        <v>100</v>
      </c>
      <c r="G189" s="43" t="s">
        <v>140</v>
      </c>
    </row>
    <row r="190" spans="1:7" x14ac:dyDescent="0.25">
      <c r="A190" s="43">
        <v>189</v>
      </c>
      <c r="B190" s="43" t="s">
        <v>35</v>
      </c>
      <c r="C190" s="43" t="s">
        <v>255</v>
      </c>
      <c r="D190" s="43" t="s">
        <v>109</v>
      </c>
      <c r="E190" s="43" t="s">
        <v>149</v>
      </c>
      <c r="F190" s="43" t="s">
        <v>100</v>
      </c>
      <c r="G190" s="43" t="s">
        <v>140</v>
      </c>
    </row>
    <row r="191" spans="1:7" x14ac:dyDescent="0.25">
      <c r="A191" s="43">
        <v>190</v>
      </c>
      <c r="B191" s="43" t="s">
        <v>35</v>
      </c>
      <c r="C191" s="43" t="s">
        <v>256</v>
      </c>
      <c r="D191" s="43" t="s">
        <v>110</v>
      </c>
      <c r="E191" s="43" t="s">
        <v>150</v>
      </c>
      <c r="F191" s="43" t="s">
        <v>100</v>
      </c>
      <c r="G191" s="43" t="s">
        <v>140</v>
      </c>
    </row>
    <row r="192" spans="1:7" x14ac:dyDescent="0.25">
      <c r="A192" s="43">
        <v>191</v>
      </c>
      <c r="B192" s="43" t="s">
        <v>35</v>
      </c>
      <c r="C192" s="43" t="s">
        <v>257</v>
      </c>
      <c r="D192" s="43" t="s">
        <v>111</v>
      </c>
      <c r="E192" s="43" t="s">
        <v>151</v>
      </c>
      <c r="F192" s="43" t="s">
        <v>100</v>
      </c>
      <c r="G192" s="43" t="s">
        <v>140</v>
      </c>
    </row>
    <row r="193" spans="1:7" x14ac:dyDescent="0.25">
      <c r="A193" s="44">
        <v>192</v>
      </c>
      <c r="B193" s="44" t="s">
        <v>35</v>
      </c>
      <c r="C193" s="44" t="s">
        <v>258</v>
      </c>
      <c r="D193" s="44" t="s">
        <v>112</v>
      </c>
      <c r="E193" s="44" t="s">
        <v>152</v>
      </c>
      <c r="F193" s="44" t="s">
        <v>100</v>
      </c>
      <c r="G193" s="44" t="s">
        <v>140</v>
      </c>
    </row>
    <row r="194" spans="1:7" x14ac:dyDescent="0.25">
      <c r="A194" s="43">
        <v>193</v>
      </c>
      <c r="B194" s="43" t="s">
        <v>36</v>
      </c>
      <c r="C194" s="43" t="s">
        <v>163</v>
      </c>
      <c r="D194" s="43" t="s">
        <v>81</v>
      </c>
      <c r="E194" s="43" t="s">
        <v>121</v>
      </c>
      <c r="F194" s="43" t="s">
        <v>113</v>
      </c>
      <c r="G194" s="43" t="s">
        <v>153</v>
      </c>
    </row>
    <row r="195" spans="1:7" x14ac:dyDescent="0.25">
      <c r="A195" s="43">
        <v>194</v>
      </c>
      <c r="B195" s="43" t="s">
        <v>36</v>
      </c>
      <c r="C195" s="43" t="s">
        <v>164</v>
      </c>
      <c r="D195" s="43" t="s">
        <v>83</v>
      </c>
      <c r="E195" s="43" t="s">
        <v>122</v>
      </c>
      <c r="F195" s="43" t="s">
        <v>113</v>
      </c>
      <c r="G195" s="43" t="s">
        <v>153</v>
      </c>
    </row>
    <row r="196" spans="1:7" x14ac:dyDescent="0.25">
      <c r="A196" s="43">
        <v>195</v>
      </c>
      <c r="B196" s="43" t="s">
        <v>36</v>
      </c>
      <c r="C196" s="43" t="s">
        <v>165</v>
      </c>
      <c r="D196" s="43" t="s">
        <v>84</v>
      </c>
      <c r="E196" s="43" t="s">
        <v>123</v>
      </c>
      <c r="F196" s="43" t="s">
        <v>113</v>
      </c>
      <c r="G196" s="43" t="s">
        <v>153</v>
      </c>
    </row>
    <row r="197" spans="1:7" x14ac:dyDescent="0.25">
      <c r="A197" s="43">
        <v>196</v>
      </c>
      <c r="B197" s="43" t="s">
        <v>36</v>
      </c>
      <c r="C197" s="43" t="s">
        <v>166</v>
      </c>
      <c r="D197" s="43" t="s">
        <v>85</v>
      </c>
      <c r="E197" s="43" t="s">
        <v>124</v>
      </c>
      <c r="F197" s="43" t="s">
        <v>113</v>
      </c>
      <c r="G197" s="43" t="s">
        <v>153</v>
      </c>
    </row>
    <row r="198" spans="1:7" x14ac:dyDescent="0.25">
      <c r="A198" s="43">
        <v>197</v>
      </c>
      <c r="B198" s="43" t="s">
        <v>36</v>
      </c>
      <c r="C198" s="43" t="s">
        <v>167</v>
      </c>
      <c r="D198" s="43" t="s">
        <v>86</v>
      </c>
      <c r="E198" s="43" t="s">
        <v>125</v>
      </c>
      <c r="F198" s="43" t="s">
        <v>113</v>
      </c>
      <c r="G198" s="43" t="s">
        <v>153</v>
      </c>
    </row>
    <row r="199" spans="1:7" x14ac:dyDescent="0.25">
      <c r="A199" s="43">
        <v>198</v>
      </c>
      <c r="B199" s="43" t="s">
        <v>36</v>
      </c>
      <c r="C199" s="43" t="s">
        <v>168</v>
      </c>
      <c r="D199" s="43" t="s">
        <v>87</v>
      </c>
      <c r="E199" s="43" t="s">
        <v>126</v>
      </c>
      <c r="F199" s="43" t="s">
        <v>113</v>
      </c>
      <c r="G199" s="43" t="s">
        <v>153</v>
      </c>
    </row>
    <row r="200" spans="1:7" x14ac:dyDescent="0.25">
      <c r="A200" s="43">
        <v>199</v>
      </c>
      <c r="B200" s="43" t="s">
        <v>36</v>
      </c>
      <c r="C200" s="43" t="s">
        <v>169</v>
      </c>
      <c r="D200" s="43" t="s">
        <v>88</v>
      </c>
      <c r="E200" s="43" t="s">
        <v>127</v>
      </c>
      <c r="F200" s="43" t="s">
        <v>113</v>
      </c>
      <c r="G200" s="43" t="s">
        <v>153</v>
      </c>
    </row>
    <row r="201" spans="1:7" x14ac:dyDescent="0.25">
      <c r="A201" s="43">
        <v>200</v>
      </c>
      <c r="B201" s="43" t="s">
        <v>36</v>
      </c>
      <c r="C201" s="43" t="s">
        <v>170</v>
      </c>
      <c r="D201" s="43" t="s">
        <v>89</v>
      </c>
      <c r="E201" s="43" t="s">
        <v>128</v>
      </c>
      <c r="F201" s="43" t="s">
        <v>113</v>
      </c>
      <c r="G201" s="43" t="s">
        <v>153</v>
      </c>
    </row>
    <row r="202" spans="1:7" x14ac:dyDescent="0.25">
      <c r="A202" s="43">
        <v>201</v>
      </c>
      <c r="B202" s="43" t="s">
        <v>36</v>
      </c>
      <c r="C202" s="43" t="s">
        <v>171</v>
      </c>
      <c r="D202" s="43" t="s">
        <v>90</v>
      </c>
      <c r="E202" s="43" t="s">
        <v>129</v>
      </c>
      <c r="F202" s="43" t="s">
        <v>113</v>
      </c>
      <c r="G202" s="43" t="s">
        <v>153</v>
      </c>
    </row>
    <row r="203" spans="1:7" x14ac:dyDescent="0.25">
      <c r="A203" s="43">
        <v>202</v>
      </c>
      <c r="B203" s="43" t="s">
        <v>36</v>
      </c>
      <c r="C203" s="43" t="s">
        <v>172</v>
      </c>
      <c r="D203" s="43" t="s">
        <v>91</v>
      </c>
      <c r="E203" s="43" t="s">
        <v>130</v>
      </c>
      <c r="F203" s="43" t="s">
        <v>113</v>
      </c>
      <c r="G203" s="43" t="s">
        <v>153</v>
      </c>
    </row>
    <row r="204" spans="1:7" x14ac:dyDescent="0.25">
      <c r="A204" s="43">
        <v>203</v>
      </c>
      <c r="B204" s="43" t="s">
        <v>36</v>
      </c>
      <c r="C204" s="43" t="s">
        <v>173</v>
      </c>
      <c r="D204" s="43" t="s">
        <v>92</v>
      </c>
      <c r="E204" s="43" t="s">
        <v>131</v>
      </c>
      <c r="F204" s="43" t="s">
        <v>113</v>
      </c>
      <c r="G204" s="43" t="s">
        <v>153</v>
      </c>
    </row>
    <row r="205" spans="1:7" x14ac:dyDescent="0.25">
      <c r="A205" s="43">
        <v>204</v>
      </c>
      <c r="B205" s="43" t="s">
        <v>36</v>
      </c>
      <c r="C205" s="43" t="s">
        <v>174</v>
      </c>
      <c r="D205" s="43" t="s">
        <v>93</v>
      </c>
      <c r="E205" s="43" t="s">
        <v>132</v>
      </c>
      <c r="F205" s="43" t="s">
        <v>113</v>
      </c>
      <c r="G205" s="43" t="s">
        <v>153</v>
      </c>
    </row>
    <row r="206" spans="1:7" x14ac:dyDescent="0.25">
      <c r="A206" s="43">
        <v>205</v>
      </c>
      <c r="B206" s="43" t="s">
        <v>36</v>
      </c>
      <c r="C206" s="43" t="s">
        <v>175</v>
      </c>
      <c r="D206" s="43" t="s">
        <v>81</v>
      </c>
      <c r="E206" s="43" t="s">
        <v>121</v>
      </c>
      <c r="F206" s="43" t="s">
        <v>114</v>
      </c>
      <c r="G206" s="43" t="s">
        <v>154</v>
      </c>
    </row>
    <row r="207" spans="1:7" x14ac:dyDescent="0.25">
      <c r="A207" s="43">
        <v>206</v>
      </c>
      <c r="B207" s="43" t="s">
        <v>36</v>
      </c>
      <c r="C207" s="43" t="s">
        <v>176</v>
      </c>
      <c r="D207" s="43" t="s">
        <v>83</v>
      </c>
      <c r="E207" s="43" t="s">
        <v>122</v>
      </c>
      <c r="F207" s="43" t="s">
        <v>114</v>
      </c>
      <c r="G207" s="43" t="s">
        <v>154</v>
      </c>
    </row>
    <row r="208" spans="1:7" x14ac:dyDescent="0.25">
      <c r="A208" s="43">
        <v>207</v>
      </c>
      <c r="B208" s="43" t="s">
        <v>36</v>
      </c>
      <c r="C208" s="43" t="s">
        <v>177</v>
      </c>
      <c r="D208" s="43" t="s">
        <v>84</v>
      </c>
      <c r="E208" s="43" t="s">
        <v>123</v>
      </c>
      <c r="F208" s="43" t="s">
        <v>114</v>
      </c>
      <c r="G208" s="43" t="s">
        <v>154</v>
      </c>
    </row>
    <row r="209" spans="1:7" x14ac:dyDescent="0.25">
      <c r="A209" s="43">
        <v>208</v>
      </c>
      <c r="B209" s="43" t="s">
        <v>36</v>
      </c>
      <c r="C209" s="43" t="s">
        <v>178</v>
      </c>
      <c r="D209" s="43" t="s">
        <v>85</v>
      </c>
      <c r="E209" s="43" t="s">
        <v>124</v>
      </c>
      <c r="F209" s="43" t="s">
        <v>114</v>
      </c>
      <c r="G209" s="43" t="s">
        <v>154</v>
      </c>
    </row>
    <row r="210" spans="1:7" x14ac:dyDescent="0.25">
      <c r="A210" s="43">
        <v>209</v>
      </c>
      <c r="B210" s="43" t="s">
        <v>36</v>
      </c>
      <c r="C210" s="43" t="s">
        <v>179</v>
      </c>
      <c r="D210" s="43" t="s">
        <v>86</v>
      </c>
      <c r="E210" s="43" t="s">
        <v>125</v>
      </c>
      <c r="F210" s="43" t="s">
        <v>114</v>
      </c>
      <c r="G210" s="43" t="s">
        <v>154</v>
      </c>
    </row>
    <row r="211" spans="1:7" x14ac:dyDescent="0.25">
      <c r="A211" s="43">
        <v>210</v>
      </c>
      <c r="B211" s="43" t="s">
        <v>36</v>
      </c>
      <c r="C211" s="43" t="s">
        <v>180</v>
      </c>
      <c r="D211" s="43" t="s">
        <v>87</v>
      </c>
      <c r="E211" s="43" t="s">
        <v>126</v>
      </c>
      <c r="F211" s="43" t="s">
        <v>114</v>
      </c>
      <c r="G211" s="43" t="s">
        <v>154</v>
      </c>
    </row>
    <row r="212" spans="1:7" x14ac:dyDescent="0.25">
      <c r="A212" s="43">
        <v>211</v>
      </c>
      <c r="B212" s="43" t="s">
        <v>36</v>
      </c>
      <c r="C212" s="43" t="s">
        <v>181</v>
      </c>
      <c r="D212" s="43" t="s">
        <v>88</v>
      </c>
      <c r="E212" s="43" t="s">
        <v>127</v>
      </c>
      <c r="F212" s="43" t="s">
        <v>114</v>
      </c>
      <c r="G212" s="43" t="s">
        <v>154</v>
      </c>
    </row>
    <row r="213" spans="1:7" x14ac:dyDescent="0.25">
      <c r="A213" s="43">
        <v>212</v>
      </c>
      <c r="B213" s="43" t="s">
        <v>36</v>
      </c>
      <c r="C213" s="43" t="s">
        <v>182</v>
      </c>
      <c r="D213" s="43" t="s">
        <v>89</v>
      </c>
      <c r="E213" s="43" t="s">
        <v>128</v>
      </c>
      <c r="F213" s="43" t="s">
        <v>114</v>
      </c>
      <c r="G213" s="43" t="s">
        <v>154</v>
      </c>
    </row>
    <row r="214" spans="1:7" x14ac:dyDescent="0.25">
      <c r="A214" s="43">
        <v>213</v>
      </c>
      <c r="B214" s="43" t="s">
        <v>36</v>
      </c>
      <c r="C214" s="43" t="s">
        <v>183</v>
      </c>
      <c r="D214" s="43" t="s">
        <v>90</v>
      </c>
      <c r="E214" s="43" t="s">
        <v>129</v>
      </c>
      <c r="F214" s="43" t="s">
        <v>114</v>
      </c>
      <c r="G214" s="43" t="s">
        <v>154</v>
      </c>
    </row>
    <row r="215" spans="1:7" x14ac:dyDescent="0.25">
      <c r="A215" s="43">
        <v>214</v>
      </c>
      <c r="B215" s="43" t="s">
        <v>36</v>
      </c>
      <c r="C215" s="43" t="s">
        <v>184</v>
      </c>
      <c r="D215" s="43" t="s">
        <v>91</v>
      </c>
      <c r="E215" s="43" t="s">
        <v>130</v>
      </c>
      <c r="F215" s="43" t="s">
        <v>114</v>
      </c>
      <c r="G215" s="43" t="s">
        <v>154</v>
      </c>
    </row>
    <row r="216" spans="1:7" x14ac:dyDescent="0.25">
      <c r="A216" s="43">
        <v>215</v>
      </c>
      <c r="B216" s="43" t="s">
        <v>36</v>
      </c>
      <c r="C216" s="43" t="s">
        <v>185</v>
      </c>
      <c r="D216" s="43" t="s">
        <v>92</v>
      </c>
      <c r="E216" s="43" t="s">
        <v>131</v>
      </c>
      <c r="F216" s="43" t="s">
        <v>114</v>
      </c>
      <c r="G216" s="43" t="s">
        <v>154</v>
      </c>
    </row>
    <row r="217" spans="1:7" x14ac:dyDescent="0.25">
      <c r="A217" s="43">
        <v>216</v>
      </c>
      <c r="B217" s="43" t="s">
        <v>36</v>
      </c>
      <c r="C217" s="43" t="s">
        <v>186</v>
      </c>
      <c r="D217" s="43" t="s">
        <v>93</v>
      </c>
      <c r="E217" s="43" t="s">
        <v>132</v>
      </c>
      <c r="F217" s="43" t="s">
        <v>114</v>
      </c>
      <c r="G217" s="43" t="s">
        <v>154</v>
      </c>
    </row>
    <row r="218" spans="1:7" x14ac:dyDescent="0.25">
      <c r="A218" s="43">
        <v>217</v>
      </c>
      <c r="B218" s="43" t="s">
        <v>36</v>
      </c>
      <c r="C218" s="43" t="s">
        <v>187</v>
      </c>
      <c r="D218" s="43" t="s">
        <v>81</v>
      </c>
      <c r="E218" s="43" t="s">
        <v>121</v>
      </c>
      <c r="F218" s="43" t="s">
        <v>115</v>
      </c>
      <c r="G218" s="43" t="s">
        <v>155</v>
      </c>
    </row>
    <row r="219" spans="1:7" x14ac:dyDescent="0.25">
      <c r="A219" s="43">
        <v>218</v>
      </c>
      <c r="B219" s="43" t="s">
        <v>36</v>
      </c>
      <c r="C219" s="43" t="s">
        <v>188</v>
      </c>
      <c r="D219" s="43" t="s">
        <v>83</v>
      </c>
      <c r="E219" s="43" t="s">
        <v>122</v>
      </c>
      <c r="F219" s="43" t="s">
        <v>115</v>
      </c>
      <c r="G219" s="43" t="s">
        <v>155</v>
      </c>
    </row>
    <row r="220" spans="1:7" x14ac:dyDescent="0.25">
      <c r="A220" s="43">
        <v>219</v>
      </c>
      <c r="B220" s="43" t="s">
        <v>36</v>
      </c>
      <c r="C220" s="43" t="s">
        <v>189</v>
      </c>
      <c r="D220" s="43" t="s">
        <v>84</v>
      </c>
      <c r="E220" s="43" t="s">
        <v>123</v>
      </c>
      <c r="F220" s="43" t="s">
        <v>115</v>
      </c>
      <c r="G220" s="43" t="s">
        <v>155</v>
      </c>
    </row>
    <row r="221" spans="1:7" x14ac:dyDescent="0.25">
      <c r="A221" s="43">
        <v>220</v>
      </c>
      <c r="B221" s="43" t="s">
        <v>36</v>
      </c>
      <c r="C221" s="43" t="s">
        <v>190</v>
      </c>
      <c r="D221" s="43" t="s">
        <v>85</v>
      </c>
      <c r="E221" s="43" t="s">
        <v>124</v>
      </c>
      <c r="F221" s="43" t="s">
        <v>115</v>
      </c>
      <c r="G221" s="43" t="s">
        <v>155</v>
      </c>
    </row>
    <row r="222" spans="1:7" x14ac:dyDescent="0.25">
      <c r="A222" s="43">
        <v>221</v>
      </c>
      <c r="B222" s="43" t="s">
        <v>36</v>
      </c>
      <c r="C222" s="43" t="s">
        <v>191</v>
      </c>
      <c r="D222" s="43" t="s">
        <v>86</v>
      </c>
      <c r="E222" s="43" t="s">
        <v>125</v>
      </c>
      <c r="F222" s="43" t="s">
        <v>115</v>
      </c>
      <c r="G222" s="43" t="s">
        <v>155</v>
      </c>
    </row>
    <row r="223" spans="1:7" x14ac:dyDescent="0.25">
      <c r="A223" s="43">
        <v>222</v>
      </c>
      <c r="B223" s="43" t="s">
        <v>36</v>
      </c>
      <c r="C223" s="43" t="s">
        <v>192</v>
      </c>
      <c r="D223" s="43" t="s">
        <v>87</v>
      </c>
      <c r="E223" s="43" t="s">
        <v>126</v>
      </c>
      <c r="F223" s="43" t="s">
        <v>115</v>
      </c>
      <c r="G223" s="43" t="s">
        <v>155</v>
      </c>
    </row>
    <row r="224" spans="1:7" x14ac:dyDescent="0.25">
      <c r="A224" s="43">
        <v>223</v>
      </c>
      <c r="B224" s="43" t="s">
        <v>36</v>
      </c>
      <c r="C224" s="43" t="s">
        <v>193</v>
      </c>
      <c r="D224" s="43" t="s">
        <v>88</v>
      </c>
      <c r="E224" s="43" t="s">
        <v>127</v>
      </c>
      <c r="F224" s="43" t="s">
        <v>115</v>
      </c>
      <c r="G224" s="43" t="s">
        <v>155</v>
      </c>
    </row>
    <row r="225" spans="1:7" x14ac:dyDescent="0.25">
      <c r="A225" s="43">
        <v>224</v>
      </c>
      <c r="B225" s="43" t="s">
        <v>36</v>
      </c>
      <c r="C225" s="43" t="s">
        <v>194</v>
      </c>
      <c r="D225" s="43" t="s">
        <v>89</v>
      </c>
      <c r="E225" s="43" t="s">
        <v>128</v>
      </c>
      <c r="F225" s="43" t="s">
        <v>115</v>
      </c>
      <c r="G225" s="43" t="s">
        <v>155</v>
      </c>
    </row>
    <row r="226" spans="1:7" x14ac:dyDescent="0.25">
      <c r="A226" s="43">
        <v>225</v>
      </c>
      <c r="B226" s="43" t="s">
        <v>36</v>
      </c>
      <c r="C226" s="43" t="s">
        <v>195</v>
      </c>
      <c r="D226" s="43" t="s">
        <v>90</v>
      </c>
      <c r="E226" s="43" t="s">
        <v>129</v>
      </c>
      <c r="F226" s="43" t="s">
        <v>115</v>
      </c>
      <c r="G226" s="43" t="s">
        <v>155</v>
      </c>
    </row>
    <row r="227" spans="1:7" x14ac:dyDescent="0.25">
      <c r="A227" s="43">
        <v>226</v>
      </c>
      <c r="B227" s="43" t="s">
        <v>36</v>
      </c>
      <c r="C227" s="43" t="s">
        <v>196</v>
      </c>
      <c r="D227" s="43" t="s">
        <v>91</v>
      </c>
      <c r="E227" s="43" t="s">
        <v>130</v>
      </c>
      <c r="F227" s="43" t="s">
        <v>115</v>
      </c>
      <c r="G227" s="43" t="s">
        <v>155</v>
      </c>
    </row>
    <row r="228" spans="1:7" x14ac:dyDescent="0.25">
      <c r="A228" s="43">
        <v>227</v>
      </c>
      <c r="B228" s="43" t="s">
        <v>36</v>
      </c>
      <c r="C228" s="43" t="s">
        <v>197</v>
      </c>
      <c r="D228" s="43" t="s">
        <v>92</v>
      </c>
      <c r="E228" s="43" t="s">
        <v>131</v>
      </c>
      <c r="F228" s="43" t="s">
        <v>115</v>
      </c>
      <c r="G228" s="43" t="s">
        <v>155</v>
      </c>
    </row>
    <row r="229" spans="1:7" x14ac:dyDescent="0.25">
      <c r="A229" s="43">
        <v>228</v>
      </c>
      <c r="B229" s="43" t="s">
        <v>36</v>
      </c>
      <c r="C229" s="43" t="s">
        <v>198</v>
      </c>
      <c r="D229" s="43" t="s">
        <v>93</v>
      </c>
      <c r="E229" s="43" t="s">
        <v>132</v>
      </c>
      <c r="F229" s="43" t="s">
        <v>115</v>
      </c>
      <c r="G229" s="43" t="s">
        <v>155</v>
      </c>
    </row>
    <row r="230" spans="1:7" x14ac:dyDescent="0.25">
      <c r="A230" s="43">
        <v>229</v>
      </c>
      <c r="B230" s="43" t="s">
        <v>36</v>
      </c>
      <c r="C230" s="43" t="s">
        <v>199</v>
      </c>
      <c r="D230" s="43" t="s">
        <v>81</v>
      </c>
      <c r="E230" s="43" t="s">
        <v>121</v>
      </c>
      <c r="F230" s="43" t="s">
        <v>116</v>
      </c>
      <c r="G230" s="43" t="s">
        <v>156</v>
      </c>
    </row>
    <row r="231" spans="1:7" x14ac:dyDescent="0.25">
      <c r="A231" s="43">
        <v>230</v>
      </c>
      <c r="B231" s="43" t="s">
        <v>36</v>
      </c>
      <c r="C231" s="43" t="s">
        <v>200</v>
      </c>
      <c r="D231" s="43" t="s">
        <v>83</v>
      </c>
      <c r="E231" s="43" t="s">
        <v>122</v>
      </c>
      <c r="F231" s="43" t="s">
        <v>116</v>
      </c>
      <c r="G231" s="43" t="s">
        <v>156</v>
      </c>
    </row>
    <row r="232" spans="1:7" x14ac:dyDescent="0.25">
      <c r="A232" s="43">
        <v>231</v>
      </c>
      <c r="B232" s="43" t="s">
        <v>36</v>
      </c>
      <c r="C232" s="43" t="s">
        <v>201</v>
      </c>
      <c r="D232" s="43" t="s">
        <v>84</v>
      </c>
      <c r="E232" s="43" t="s">
        <v>123</v>
      </c>
      <c r="F232" s="43" t="s">
        <v>116</v>
      </c>
      <c r="G232" s="43" t="s">
        <v>156</v>
      </c>
    </row>
    <row r="233" spans="1:7" x14ac:dyDescent="0.25">
      <c r="A233" s="43">
        <v>232</v>
      </c>
      <c r="B233" s="43" t="s">
        <v>36</v>
      </c>
      <c r="C233" s="43" t="s">
        <v>202</v>
      </c>
      <c r="D233" s="43" t="s">
        <v>85</v>
      </c>
      <c r="E233" s="43" t="s">
        <v>124</v>
      </c>
      <c r="F233" s="43" t="s">
        <v>116</v>
      </c>
      <c r="G233" s="43" t="s">
        <v>156</v>
      </c>
    </row>
    <row r="234" spans="1:7" x14ac:dyDescent="0.25">
      <c r="A234" s="43">
        <v>233</v>
      </c>
      <c r="B234" s="43" t="s">
        <v>36</v>
      </c>
      <c r="C234" s="43" t="s">
        <v>203</v>
      </c>
      <c r="D234" s="43" t="s">
        <v>86</v>
      </c>
      <c r="E234" s="43" t="s">
        <v>125</v>
      </c>
      <c r="F234" s="43" t="s">
        <v>116</v>
      </c>
      <c r="G234" s="43" t="s">
        <v>156</v>
      </c>
    </row>
    <row r="235" spans="1:7" x14ac:dyDescent="0.25">
      <c r="A235" s="43">
        <v>234</v>
      </c>
      <c r="B235" s="43" t="s">
        <v>36</v>
      </c>
      <c r="C235" s="43" t="s">
        <v>204</v>
      </c>
      <c r="D235" s="43" t="s">
        <v>87</v>
      </c>
      <c r="E235" s="43" t="s">
        <v>126</v>
      </c>
      <c r="F235" s="43" t="s">
        <v>116</v>
      </c>
      <c r="G235" s="43" t="s">
        <v>156</v>
      </c>
    </row>
    <row r="236" spans="1:7" x14ac:dyDescent="0.25">
      <c r="A236" s="43">
        <v>235</v>
      </c>
      <c r="B236" s="43" t="s">
        <v>36</v>
      </c>
      <c r="C236" s="43" t="s">
        <v>205</v>
      </c>
      <c r="D236" s="43" t="s">
        <v>88</v>
      </c>
      <c r="E236" s="43" t="s">
        <v>127</v>
      </c>
      <c r="F236" s="43" t="s">
        <v>116</v>
      </c>
      <c r="G236" s="43" t="s">
        <v>156</v>
      </c>
    </row>
    <row r="237" spans="1:7" x14ac:dyDescent="0.25">
      <c r="A237" s="43">
        <v>236</v>
      </c>
      <c r="B237" s="43" t="s">
        <v>36</v>
      </c>
      <c r="C237" s="43" t="s">
        <v>206</v>
      </c>
      <c r="D237" s="43" t="s">
        <v>89</v>
      </c>
      <c r="E237" s="43" t="s">
        <v>128</v>
      </c>
      <c r="F237" s="43" t="s">
        <v>116</v>
      </c>
      <c r="G237" s="43" t="s">
        <v>156</v>
      </c>
    </row>
    <row r="238" spans="1:7" x14ac:dyDescent="0.25">
      <c r="A238" s="43">
        <v>237</v>
      </c>
      <c r="B238" s="43" t="s">
        <v>36</v>
      </c>
      <c r="C238" s="43" t="s">
        <v>207</v>
      </c>
      <c r="D238" s="43" t="s">
        <v>90</v>
      </c>
      <c r="E238" s="43" t="s">
        <v>129</v>
      </c>
      <c r="F238" s="43" t="s">
        <v>116</v>
      </c>
      <c r="G238" s="43" t="s">
        <v>156</v>
      </c>
    </row>
    <row r="239" spans="1:7" x14ac:dyDescent="0.25">
      <c r="A239" s="43">
        <v>238</v>
      </c>
      <c r="B239" s="43" t="s">
        <v>36</v>
      </c>
      <c r="C239" s="43" t="s">
        <v>208</v>
      </c>
      <c r="D239" s="43" t="s">
        <v>91</v>
      </c>
      <c r="E239" s="43" t="s">
        <v>130</v>
      </c>
      <c r="F239" s="43" t="s">
        <v>116</v>
      </c>
      <c r="G239" s="43" t="s">
        <v>156</v>
      </c>
    </row>
    <row r="240" spans="1:7" x14ac:dyDescent="0.25">
      <c r="A240" s="43">
        <v>239</v>
      </c>
      <c r="B240" s="43" t="s">
        <v>36</v>
      </c>
      <c r="C240" s="43" t="s">
        <v>209</v>
      </c>
      <c r="D240" s="43" t="s">
        <v>92</v>
      </c>
      <c r="E240" s="43" t="s">
        <v>131</v>
      </c>
      <c r="F240" s="43" t="s">
        <v>116</v>
      </c>
      <c r="G240" s="43" t="s">
        <v>156</v>
      </c>
    </row>
    <row r="241" spans="1:7" x14ac:dyDescent="0.25">
      <c r="A241" s="43">
        <v>240</v>
      </c>
      <c r="B241" s="43" t="s">
        <v>36</v>
      </c>
      <c r="C241" s="43" t="s">
        <v>210</v>
      </c>
      <c r="D241" s="43" t="s">
        <v>93</v>
      </c>
      <c r="E241" s="43" t="s">
        <v>132</v>
      </c>
      <c r="F241" s="43" t="s">
        <v>116</v>
      </c>
      <c r="G241" s="43" t="s">
        <v>156</v>
      </c>
    </row>
    <row r="242" spans="1:7" x14ac:dyDescent="0.25">
      <c r="A242" s="43">
        <v>241</v>
      </c>
      <c r="B242" s="43" t="s">
        <v>36</v>
      </c>
      <c r="C242" s="43" t="s">
        <v>211</v>
      </c>
      <c r="D242" s="43" t="s">
        <v>81</v>
      </c>
      <c r="E242" s="43" t="s">
        <v>121</v>
      </c>
      <c r="F242" s="43" t="s">
        <v>117</v>
      </c>
      <c r="G242" s="43" t="s">
        <v>157</v>
      </c>
    </row>
    <row r="243" spans="1:7" x14ac:dyDescent="0.25">
      <c r="A243" s="43">
        <v>242</v>
      </c>
      <c r="B243" s="43" t="s">
        <v>36</v>
      </c>
      <c r="C243" s="43" t="s">
        <v>212</v>
      </c>
      <c r="D243" s="43" t="s">
        <v>83</v>
      </c>
      <c r="E243" s="43" t="s">
        <v>122</v>
      </c>
      <c r="F243" s="43" t="s">
        <v>117</v>
      </c>
      <c r="G243" s="43" t="s">
        <v>157</v>
      </c>
    </row>
    <row r="244" spans="1:7" x14ac:dyDescent="0.25">
      <c r="A244" s="43">
        <v>243</v>
      </c>
      <c r="B244" s="43" t="s">
        <v>36</v>
      </c>
      <c r="C244" s="43" t="s">
        <v>213</v>
      </c>
      <c r="D244" s="43" t="s">
        <v>84</v>
      </c>
      <c r="E244" s="43" t="s">
        <v>123</v>
      </c>
      <c r="F244" s="43" t="s">
        <v>117</v>
      </c>
      <c r="G244" s="43" t="s">
        <v>157</v>
      </c>
    </row>
    <row r="245" spans="1:7" x14ac:dyDescent="0.25">
      <c r="A245" s="43">
        <v>244</v>
      </c>
      <c r="B245" s="43" t="s">
        <v>36</v>
      </c>
      <c r="C245" s="43" t="s">
        <v>214</v>
      </c>
      <c r="D245" s="43" t="s">
        <v>85</v>
      </c>
      <c r="E245" s="43" t="s">
        <v>124</v>
      </c>
      <c r="F245" s="43" t="s">
        <v>117</v>
      </c>
      <c r="G245" s="43" t="s">
        <v>157</v>
      </c>
    </row>
    <row r="246" spans="1:7" x14ac:dyDescent="0.25">
      <c r="A246" s="43">
        <v>245</v>
      </c>
      <c r="B246" s="43" t="s">
        <v>36</v>
      </c>
      <c r="C246" s="43" t="s">
        <v>215</v>
      </c>
      <c r="D246" s="43" t="s">
        <v>86</v>
      </c>
      <c r="E246" s="43" t="s">
        <v>125</v>
      </c>
      <c r="F246" s="43" t="s">
        <v>117</v>
      </c>
      <c r="G246" s="43" t="s">
        <v>157</v>
      </c>
    </row>
    <row r="247" spans="1:7" x14ac:dyDescent="0.25">
      <c r="A247" s="43">
        <v>246</v>
      </c>
      <c r="B247" s="43" t="s">
        <v>36</v>
      </c>
      <c r="C247" s="43" t="s">
        <v>216</v>
      </c>
      <c r="D247" s="43" t="s">
        <v>87</v>
      </c>
      <c r="E247" s="43" t="s">
        <v>126</v>
      </c>
      <c r="F247" s="43" t="s">
        <v>117</v>
      </c>
      <c r="G247" s="43" t="s">
        <v>157</v>
      </c>
    </row>
    <row r="248" spans="1:7" x14ac:dyDescent="0.25">
      <c r="A248" s="43">
        <v>247</v>
      </c>
      <c r="B248" s="43" t="s">
        <v>36</v>
      </c>
      <c r="C248" s="43" t="s">
        <v>217</v>
      </c>
      <c r="D248" s="43" t="s">
        <v>88</v>
      </c>
      <c r="E248" s="43" t="s">
        <v>127</v>
      </c>
      <c r="F248" s="43" t="s">
        <v>117</v>
      </c>
      <c r="G248" s="43" t="s">
        <v>157</v>
      </c>
    </row>
    <row r="249" spans="1:7" x14ac:dyDescent="0.25">
      <c r="A249" s="43">
        <v>248</v>
      </c>
      <c r="B249" s="43" t="s">
        <v>36</v>
      </c>
      <c r="C249" s="43" t="s">
        <v>218</v>
      </c>
      <c r="D249" s="43" t="s">
        <v>89</v>
      </c>
      <c r="E249" s="43" t="s">
        <v>128</v>
      </c>
      <c r="F249" s="43" t="s">
        <v>117</v>
      </c>
      <c r="G249" s="43" t="s">
        <v>157</v>
      </c>
    </row>
    <row r="250" spans="1:7" x14ac:dyDescent="0.25">
      <c r="A250" s="43">
        <v>249</v>
      </c>
      <c r="B250" s="43" t="s">
        <v>36</v>
      </c>
      <c r="C250" s="43" t="s">
        <v>219</v>
      </c>
      <c r="D250" s="43" t="s">
        <v>90</v>
      </c>
      <c r="E250" s="43" t="s">
        <v>129</v>
      </c>
      <c r="F250" s="43" t="s">
        <v>117</v>
      </c>
      <c r="G250" s="43" t="s">
        <v>157</v>
      </c>
    </row>
    <row r="251" spans="1:7" x14ac:dyDescent="0.25">
      <c r="A251" s="43">
        <v>250</v>
      </c>
      <c r="B251" s="43" t="s">
        <v>36</v>
      </c>
      <c r="C251" s="43" t="s">
        <v>220</v>
      </c>
      <c r="D251" s="43" t="s">
        <v>91</v>
      </c>
      <c r="E251" s="43" t="s">
        <v>130</v>
      </c>
      <c r="F251" s="43" t="s">
        <v>117</v>
      </c>
      <c r="G251" s="43" t="s">
        <v>157</v>
      </c>
    </row>
    <row r="252" spans="1:7" x14ac:dyDescent="0.25">
      <c r="A252" s="43">
        <v>251</v>
      </c>
      <c r="B252" s="43" t="s">
        <v>36</v>
      </c>
      <c r="C252" s="43" t="s">
        <v>221</v>
      </c>
      <c r="D252" s="43" t="s">
        <v>92</v>
      </c>
      <c r="E252" s="43" t="s">
        <v>131</v>
      </c>
      <c r="F252" s="43" t="s">
        <v>117</v>
      </c>
      <c r="G252" s="43" t="s">
        <v>157</v>
      </c>
    </row>
    <row r="253" spans="1:7" x14ac:dyDescent="0.25">
      <c r="A253" s="43">
        <v>252</v>
      </c>
      <c r="B253" s="43" t="s">
        <v>36</v>
      </c>
      <c r="C253" s="43" t="s">
        <v>222</v>
      </c>
      <c r="D253" s="43" t="s">
        <v>93</v>
      </c>
      <c r="E253" s="43" t="s">
        <v>132</v>
      </c>
      <c r="F253" s="43" t="s">
        <v>117</v>
      </c>
      <c r="G253" s="43" t="s">
        <v>157</v>
      </c>
    </row>
    <row r="254" spans="1:7" x14ac:dyDescent="0.25">
      <c r="A254" s="43">
        <v>253</v>
      </c>
      <c r="B254" s="43" t="s">
        <v>36</v>
      </c>
      <c r="C254" s="43" t="s">
        <v>223</v>
      </c>
      <c r="D254" s="43" t="s">
        <v>81</v>
      </c>
      <c r="E254" s="43" t="s">
        <v>121</v>
      </c>
      <c r="F254" s="43" t="s">
        <v>118</v>
      </c>
      <c r="G254" s="43" t="s">
        <v>158</v>
      </c>
    </row>
    <row r="255" spans="1:7" x14ac:dyDescent="0.25">
      <c r="A255" s="43">
        <v>254</v>
      </c>
      <c r="B255" s="43" t="s">
        <v>36</v>
      </c>
      <c r="C255" s="43" t="s">
        <v>224</v>
      </c>
      <c r="D255" s="43" t="s">
        <v>83</v>
      </c>
      <c r="E255" s="43" t="s">
        <v>122</v>
      </c>
      <c r="F255" s="43" t="s">
        <v>118</v>
      </c>
      <c r="G255" s="43" t="s">
        <v>158</v>
      </c>
    </row>
    <row r="256" spans="1:7" x14ac:dyDescent="0.25">
      <c r="A256" s="43">
        <v>255</v>
      </c>
      <c r="B256" s="43" t="s">
        <v>36</v>
      </c>
      <c r="C256" s="43" t="s">
        <v>225</v>
      </c>
      <c r="D256" s="43" t="s">
        <v>84</v>
      </c>
      <c r="E256" s="43" t="s">
        <v>123</v>
      </c>
      <c r="F256" s="43" t="s">
        <v>118</v>
      </c>
      <c r="G256" s="43" t="s">
        <v>158</v>
      </c>
    </row>
    <row r="257" spans="1:7" x14ac:dyDescent="0.25">
      <c r="A257" s="43">
        <v>256</v>
      </c>
      <c r="B257" s="43" t="s">
        <v>36</v>
      </c>
      <c r="C257" s="43" t="s">
        <v>226</v>
      </c>
      <c r="D257" s="43" t="s">
        <v>85</v>
      </c>
      <c r="E257" s="43" t="s">
        <v>124</v>
      </c>
      <c r="F257" s="43" t="s">
        <v>118</v>
      </c>
      <c r="G257" s="43" t="s">
        <v>158</v>
      </c>
    </row>
    <row r="258" spans="1:7" x14ac:dyDescent="0.25">
      <c r="A258" s="43">
        <v>257</v>
      </c>
      <c r="B258" s="43" t="s">
        <v>36</v>
      </c>
      <c r="C258" s="43" t="s">
        <v>227</v>
      </c>
      <c r="D258" s="43" t="s">
        <v>86</v>
      </c>
      <c r="E258" s="43" t="s">
        <v>125</v>
      </c>
      <c r="F258" s="43" t="s">
        <v>118</v>
      </c>
      <c r="G258" s="43" t="s">
        <v>158</v>
      </c>
    </row>
    <row r="259" spans="1:7" x14ac:dyDescent="0.25">
      <c r="A259" s="43">
        <v>258</v>
      </c>
      <c r="B259" s="43" t="s">
        <v>36</v>
      </c>
      <c r="C259" s="43" t="s">
        <v>228</v>
      </c>
      <c r="D259" s="43" t="s">
        <v>87</v>
      </c>
      <c r="E259" s="43" t="s">
        <v>126</v>
      </c>
      <c r="F259" s="43" t="s">
        <v>118</v>
      </c>
      <c r="G259" s="43" t="s">
        <v>158</v>
      </c>
    </row>
    <row r="260" spans="1:7" x14ac:dyDescent="0.25">
      <c r="A260" s="43">
        <v>259</v>
      </c>
      <c r="B260" s="43" t="s">
        <v>36</v>
      </c>
      <c r="C260" s="43" t="s">
        <v>229</v>
      </c>
      <c r="D260" s="43" t="s">
        <v>88</v>
      </c>
      <c r="E260" s="43" t="s">
        <v>127</v>
      </c>
      <c r="F260" s="43" t="s">
        <v>118</v>
      </c>
      <c r="G260" s="43" t="s">
        <v>158</v>
      </c>
    </row>
    <row r="261" spans="1:7" x14ac:dyDescent="0.25">
      <c r="A261" s="43">
        <v>260</v>
      </c>
      <c r="B261" s="43" t="s">
        <v>36</v>
      </c>
      <c r="C261" s="43" t="s">
        <v>230</v>
      </c>
      <c r="D261" s="43" t="s">
        <v>89</v>
      </c>
      <c r="E261" s="43" t="s">
        <v>128</v>
      </c>
      <c r="F261" s="43" t="s">
        <v>118</v>
      </c>
      <c r="G261" s="43" t="s">
        <v>158</v>
      </c>
    </row>
    <row r="262" spans="1:7" x14ac:dyDescent="0.25">
      <c r="A262" s="43">
        <v>261</v>
      </c>
      <c r="B262" s="43" t="s">
        <v>36</v>
      </c>
      <c r="C262" s="43" t="s">
        <v>231</v>
      </c>
      <c r="D262" s="43" t="s">
        <v>90</v>
      </c>
      <c r="E262" s="43" t="s">
        <v>129</v>
      </c>
      <c r="F262" s="43" t="s">
        <v>118</v>
      </c>
      <c r="G262" s="43" t="s">
        <v>158</v>
      </c>
    </row>
    <row r="263" spans="1:7" x14ac:dyDescent="0.25">
      <c r="A263" s="43">
        <v>262</v>
      </c>
      <c r="B263" s="43" t="s">
        <v>36</v>
      </c>
      <c r="C263" s="43" t="s">
        <v>232</v>
      </c>
      <c r="D263" s="43" t="s">
        <v>91</v>
      </c>
      <c r="E263" s="43" t="s">
        <v>130</v>
      </c>
      <c r="F263" s="43" t="s">
        <v>118</v>
      </c>
      <c r="G263" s="43" t="s">
        <v>158</v>
      </c>
    </row>
    <row r="264" spans="1:7" x14ac:dyDescent="0.25">
      <c r="A264" s="43">
        <v>263</v>
      </c>
      <c r="B264" s="43" t="s">
        <v>36</v>
      </c>
      <c r="C264" s="43" t="s">
        <v>233</v>
      </c>
      <c r="D264" s="43" t="s">
        <v>92</v>
      </c>
      <c r="E264" s="43" t="s">
        <v>131</v>
      </c>
      <c r="F264" s="43" t="s">
        <v>118</v>
      </c>
      <c r="G264" s="43" t="s">
        <v>158</v>
      </c>
    </row>
    <row r="265" spans="1:7" x14ac:dyDescent="0.25">
      <c r="A265" s="43">
        <v>264</v>
      </c>
      <c r="B265" s="43" t="s">
        <v>36</v>
      </c>
      <c r="C265" s="43" t="s">
        <v>234</v>
      </c>
      <c r="D265" s="43" t="s">
        <v>93</v>
      </c>
      <c r="E265" s="43" t="s">
        <v>132</v>
      </c>
      <c r="F265" s="43" t="s">
        <v>118</v>
      </c>
      <c r="G265" s="43" t="s">
        <v>158</v>
      </c>
    </row>
    <row r="266" spans="1:7" x14ac:dyDescent="0.25">
      <c r="A266" s="43">
        <v>265</v>
      </c>
      <c r="B266" s="43" t="s">
        <v>36</v>
      </c>
      <c r="C266" s="43" t="s">
        <v>235</v>
      </c>
      <c r="D266" s="43" t="s">
        <v>81</v>
      </c>
      <c r="E266" s="43" t="s">
        <v>121</v>
      </c>
      <c r="F266" s="43" t="s">
        <v>119</v>
      </c>
      <c r="G266" s="43" t="s">
        <v>159</v>
      </c>
    </row>
    <row r="267" spans="1:7" x14ac:dyDescent="0.25">
      <c r="A267" s="43">
        <v>266</v>
      </c>
      <c r="B267" s="43" t="s">
        <v>36</v>
      </c>
      <c r="C267" s="43" t="s">
        <v>236</v>
      </c>
      <c r="D267" s="43" t="s">
        <v>83</v>
      </c>
      <c r="E267" s="43" t="s">
        <v>122</v>
      </c>
      <c r="F267" s="43" t="s">
        <v>119</v>
      </c>
      <c r="G267" s="43" t="s">
        <v>159</v>
      </c>
    </row>
    <row r="268" spans="1:7" x14ac:dyDescent="0.25">
      <c r="A268" s="43">
        <v>267</v>
      </c>
      <c r="B268" s="43" t="s">
        <v>36</v>
      </c>
      <c r="C268" s="43" t="s">
        <v>237</v>
      </c>
      <c r="D268" s="43" t="s">
        <v>84</v>
      </c>
      <c r="E268" s="43" t="s">
        <v>123</v>
      </c>
      <c r="F268" s="43" t="s">
        <v>119</v>
      </c>
      <c r="G268" s="43" t="s">
        <v>159</v>
      </c>
    </row>
    <row r="269" spans="1:7" x14ac:dyDescent="0.25">
      <c r="A269" s="43">
        <v>268</v>
      </c>
      <c r="B269" s="43" t="s">
        <v>36</v>
      </c>
      <c r="C269" s="43" t="s">
        <v>238</v>
      </c>
      <c r="D269" s="43" t="s">
        <v>85</v>
      </c>
      <c r="E269" s="43" t="s">
        <v>124</v>
      </c>
      <c r="F269" s="43" t="s">
        <v>119</v>
      </c>
      <c r="G269" s="43" t="s">
        <v>159</v>
      </c>
    </row>
    <row r="270" spans="1:7" x14ac:dyDescent="0.25">
      <c r="A270" s="43">
        <v>269</v>
      </c>
      <c r="B270" s="43" t="s">
        <v>36</v>
      </c>
      <c r="C270" s="43" t="s">
        <v>239</v>
      </c>
      <c r="D270" s="43" t="s">
        <v>86</v>
      </c>
      <c r="E270" s="43" t="s">
        <v>125</v>
      </c>
      <c r="F270" s="43" t="s">
        <v>119</v>
      </c>
      <c r="G270" s="43" t="s">
        <v>159</v>
      </c>
    </row>
    <row r="271" spans="1:7" x14ac:dyDescent="0.25">
      <c r="A271" s="43">
        <v>270</v>
      </c>
      <c r="B271" s="43" t="s">
        <v>36</v>
      </c>
      <c r="C271" s="43" t="s">
        <v>240</v>
      </c>
      <c r="D271" s="43" t="s">
        <v>87</v>
      </c>
      <c r="E271" s="43" t="s">
        <v>126</v>
      </c>
      <c r="F271" s="43" t="s">
        <v>119</v>
      </c>
      <c r="G271" s="43" t="s">
        <v>159</v>
      </c>
    </row>
    <row r="272" spans="1:7" x14ac:dyDescent="0.25">
      <c r="A272" s="43">
        <v>271</v>
      </c>
      <c r="B272" s="43" t="s">
        <v>36</v>
      </c>
      <c r="C272" s="43" t="s">
        <v>241</v>
      </c>
      <c r="D272" s="43" t="s">
        <v>88</v>
      </c>
      <c r="E272" s="43" t="s">
        <v>127</v>
      </c>
      <c r="F272" s="43" t="s">
        <v>119</v>
      </c>
      <c r="G272" s="43" t="s">
        <v>159</v>
      </c>
    </row>
    <row r="273" spans="1:7" x14ac:dyDescent="0.25">
      <c r="A273" s="43">
        <v>272</v>
      </c>
      <c r="B273" s="43" t="s">
        <v>36</v>
      </c>
      <c r="C273" s="43" t="s">
        <v>242</v>
      </c>
      <c r="D273" s="43" t="s">
        <v>89</v>
      </c>
      <c r="E273" s="43" t="s">
        <v>128</v>
      </c>
      <c r="F273" s="43" t="s">
        <v>119</v>
      </c>
      <c r="G273" s="43" t="s">
        <v>159</v>
      </c>
    </row>
    <row r="274" spans="1:7" x14ac:dyDescent="0.25">
      <c r="A274" s="43">
        <v>273</v>
      </c>
      <c r="B274" s="43" t="s">
        <v>36</v>
      </c>
      <c r="C274" s="43" t="s">
        <v>243</v>
      </c>
      <c r="D274" s="43" t="s">
        <v>90</v>
      </c>
      <c r="E274" s="43" t="s">
        <v>129</v>
      </c>
      <c r="F274" s="43" t="s">
        <v>119</v>
      </c>
      <c r="G274" s="43" t="s">
        <v>159</v>
      </c>
    </row>
    <row r="275" spans="1:7" x14ac:dyDescent="0.25">
      <c r="A275" s="43">
        <v>274</v>
      </c>
      <c r="B275" s="43" t="s">
        <v>36</v>
      </c>
      <c r="C275" s="43" t="s">
        <v>244</v>
      </c>
      <c r="D275" s="43" t="s">
        <v>91</v>
      </c>
      <c r="E275" s="43" t="s">
        <v>130</v>
      </c>
      <c r="F275" s="43" t="s">
        <v>119</v>
      </c>
      <c r="G275" s="43" t="s">
        <v>159</v>
      </c>
    </row>
    <row r="276" spans="1:7" x14ac:dyDescent="0.25">
      <c r="A276" s="43">
        <v>275</v>
      </c>
      <c r="B276" s="43" t="s">
        <v>36</v>
      </c>
      <c r="C276" s="43" t="s">
        <v>245</v>
      </c>
      <c r="D276" s="43" t="s">
        <v>92</v>
      </c>
      <c r="E276" s="43" t="s">
        <v>131</v>
      </c>
      <c r="F276" s="43" t="s">
        <v>119</v>
      </c>
      <c r="G276" s="43" t="s">
        <v>159</v>
      </c>
    </row>
    <row r="277" spans="1:7" x14ac:dyDescent="0.25">
      <c r="A277" s="43">
        <v>276</v>
      </c>
      <c r="B277" s="43" t="s">
        <v>36</v>
      </c>
      <c r="C277" s="43" t="s">
        <v>246</v>
      </c>
      <c r="D277" s="43" t="s">
        <v>93</v>
      </c>
      <c r="E277" s="43" t="s">
        <v>132</v>
      </c>
      <c r="F277" s="43" t="s">
        <v>119</v>
      </c>
      <c r="G277" s="43" t="s">
        <v>159</v>
      </c>
    </row>
    <row r="278" spans="1:7" x14ac:dyDescent="0.25">
      <c r="A278" s="43">
        <v>277</v>
      </c>
      <c r="B278" s="43" t="s">
        <v>36</v>
      </c>
      <c r="C278" s="43" t="s">
        <v>247</v>
      </c>
      <c r="D278" s="43" t="s">
        <v>81</v>
      </c>
      <c r="E278" s="43" t="s">
        <v>121</v>
      </c>
      <c r="F278" s="43" t="s">
        <v>120</v>
      </c>
      <c r="G278" s="43" t="s">
        <v>160</v>
      </c>
    </row>
    <row r="279" spans="1:7" x14ac:dyDescent="0.25">
      <c r="A279" s="43">
        <v>278</v>
      </c>
      <c r="B279" s="43" t="s">
        <v>36</v>
      </c>
      <c r="C279" s="43" t="s">
        <v>248</v>
      </c>
      <c r="D279" s="43" t="s">
        <v>83</v>
      </c>
      <c r="E279" s="43" t="s">
        <v>122</v>
      </c>
      <c r="F279" s="43" t="s">
        <v>120</v>
      </c>
      <c r="G279" s="43" t="s">
        <v>160</v>
      </c>
    </row>
    <row r="280" spans="1:7" x14ac:dyDescent="0.25">
      <c r="A280" s="43">
        <v>279</v>
      </c>
      <c r="B280" s="43" t="s">
        <v>36</v>
      </c>
      <c r="C280" s="43" t="s">
        <v>249</v>
      </c>
      <c r="D280" s="43" t="s">
        <v>84</v>
      </c>
      <c r="E280" s="43" t="s">
        <v>123</v>
      </c>
      <c r="F280" s="43" t="s">
        <v>120</v>
      </c>
      <c r="G280" s="43" t="s">
        <v>160</v>
      </c>
    </row>
    <row r="281" spans="1:7" x14ac:dyDescent="0.25">
      <c r="A281" s="43">
        <v>280</v>
      </c>
      <c r="B281" s="43" t="s">
        <v>36</v>
      </c>
      <c r="C281" s="43" t="s">
        <v>250</v>
      </c>
      <c r="D281" s="43" t="s">
        <v>85</v>
      </c>
      <c r="E281" s="43" t="s">
        <v>124</v>
      </c>
      <c r="F281" s="43" t="s">
        <v>120</v>
      </c>
      <c r="G281" s="43" t="s">
        <v>160</v>
      </c>
    </row>
    <row r="282" spans="1:7" x14ac:dyDescent="0.25">
      <c r="A282" s="43">
        <v>281</v>
      </c>
      <c r="B282" s="43" t="s">
        <v>36</v>
      </c>
      <c r="C282" s="43" t="s">
        <v>251</v>
      </c>
      <c r="D282" s="43" t="s">
        <v>86</v>
      </c>
      <c r="E282" s="43" t="s">
        <v>125</v>
      </c>
      <c r="F282" s="43" t="s">
        <v>120</v>
      </c>
      <c r="G282" s="43" t="s">
        <v>160</v>
      </c>
    </row>
    <row r="283" spans="1:7" x14ac:dyDescent="0.25">
      <c r="A283" s="43">
        <v>282</v>
      </c>
      <c r="B283" s="43" t="s">
        <v>36</v>
      </c>
      <c r="C283" s="43" t="s">
        <v>252</v>
      </c>
      <c r="D283" s="43" t="s">
        <v>87</v>
      </c>
      <c r="E283" s="43" t="s">
        <v>126</v>
      </c>
      <c r="F283" s="43" t="s">
        <v>120</v>
      </c>
      <c r="G283" s="43" t="s">
        <v>160</v>
      </c>
    </row>
    <row r="284" spans="1:7" x14ac:dyDescent="0.25">
      <c r="A284" s="43">
        <v>283</v>
      </c>
      <c r="B284" s="43" t="s">
        <v>36</v>
      </c>
      <c r="C284" s="43" t="s">
        <v>253</v>
      </c>
      <c r="D284" s="43" t="s">
        <v>88</v>
      </c>
      <c r="E284" s="43" t="s">
        <v>127</v>
      </c>
      <c r="F284" s="43" t="s">
        <v>120</v>
      </c>
      <c r="G284" s="43" t="s">
        <v>160</v>
      </c>
    </row>
    <row r="285" spans="1:7" x14ac:dyDescent="0.25">
      <c r="A285" s="43">
        <v>284</v>
      </c>
      <c r="B285" s="43" t="s">
        <v>36</v>
      </c>
      <c r="C285" s="43" t="s">
        <v>254</v>
      </c>
      <c r="D285" s="43" t="s">
        <v>89</v>
      </c>
      <c r="E285" s="43" t="s">
        <v>128</v>
      </c>
      <c r="F285" s="43" t="s">
        <v>120</v>
      </c>
      <c r="G285" s="43" t="s">
        <v>160</v>
      </c>
    </row>
    <row r="286" spans="1:7" x14ac:dyDescent="0.25">
      <c r="A286" s="43">
        <v>285</v>
      </c>
      <c r="B286" s="43" t="s">
        <v>36</v>
      </c>
      <c r="C286" s="43" t="s">
        <v>255</v>
      </c>
      <c r="D286" s="43" t="s">
        <v>90</v>
      </c>
      <c r="E286" s="43" t="s">
        <v>129</v>
      </c>
      <c r="F286" s="43" t="s">
        <v>120</v>
      </c>
      <c r="G286" s="43" t="s">
        <v>160</v>
      </c>
    </row>
    <row r="287" spans="1:7" x14ac:dyDescent="0.25">
      <c r="A287" s="43">
        <v>286</v>
      </c>
      <c r="B287" s="43" t="s">
        <v>36</v>
      </c>
      <c r="C287" s="43" t="s">
        <v>256</v>
      </c>
      <c r="D287" s="43" t="s">
        <v>91</v>
      </c>
      <c r="E287" s="43" t="s">
        <v>130</v>
      </c>
      <c r="F287" s="43" t="s">
        <v>120</v>
      </c>
      <c r="G287" s="43" t="s">
        <v>160</v>
      </c>
    </row>
    <row r="288" spans="1:7" x14ac:dyDescent="0.25">
      <c r="A288" s="43">
        <v>287</v>
      </c>
      <c r="B288" s="43" t="s">
        <v>36</v>
      </c>
      <c r="C288" s="43" t="s">
        <v>257</v>
      </c>
      <c r="D288" s="43" t="s">
        <v>92</v>
      </c>
      <c r="E288" s="43" t="s">
        <v>131</v>
      </c>
      <c r="F288" s="43" t="s">
        <v>120</v>
      </c>
      <c r="G288" s="43" t="s">
        <v>160</v>
      </c>
    </row>
    <row r="289" spans="1:7" x14ac:dyDescent="0.25">
      <c r="A289" s="44">
        <v>288</v>
      </c>
      <c r="B289" s="44" t="s">
        <v>36</v>
      </c>
      <c r="C289" s="44" t="s">
        <v>258</v>
      </c>
      <c r="D289" s="44" t="s">
        <v>93</v>
      </c>
      <c r="E289" s="44" t="s">
        <v>132</v>
      </c>
      <c r="F289" s="44" t="s">
        <v>120</v>
      </c>
      <c r="G289" s="44" t="s">
        <v>160</v>
      </c>
    </row>
    <row r="290" spans="1:7" x14ac:dyDescent="0.25">
      <c r="A290" s="43">
        <v>289</v>
      </c>
      <c r="B290" s="43" t="s">
        <v>37</v>
      </c>
      <c r="C290" s="43" t="s">
        <v>163</v>
      </c>
      <c r="D290" s="43" t="s">
        <v>101</v>
      </c>
      <c r="E290" s="43" t="s">
        <v>141</v>
      </c>
      <c r="F290" s="43" t="s">
        <v>113</v>
      </c>
      <c r="G290" s="43" t="s">
        <v>153</v>
      </c>
    </row>
    <row r="291" spans="1:7" x14ac:dyDescent="0.25">
      <c r="A291" s="43">
        <v>290</v>
      </c>
      <c r="B291" s="43" t="s">
        <v>37</v>
      </c>
      <c r="C291" s="43" t="s">
        <v>164</v>
      </c>
      <c r="D291" s="43" t="s">
        <v>102</v>
      </c>
      <c r="E291" s="43" t="s">
        <v>142</v>
      </c>
      <c r="F291" s="43" t="s">
        <v>113</v>
      </c>
      <c r="G291" s="43" t="s">
        <v>153</v>
      </c>
    </row>
    <row r="292" spans="1:7" x14ac:dyDescent="0.25">
      <c r="A292" s="43">
        <v>291</v>
      </c>
      <c r="B292" s="43" t="s">
        <v>37</v>
      </c>
      <c r="C292" s="43" t="s">
        <v>165</v>
      </c>
      <c r="D292" s="43" t="s">
        <v>103</v>
      </c>
      <c r="E292" s="43" t="s">
        <v>143</v>
      </c>
      <c r="F292" s="43" t="s">
        <v>113</v>
      </c>
      <c r="G292" s="43" t="s">
        <v>153</v>
      </c>
    </row>
    <row r="293" spans="1:7" x14ac:dyDescent="0.25">
      <c r="A293" s="43">
        <v>292</v>
      </c>
      <c r="B293" s="43" t="s">
        <v>37</v>
      </c>
      <c r="C293" s="43" t="s">
        <v>166</v>
      </c>
      <c r="D293" s="43" t="s">
        <v>104</v>
      </c>
      <c r="E293" s="43" t="s">
        <v>144</v>
      </c>
      <c r="F293" s="43" t="s">
        <v>113</v>
      </c>
      <c r="G293" s="43" t="s">
        <v>153</v>
      </c>
    </row>
    <row r="294" spans="1:7" x14ac:dyDescent="0.25">
      <c r="A294" s="43">
        <v>293</v>
      </c>
      <c r="B294" s="43" t="s">
        <v>37</v>
      </c>
      <c r="C294" s="43" t="s">
        <v>167</v>
      </c>
      <c r="D294" s="43" t="s">
        <v>105</v>
      </c>
      <c r="E294" s="43" t="s">
        <v>145</v>
      </c>
      <c r="F294" s="43" t="s">
        <v>113</v>
      </c>
      <c r="G294" s="43" t="s">
        <v>153</v>
      </c>
    </row>
    <row r="295" spans="1:7" x14ac:dyDescent="0.25">
      <c r="A295" s="43">
        <v>294</v>
      </c>
      <c r="B295" s="43" t="s">
        <v>37</v>
      </c>
      <c r="C295" s="43" t="s">
        <v>168</v>
      </c>
      <c r="D295" s="43" t="s">
        <v>106</v>
      </c>
      <c r="E295" s="43" t="s">
        <v>146</v>
      </c>
      <c r="F295" s="43" t="s">
        <v>113</v>
      </c>
      <c r="G295" s="43" t="s">
        <v>153</v>
      </c>
    </row>
    <row r="296" spans="1:7" x14ac:dyDescent="0.25">
      <c r="A296" s="43">
        <v>295</v>
      </c>
      <c r="B296" s="43" t="s">
        <v>37</v>
      </c>
      <c r="C296" s="43" t="s">
        <v>169</v>
      </c>
      <c r="D296" s="43" t="s">
        <v>107</v>
      </c>
      <c r="E296" s="43" t="s">
        <v>147</v>
      </c>
      <c r="F296" s="43" t="s">
        <v>113</v>
      </c>
      <c r="G296" s="43" t="s">
        <v>153</v>
      </c>
    </row>
    <row r="297" spans="1:7" x14ac:dyDescent="0.25">
      <c r="A297" s="43">
        <v>296</v>
      </c>
      <c r="B297" s="43" t="s">
        <v>37</v>
      </c>
      <c r="C297" s="43" t="s">
        <v>170</v>
      </c>
      <c r="D297" s="43" t="s">
        <v>108</v>
      </c>
      <c r="E297" s="43" t="s">
        <v>148</v>
      </c>
      <c r="F297" s="43" t="s">
        <v>113</v>
      </c>
      <c r="G297" s="43" t="s">
        <v>153</v>
      </c>
    </row>
    <row r="298" spans="1:7" x14ac:dyDescent="0.25">
      <c r="A298" s="43">
        <v>297</v>
      </c>
      <c r="B298" s="43" t="s">
        <v>37</v>
      </c>
      <c r="C298" s="43" t="s">
        <v>171</v>
      </c>
      <c r="D298" s="43" t="s">
        <v>109</v>
      </c>
      <c r="E298" s="43" t="s">
        <v>149</v>
      </c>
      <c r="F298" s="43" t="s">
        <v>113</v>
      </c>
      <c r="G298" s="43" t="s">
        <v>153</v>
      </c>
    </row>
    <row r="299" spans="1:7" x14ac:dyDescent="0.25">
      <c r="A299" s="43">
        <v>298</v>
      </c>
      <c r="B299" s="43" t="s">
        <v>37</v>
      </c>
      <c r="C299" s="43" t="s">
        <v>172</v>
      </c>
      <c r="D299" s="43" t="s">
        <v>110</v>
      </c>
      <c r="E299" s="43" t="s">
        <v>150</v>
      </c>
      <c r="F299" s="43" t="s">
        <v>113</v>
      </c>
      <c r="G299" s="43" t="s">
        <v>153</v>
      </c>
    </row>
    <row r="300" spans="1:7" x14ac:dyDescent="0.25">
      <c r="A300" s="43">
        <v>299</v>
      </c>
      <c r="B300" s="43" t="s">
        <v>37</v>
      </c>
      <c r="C300" s="43" t="s">
        <v>173</v>
      </c>
      <c r="D300" s="43" t="s">
        <v>111</v>
      </c>
      <c r="E300" s="43" t="s">
        <v>151</v>
      </c>
      <c r="F300" s="43" t="s">
        <v>113</v>
      </c>
      <c r="G300" s="43" t="s">
        <v>153</v>
      </c>
    </row>
    <row r="301" spans="1:7" x14ac:dyDescent="0.25">
      <c r="A301" s="43">
        <v>300</v>
      </c>
      <c r="B301" s="43" t="s">
        <v>37</v>
      </c>
      <c r="C301" s="43" t="s">
        <v>174</v>
      </c>
      <c r="D301" s="43" t="s">
        <v>112</v>
      </c>
      <c r="E301" s="43" t="s">
        <v>152</v>
      </c>
      <c r="F301" s="43" t="s">
        <v>113</v>
      </c>
      <c r="G301" s="43" t="s">
        <v>153</v>
      </c>
    </row>
    <row r="302" spans="1:7" x14ac:dyDescent="0.25">
      <c r="A302" s="43">
        <v>301</v>
      </c>
      <c r="B302" s="43" t="s">
        <v>37</v>
      </c>
      <c r="C302" s="43" t="s">
        <v>175</v>
      </c>
      <c r="D302" s="43" t="s">
        <v>101</v>
      </c>
      <c r="E302" s="43" t="s">
        <v>141</v>
      </c>
      <c r="F302" s="43" t="s">
        <v>114</v>
      </c>
      <c r="G302" s="43" t="s">
        <v>154</v>
      </c>
    </row>
    <row r="303" spans="1:7" x14ac:dyDescent="0.25">
      <c r="A303" s="43">
        <v>302</v>
      </c>
      <c r="B303" s="43" t="s">
        <v>37</v>
      </c>
      <c r="C303" s="43" t="s">
        <v>176</v>
      </c>
      <c r="D303" s="43" t="s">
        <v>102</v>
      </c>
      <c r="E303" s="43" t="s">
        <v>142</v>
      </c>
      <c r="F303" s="43" t="s">
        <v>114</v>
      </c>
      <c r="G303" s="43" t="s">
        <v>154</v>
      </c>
    </row>
    <row r="304" spans="1:7" x14ac:dyDescent="0.25">
      <c r="A304" s="43">
        <v>303</v>
      </c>
      <c r="B304" s="43" t="s">
        <v>37</v>
      </c>
      <c r="C304" s="43" t="s">
        <v>177</v>
      </c>
      <c r="D304" s="43" t="s">
        <v>103</v>
      </c>
      <c r="E304" s="43" t="s">
        <v>143</v>
      </c>
      <c r="F304" s="43" t="s">
        <v>114</v>
      </c>
      <c r="G304" s="43" t="s">
        <v>154</v>
      </c>
    </row>
    <row r="305" spans="1:7" x14ac:dyDescent="0.25">
      <c r="A305" s="43">
        <v>304</v>
      </c>
      <c r="B305" s="43" t="s">
        <v>37</v>
      </c>
      <c r="C305" s="43" t="s">
        <v>178</v>
      </c>
      <c r="D305" s="43" t="s">
        <v>104</v>
      </c>
      <c r="E305" s="43" t="s">
        <v>144</v>
      </c>
      <c r="F305" s="43" t="s">
        <v>114</v>
      </c>
      <c r="G305" s="43" t="s">
        <v>154</v>
      </c>
    </row>
    <row r="306" spans="1:7" x14ac:dyDescent="0.25">
      <c r="A306" s="43">
        <v>305</v>
      </c>
      <c r="B306" s="43" t="s">
        <v>37</v>
      </c>
      <c r="C306" s="43" t="s">
        <v>179</v>
      </c>
      <c r="D306" s="43" t="s">
        <v>105</v>
      </c>
      <c r="E306" s="43" t="s">
        <v>145</v>
      </c>
      <c r="F306" s="43" t="s">
        <v>114</v>
      </c>
      <c r="G306" s="43" t="s">
        <v>154</v>
      </c>
    </row>
    <row r="307" spans="1:7" x14ac:dyDescent="0.25">
      <c r="A307" s="43">
        <v>306</v>
      </c>
      <c r="B307" s="43" t="s">
        <v>37</v>
      </c>
      <c r="C307" s="43" t="s">
        <v>180</v>
      </c>
      <c r="D307" s="43" t="s">
        <v>106</v>
      </c>
      <c r="E307" s="43" t="s">
        <v>146</v>
      </c>
      <c r="F307" s="43" t="s">
        <v>114</v>
      </c>
      <c r="G307" s="43" t="s">
        <v>154</v>
      </c>
    </row>
    <row r="308" spans="1:7" x14ac:dyDescent="0.25">
      <c r="A308" s="43">
        <v>307</v>
      </c>
      <c r="B308" s="43" t="s">
        <v>37</v>
      </c>
      <c r="C308" s="43" t="s">
        <v>181</v>
      </c>
      <c r="D308" s="43" t="s">
        <v>107</v>
      </c>
      <c r="E308" s="43" t="s">
        <v>147</v>
      </c>
      <c r="F308" s="43" t="s">
        <v>114</v>
      </c>
      <c r="G308" s="43" t="s">
        <v>154</v>
      </c>
    </row>
    <row r="309" spans="1:7" x14ac:dyDescent="0.25">
      <c r="A309" s="43">
        <v>308</v>
      </c>
      <c r="B309" s="43" t="s">
        <v>37</v>
      </c>
      <c r="C309" s="43" t="s">
        <v>182</v>
      </c>
      <c r="D309" s="43" t="s">
        <v>108</v>
      </c>
      <c r="E309" s="43" t="s">
        <v>148</v>
      </c>
      <c r="F309" s="43" t="s">
        <v>114</v>
      </c>
      <c r="G309" s="43" t="s">
        <v>154</v>
      </c>
    </row>
    <row r="310" spans="1:7" x14ac:dyDescent="0.25">
      <c r="A310" s="43">
        <v>309</v>
      </c>
      <c r="B310" s="43" t="s">
        <v>37</v>
      </c>
      <c r="C310" s="43" t="s">
        <v>183</v>
      </c>
      <c r="D310" s="43" t="s">
        <v>109</v>
      </c>
      <c r="E310" s="43" t="s">
        <v>149</v>
      </c>
      <c r="F310" s="43" t="s">
        <v>114</v>
      </c>
      <c r="G310" s="43" t="s">
        <v>154</v>
      </c>
    </row>
    <row r="311" spans="1:7" x14ac:dyDescent="0.25">
      <c r="A311" s="43">
        <v>310</v>
      </c>
      <c r="B311" s="43" t="s">
        <v>37</v>
      </c>
      <c r="C311" s="43" t="s">
        <v>184</v>
      </c>
      <c r="D311" s="43" t="s">
        <v>110</v>
      </c>
      <c r="E311" s="43" t="s">
        <v>150</v>
      </c>
      <c r="F311" s="43" t="s">
        <v>114</v>
      </c>
      <c r="G311" s="43" t="s">
        <v>154</v>
      </c>
    </row>
    <row r="312" spans="1:7" x14ac:dyDescent="0.25">
      <c r="A312" s="43">
        <v>311</v>
      </c>
      <c r="B312" s="43" t="s">
        <v>37</v>
      </c>
      <c r="C312" s="43" t="s">
        <v>185</v>
      </c>
      <c r="D312" s="43" t="s">
        <v>111</v>
      </c>
      <c r="E312" s="43" t="s">
        <v>151</v>
      </c>
      <c r="F312" s="43" t="s">
        <v>114</v>
      </c>
      <c r="G312" s="43" t="s">
        <v>154</v>
      </c>
    </row>
    <row r="313" spans="1:7" x14ac:dyDescent="0.25">
      <c r="A313" s="43">
        <v>312</v>
      </c>
      <c r="B313" s="43" t="s">
        <v>37</v>
      </c>
      <c r="C313" s="43" t="s">
        <v>186</v>
      </c>
      <c r="D313" s="43" t="s">
        <v>112</v>
      </c>
      <c r="E313" s="43" t="s">
        <v>152</v>
      </c>
      <c r="F313" s="43" t="s">
        <v>114</v>
      </c>
      <c r="G313" s="43" t="s">
        <v>154</v>
      </c>
    </row>
    <row r="314" spans="1:7" x14ac:dyDescent="0.25">
      <c r="A314" s="43">
        <v>313</v>
      </c>
      <c r="B314" s="43" t="s">
        <v>37</v>
      </c>
      <c r="C314" s="43" t="s">
        <v>187</v>
      </c>
      <c r="D314" s="43" t="s">
        <v>101</v>
      </c>
      <c r="E314" s="43" t="s">
        <v>141</v>
      </c>
      <c r="F314" s="43" t="s">
        <v>115</v>
      </c>
      <c r="G314" s="43" t="s">
        <v>155</v>
      </c>
    </row>
    <row r="315" spans="1:7" x14ac:dyDescent="0.25">
      <c r="A315" s="43">
        <v>314</v>
      </c>
      <c r="B315" s="43" t="s">
        <v>37</v>
      </c>
      <c r="C315" s="43" t="s">
        <v>188</v>
      </c>
      <c r="D315" s="43" t="s">
        <v>102</v>
      </c>
      <c r="E315" s="43" t="s">
        <v>142</v>
      </c>
      <c r="F315" s="43" t="s">
        <v>115</v>
      </c>
      <c r="G315" s="43" t="s">
        <v>155</v>
      </c>
    </row>
    <row r="316" spans="1:7" x14ac:dyDescent="0.25">
      <c r="A316" s="43">
        <v>315</v>
      </c>
      <c r="B316" s="43" t="s">
        <v>37</v>
      </c>
      <c r="C316" s="43" t="s">
        <v>189</v>
      </c>
      <c r="D316" s="43" t="s">
        <v>103</v>
      </c>
      <c r="E316" s="43" t="s">
        <v>143</v>
      </c>
      <c r="F316" s="43" t="s">
        <v>115</v>
      </c>
      <c r="G316" s="43" t="s">
        <v>155</v>
      </c>
    </row>
    <row r="317" spans="1:7" x14ac:dyDescent="0.25">
      <c r="A317" s="43">
        <v>316</v>
      </c>
      <c r="B317" s="43" t="s">
        <v>37</v>
      </c>
      <c r="C317" s="43" t="s">
        <v>190</v>
      </c>
      <c r="D317" s="43" t="s">
        <v>104</v>
      </c>
      <c r="E317" s="43" t="s">
        <v>144</v>
      </c>
      <c r="F317" s="43" t="s">
        <v>115</v>
      </c>
      <c r="G317" s="43" t="s">
        <v>155</v>
      </c>
    </row>
    <row r="318" spans="1:7" x14ac:dyDescent="0.25">
      <c r="A318" s="43">
        <v>317</v>
      </c>
      <c r="B318" s="43" t="s">
        <v>37</v>
      </c>
      <c r="C318" s="43" t="s">
        <v>191</v>
      </c>
      <c r="D318" s="43" t="s">
        <v>105</v>
      </c>
      <c r="E318" s="43" t="s">
        <v>145</v>
      </c>
      <c r="F318" s="43" t="s">
        <v>115</v>
      </c>
      <c r="G318" s="43" t="s">
        <v>155</v>
      </c>
    </row>
    <row r="319" spans="1:7" x14ac:dyDescent="0.25">
      <c r="A319" s="43">
        <v>318</v>
      </c>
      <c r="B319" s="43" t="s">
        <v>37</v>
      </c>
      <c r="C319" s="43" t="s">
        <v>192</v>
      </c>
      <c r="D319" s="43" t="s">
        <v>106</v>
      </c>
      <c r="E319" s="43" t="s">
        <v>146</v>
      </c>
      <c r="F319" s="43" t="s">
        <v>115</v>
      </c>
      <c r="G319" s="43" t="s">
        <v>155</v>
      </c>
    </row>
    <row r="320" spans="1:7" x14ac:dyDescent="0.25">
      <c r="A320" s="43">
        <v>319</v>
      </c>
      <c r="B320" s="43" t="s">
        <v>37</v>
      </c>
      <c r="C320" s="43" t="s">
        <v>193</v>
      </c>
      <c r="D320" s="43" t="s">
        <v>107</v>
      </c>
      <c r="E320" s="43" t="s">
        <v>147</v>
      </c>
      <c r="F320" s="43" t="s">
        <v>115</v>
      </c>
      <c r="G320" s="43" t="s">
        <v>155</v>
      </c>
    </row>
    <row r="321" spans="1:7" x14ac:dyDescent="0.25">
      <c r="A321" s="43">
        <v>320</v>
      </c>
      <c r="B321" s="43" t="s">
        <v>37</v>
      </c>
      <c r="C321" s="43" t="s">
        <v>194</v>
      </c>
      <c r="D321" s="43" t="s">
        <v>108</v>
      </c>
      <c r="E321" s="43" t="s">
        <v>148</v>
      </c>
      <c r="F321" s="43" t="s">
        <v>115</v>
      </c>
      <c r="G321" s="43" t="s">
        <v>155</v>
      </c>
    </row>
    <row r="322" spans="1:7" x14ac:dyDescent="0.25">
      <c r="A322" s="43">
        <v>321</v>
      </c>
      <c r="B322" s="43" t="s">
        <v>37</v>
      </c>
      <c r="C322" s="43" t="s">
        <v>195</v>
      </c>
      <c r="D322" s="43" t="s">
        <v>109</v>
      </c>
      <c r="E322" s="43" t="s">
        <v>149</v>
      </c>
      <c r="F322" s="43" t="s">
        <v>115</v>
      </c>
      <c r="G322" s="43" t="s">
        <v>155</v>
      </c>
    </row>
    <row r="323" spans="1:7" x14ac:dyDescent="0.25">
      <c r="A323" s="43">
        <v>322</v>
      </c>
      <c r="B323" s="43" t="s">
        <v>37</v>
      </c>
      <c r="C323" s="43" t="s">
        <v>196</v>
      </c>
      <c r="D323" s="43" t="s">
        <v>110</v>
      </c>
      <c r="E323" s="43" t="s">
        <v>150</v>
      </c>
      <c r="F323" s="43" t="s">
        <v>115</v>
      </c>
      <c r="G323" s="43" t="s">
        <v>155</v>
      </c>
    </row>
    <row r="324" spans="1:7" x14ac:dyDescent="0.25">
      <c r="A324" s="43">
        <v>323</v>
      </c>
      <c r="B324" s="43" t="s">
        <v>37</v>
      </c>
      <c r="C324" s="43" t="s">
        <v>197</v>
      </c>
      <c r="D324" s="43" t="s">
        <v>111</v>
      </c>
      <c r="E324" s="43" t="s">
        <v>151</v>
      </c>
      <c r="F324" s="43" t="s">
        <v>115</v>
      </c>
      <c r="G324" s="43" t="s">
        <v>155</v>
      </c>
    </row>
    <row r="325" spans="1:7" x14ac:dyDescent="0.25">
      <c r="A325" s="43">
        <v>324</v>
      </c>
      <c r="B325" s="43" t="s">
        <v>37</v>
      </c>
      <c r="C325" s="43" t="s">
        <v>198</v>
      </c>
      <c r="D325" s="43" t="s">
        <v>112</v>
      </c>
      <c r="E325" s="43" t="s">
        <v>152</v>
      </c>
      <c r="F325" s="43" t="s">
        <v>115</v>
      </c>
      <c r="G325" s="43" t="s">
        <v>155</v>
      </c>
    </row>
    <row r="326" spans="1:7" x14ac:dyDescent="0.25">
      <c r="A326" s="43">
        <v>325</v>
      </c>
      <c r="B326" s="43" t="s">
        <v>37</v>
      </c>
      <c r="C326" s="43" t="s">
        <v>199</v>
      </c>
      <c r="D326" s="43" t="s">
        <v>101</v>
      </c>
      <c r="E326" s="43" t="s">
        <v>141</v>
      </c>
      <c r="F326" s="43" t="s">
        <v>116</v>
      </c>
      <c r="G326" s="43" t="s">
        <v>156</v>
      </c>
    </row>
    <row r="327" spans="1:7" x14ac:dyDescent="0.25">
      <c r="A327" s="43">
        <v>326</v>
      </c>
      <c r="B327" s="43" t="s">
        <v>37</v>
      </c>
      <c r="C327" s="43" t="s">
        <v>200</v>
      </c>
      <c r="D327" s="43" t="s">
        <v>102</v>
      </c>
      <c r="E327" s="43" t="s">
        <v>142</v>
      </c>
      <c r="F327" s="43" t="s">
        <v>116</v>
      </c>
      <c r="G327" s="43" t="s">
        <v>156</v>
      </c>
    </row>
    <row r="328" spans="1:7" x14ac:dyDescent="0.25">
      <c r="A328" s="43">
        <v>327</v>
      </c>
      <c r="B328" s="43" t="s">
        <v>37</v>
      </c>
      <c r="C328" s="43" t="s">
        <v>201</v>
      </c>
      <c r="D328" s="43" t="s">
        <v>103</v>
      </c>
      <c r="E328" s="43" t="s">
        <v>143</v>
      </c>
      <c r="F328" s="43" t="s">
        <v>116</v>
      </c>
      <c r="G328" s="43" t="s">
        <v>156</v>
      </c>
    </row>
    <row r="329" spans="1:7" x14ac:dyDescent="0.25">
      <c r="A329" s="43">
        <v>328</v>
      </c>
      <c r="B329" s="43" t="s">
        <v>37</v>
      </c>
      <c r="C329" s="43" t="s">
        <v>202</v>
      </c>
      <c r="D329" s="43" t="s">
        <v>104</v>
      </c>
      <c r="E329" s="43" t="s">
        <v>144</v>
      </c>
      <c r="F329" s="43" t="s">
        <v>116</v>
      </c>
      <c r="G329" s="43" t="s">
        <v>156</v>
      </c>
    </row>
    <row r="330" spans="1:7" x14ac:dyDescent="0.25">
      <c r="A330" s="43">
        <v>329</v>
      </c>
      <c r="B330" s="43" t="s">
        <v>37</v>
      </c>
      <c r="C330" s="43" t="s">
        <v>203</v>
      </c>
      <c r="D330" s="43" t="s">
        <v>105</v>
      </c>
      <c r="E330" s="43" t="s">
        <v>145</v>
      </c>
      <c r="F330" s="43" t="s">
        <v>116</v>
      </c>
      <c r="G330" s="43" t="s">
        <v>156</v>
      </c>
    </row>
    <row r="331" spans="1:7" x14ac:dyDescent="0.25">
      <c r="A331" s="43">
        <v>330</v>
      </c>
      <c r="B331" s="43" t="s">
        <v>37</v>
      </c>
      <c r="C331" s="43" t="s">
        <v>204</v>
      </c>
      <c r="D331" s="43" t="s">
        <v>106</v>
      </c>
      <c r="E331" s="43" t="s">
        <v>146</v>
      </c>
      <c r="F331" s="43" t="s">
        <v>116</v>
      </c>
      <c r="G331" s="43" t="s">
        <v>156</v>
      </c>
    </row>
    <row r="332" spans="1:7" x14ac:dyDescent="0.25">
      <c r="A332" s="43">
        <v>331</v>
      </c>
      <c r="B332" s="43" t="s">
        <v>37</v>
      </c>
      <c r="C332" s="43" t="s">
        <v>205</v>
      </c>
      <c r="D332" s="43" t="s">
        <v>107</v>
      </c>
      <c r="E332" s="43" t="s">
        <v>147</v>
      </c>
      <c r="F332" s="43" t="s">
        <v>116</v>
      </c>
      <c r="G332" s="43" t="s">
        <v>156</v>
      </c>
    </row>
    <row r="333" spans="1:7" x14ac:dyDescent="0.25">
      <c r="A333" s="43">
        <v>332</v>
      </c>
      <c r="B333" s="43" t="s">
        <v>37</v>
      </c>
      <c r="C333" s="43" t="s">
        <v>206</v>
      </c>
      <c r="D333" s="43" t="s">
        <v>108</v>
      </c>
      <c r="E333" s="43" t="s">
        <v>148</v>
      </c>
      <c r="F333" s="43" t="s">
        <v>116</v>
      </c>
      <c r="G333" s="43" t="s">
        <v>156</v>
      </c>
    </row>
    <row r="334" spans="1:7" x14ac:dyDescent="0.25">
      <c r="A334" s="43">
        <v>333</v>
      </c>
      <c r="B334" s="43" t="s">
        <v>37</v>
      </c>
      <c r="C334" s="43" t="s">
        <v>207</v>
      </c>
      <c r="D334" s="43" t="s">
        <v>109</v>
      </c>
      <c r="E334" s="43" t="s">
        <v>149</v>
      </c>
      <c r="F334" s="43" t="s">
        <v>116</v>
      </c>
      <c r="G334" s="43" t="s">
        <v>156</v>
      </c>
    </row>
    <row r="335" spans="1:7" x14ac:dyDescent="0.25">
      <c r="A335" s="43">
        <v>334</v>
      </c>
      <c r="B335" s="43" t="s">
        <v>37</v>
      </c>
      <c r="C335" s="43" t="s">
        <v>208</v>
      </c>
      <c r="D335" s="43" t="s">
        <v>110</v>
      </c>
      <c r="E335" s="43" t="s">
        <v>150</v>
      </c>
      <c r="F335" s="43" t="s">
        <v>116</v>
      </c>
      <c r="G335" s="43" t="s">
        <v>156</v>
      </c>
    </row>
    <row r="336" spans="1:7" x14ac:dyDescent="0.25">
      <c r="A336" s="43">
        <v>335</v>
      </c>
      <c r="B336" s="43" t="s">
        <v>37</v>
      </c>
      <c r="C336" s="43" t="s">
        <v>209</v>
      </c>
      <c r="D336" s="43" t="s">
        <v>111</v>
      </c>
      <c r="E336" s="43" t="s">
        <v>151</v>
      </c>
      <c r="F336" s="43" t="s">
        <v>116</v>
      </c>
      <c r="G336" s="43" t="s">
        <v>156</v>
      </c>
    </row>
    <row r="337" spans="1:7" x14ac:dyDescent="0.25">
      <c r="A337" s="43">
        <v>336</v>
      </c>
      <c r="B337" s="43" t="s">
        <v>37</v>
      </c>
      <c r="C337" s="43" t="s">
        <v>210</v>
      </c>
      <c r="D337" s="43" t="s">
        <v>112</v>
      </c>
      <c r="E337" s="43" t="s">
        <v>152</v>
      </c>
      <c r="F337" s="43" t="s">
        <v>116</v>
      </c>
      <c r="G337" s="43" t="s">
        <v>156</v>
      </c>
    </row>
    <row r="338" spans="1:7" x14ac:dyDescent="0.25">
      <c r="A338" s="43">
        <v>337</v>
      </c>
      <c r="B338" s="43" t="s">
        <v>37</v>
      </c>
      <c r="C338" s="43" t="s">
        <v>211</v>
      </c>
      <c r="D338" s="43" t="s">
        <v>101</v>
      </c>
      <c r="E338" s="43" t="s">
        <v>141</v>
      </c>
      <c r="F338" s="43" t="s">
        <v>117</v>
      </c>
      <c r="G338" s="43" t="s">
        <v>157</v>
      </c>
    </row>
    <row r="339" spans="1:7" x14ac:dyDescent="0.25">
      <c r="A339" s="43">
        <v>338</v>
      </c>
      <c r="B339" s="43" t="s">
        <v>37</v>
      </c>
      <c r="C339" s="43" t="s">
        <v>212</v>
      </c>
      <c r="D339" s="43" t="s">
        <v>102</v>
      </c>
      <c r="E339" s="43" t="s">
        <v>142</v>
      </c>
      <c r="F339" s="43" t="s">
        <v>117</v>
      </c>
      <c r="G339" s="43" t="s">
        <v>157</v>
      </c>
    </row>
    <row r="340" spans="1:7" x14ac:dyDescent="0.25">
      <c r="A340" s="43">
        <v>339</v>
      </c>
      <c r="B340" s="43" t="s">
        <v>37</v>
      </c>
      <c r="C340" s="43" t="s">
        <v>213</v>
      </c>
      <c r="D340" s="43" t="s">
        <v>103</v>
      </c>
      <c r="E340" s="43" t="s">
        <v>143</v>
      </c>
      <c r="F340" s="43" t="s">
        <v>117</v>
      </c>
      <c r="G340" s="43" t="s">
        <v>157</v>
      </c>
    </row>
    <row r="341" spans="1:7" x14ac:dyDescent="0.25">
      <c r="A341" s="43">
        <v>340</v>
      </c>
      <c r="B341" s="43" t="s">
        <v>37</v>
      </c>
      <c r="C341" s="43" t="s">
        <v>214</v>
      </c>
      <c r="D341" s="43" t="s">
        <v>104</v>
      </c>
      <c r="E341" s="43" t="s">
        <v>144</v>
      </c>
      <c r="F341" s="43" t="s">
        <v>117</v>
      </c>
      <c r="G341" s="43" t="s">
        <v>157</v>
      </c>
    </row>
    <row r="342" spans="1:7" x14ac:dyDescent="0.25">
      <c r="A342" s="43">
        <v>341</v>
      </c>
      <c r="B342" s="43" t="s">
        <v>37</v>
      </c>
      <c r="C342" s="43" t="s">
        <v>215</v>
      </c>
      <c r="D342" s="43" t="s">
        <v>105</v>
      </c>
      <c r="E342" s="43" t="s">
        <v>145</v>
      </c>
      <c r="F342" s="43" t="s">
        <v>117</v>
      </c>
      <c r="G342" s="43" t="s">
        <v>157</v>
      </c>
    </row>
    <row r="343" spans="1:7" x14ac:dyDescent="0.25">
      <c r="A343" s="43">
        <v>342</v>
      </c>
      <c r="B343" s="43" t="s">
        <v>37</v>
      </c>
      <c r="C343" s="43" t="s">
        <v>216</v>
      </c>
      <c r="D343" s="43" t="s">
        <v>106</v>
      </c>
      <c r="E343" s="43" t="s">
        <v>146</v>
      </c>
      <c r="F343" s="43" t="s">
        <v>117</v>
      </c>
      <c r="G343" s="43" t="s">
        <v>157</v>
      </c>
    </row>
    <row r="344" spans="1:7" x14ac:dyDescent="0.25">
      <c r="A344" s="43">
        <v>343</v>
      </c>
      <c r="B344" s="43" t="s">
        <v>37</v>
      </c>
      <c r="C344" s="43" t="s">
        <v>217</v>
      </c>
      <c r="D344" s="43" t="s">
        <v>107</v>
      </c>
      <c r="E344" s="43" t="s">
        <v>147</v>
      </c>
      <c r="F344" s="43" t="s">
        <v>117</v>
      </c>
      <c r="G344" s="43" t="s">
        <v>157</v>
      </c>
    </row>
    <row r="345" spans="1:7" x14ac:dyDescent="0.25">
      <c r="A345" s="43">
        <v>344</v>
      </c>
      <c r="B345" s="43" t="s">
        <v>37</v>
      </c>
      <c r="C345" s="43" t="s">
        <v>218</v>
      </c>
      <c r="D345" s="43" t="s">
        <v>108</v>
      </c>
      <c r="E345" s="43" t="s">
        <v>148</v>
      </c>
      <c r="F345" s="43" t="s">
        <v>117</v>
      </c>
      <c r="G345" s="43" t="s">
        <v>157</v>
      </c>
    </row>
    <row r="346" spans="1:7" x14ac:dyDescent="0.25">
      <c r="A346" s="43">
        <v>345</v>
      </c>
      <c r="B346" s="43" t="s">
        <v>37</v>
      </c>
      <c r="C346" s="43" t="s">
        <v>219</v>
      </c>
      <c r="D346" s="43" t="s">
        <v>109</v>
      </c>
      <c r="E346" s="43" t="s">
        <v>149</v>
      </c>
      <c r="F346" s="43" t="s">
        <v>117</v>
      </c>
      <c r="G346" s="43" t="s">
        <v>157</v>
      </c>
    </row>
    <row r="347" spans="1:7" x14ac:dyDescent="0.25">
      <c r="A347" s="43">
        <v>346</v>
      </c>
      <c r="B347" s="43" t="s">
        <v>37</v>
      </c>
      <c r="C347" s="43" t="s">
        <v>220</v>
      </c>
      <c r="D347" s="43" t="s">
        <v>110</v>
      </c>
      <c r="E347" s="43" t="s">
        <v>150</v>
      </c>
      <c r="F347" s="43" t="s">
        <v>117</v>
      </c>
      <c r="G347" s="43" t="s">
        <v>157</v>
      </c>
    </row>
    <row r="348" spans="1:7" x14ac:dyDescent="0.25">
      <c r="A348" s="43">
        <v>347</v>
      </c>
      <c r="B348" s="43" t="s">
        <v>37</v>
      </c>
      <c r="C348" s="43" t="s">
        <v>221</v>
      </c>
      <c r="D348" s="43" t="s">
        <v>111</v>
      </c>
      <c r="E348" s="43" t="s">
        <v>151</v>
      </c>
      <c r="F348" s="43" t="s">
        <v>117</v>
      </c>
      <c r="G348" s="43" t="s">
        <v>157</v>
      </c>
    </row>
    <row r="349" spans="1:7" x14ac:dyDescent="0.25">
      <c r="A349" s="43">
        <v>348</v>
      </c>
      <c r="B349" s="43" t="s">
        <v>37</v>
      </c>
      <c r="C349" s="43" t="s">
        <v>222</v>
      </c>
      <c r="D349" s="43" t="s">
        <v>112</v>
      </c>
      <c r="E349" s="43" t="s">
        <v>152</v>
      </c>
      <c r="F349" s="43" t="s">
        <v>117</v>
      </c>
      <c r="G349" s="43" t="s">
        <v>157</v>
      </c>
    </row>
    <row r="350" spans="1:7" x14ac:dyDescent="0.25">
      <c r="A350" s="43">
        <v>349</v>
      </c>
      <c r="B350" s="43" t="s">
        <v>37</v>
      </c>
      <c r="C350" s="43" t="s">
        <v>223</v>
      </c>
      <c r="D350" s="43" t="s">
        <v>101</v>
      </c>
      <c r="E350" s="43" t="s">
        <v>141</v>
      </c>
      <c r="F350" s="43" t="s">
        <v>118</v>
      </c>
      <c r="G350" s="43" t="s">
        <v>158</v>
      </c>
    </row>
    <row r="351" spans="1:7" x14ac:dyDescent="0.25">
      <c r="A351" s="43">
        <v>350</v>
      </c>
      <c r="B351" s="43" t="s">
        <v>37</v>
      </c>
      <c r="C351" s="43" t="s">
        <v>224</v>
      </c>
      <c r="D351" s="43" t="s">
        <v>102</v>
      </c>
      <c r="E351" s="43" t="s">
        <v>142</v>
      </c>
      <c r="F351" s="43" t="s">
        <v>118</v>
      </c>
      <c r="G351" s="43" t="s">
        <v>158</v>
      </c>
    </row>
    <row r="352" spans="1:7" x14ac:dyDescent="0.25">
      <c r="A352" s="43">
        <v>351</v>
      </c>
      <c r="B352" s="43" t="s">
        <v>37</v>
      </c>
      <c r="C352" s="43" t="s">
        <v>225</v>
      </c>
      <c r="D352" s="43" t="s">
        <v>103</v>
      </c>
      <c r="E352" s="43" t="s">
        <v>143</v>
      </c>
      <c r="F352" s="43" t="s">
        <v>118</v>
      </c>
      <c r="G352" s="43" t="s">
        <v>158</v>
      </c>
    </row>
    <row r="353" spans="1:7" x14ac:dyDescent="0.25">
      <c r="A353" s="43">
        <v>352</v>
      </c>
      <c r="B353" s="43" t="s">
        <v>37</v>
      </c>
      <c r="C353" s="43" t="s">
        <v>226</v>
      </c>
      <c r="D353" s="43" t="s">
        <v>104</v>
      </c>
      <c r="E353" s="43" t="s">
        <v>144</v>
      </c>
      <c r="F353" s="43" t="s">
        <v>118</v>
      </c>
      <c r="G353" s="43" t="s">
        <v>158</v>
      </c>
    </row>
    <row r="354" spans="1:7" x14ac:dyDescent="0.25">
      <c r="A354" s="43">
        <v>353</v>
      </c>
      <c r="B354" s="43" t="s">
        <v>37</v>
      </c>
      <c r="C354" s="43" t="s">
        <v>227</v>
      </c>
      <c r="D354" s="43" t="s">
        <v>105</v>
      </c>
      <c r="E354" s="43" t="s">
        <v>145</v>
      </c>
      <c r="F354" s="43" t="s">
        <v>118</v>
      </c>
      <c r="G354" s="43" t="s">
        <v>158</v>
      </c>
    </row>
    <row r="355" spans="1:7" x14ac:dyDescent="0.25">
      <c r="A355" s="43">
        <v>354</v>
      </c>
      <c r="B355" s="43" t="s">
        <v>37</v>
      </c>
      <c r="C355" s="43" t="s">
        <v>228</v>
      </c>
      <c r="D355" s="43" t="s">
        <v>106</v>
      </c>
      <c r="E355" s="43" t="s">
        <v>146</v>
      </c>
      <c r="F355" s="43" t="s">
        <v>118</v>
      </c>
      <c r="G355" s="43" t="s">
        <v>158</v>
      </c>
    </row>
    <row r="356" spans="1:7" x14ac:dyDescent="0.25">
      <c r="A356" s="43">
        <v>355</v>
      </c>
      <c r="B356" s="43" t="s">
        <v>37</v>
      </c>
      <c r="C356" s="43" t="s">
        <v>229</v>
      </c>
      <c r="D356" s="43" t="s">
        <v>107</v>
      </c>
      <c r="E356" s="43" t="s">
        <v>147</v>
      </c>
      <c r="F356" s="43" t="s">
        <v>118</v>
      </c>
      <c r="G356" s="43" t="s">
        <v>158</v>
      </c>
    </row>
    <row r="357" spans="1:7" x14ac:dyDescent="0.25">
      <c r="A357" s="43">
        <v>356</v>
      </c>
      <c r="B357" s="43" t="s">
        <v>37</v>
      </c>
      <c r="C357" s="43" t="s">
        <v>230</v>
      </c>
      <c r="D357" s="43" t="s">
        <v>108</v>
      </c>
      <c r="E357" s="43" t="s">
        <v>148</v>
      </c>
      <c r="F357" s="43" t="s">
        <v>118</v>
      </c>
      <c r="G357" s="43" t="s">
        <v>158</v>
      </c>
    </row>
    <row r="358" spans="1:7" x14ac:dyDescent="0.25">
      <c r="A358" s="43">
        <v>357</v>
      </c>
      <c r="B358" s="43" t="s">
        <v>37</v>
      </c>
      <c r="C358" s="43" t="s">
        <v>231</v>
      </c>
      <c r="D358" s="43" t="s">
        <v>109</v>
      </c>
      <c r="E358" s="43" t="s">
        <v>149</v>
      </c>
      <c r="F358" s="43" t="s">
        <v>118</v>
      </c>
      <c r="G358" s="43" t="s">
        <v>158</v>
      </c>
    </row>
    <row r="359" spans="1:7" x14ac:dyDescent="0.25">
      <c r="A359" s="43">
        <v>358</v>
      </c>
      <c r="B359" s="43" t="s">
        <v>37</v>
      </c>
      <c r="C359" s="43" t="s">
        <v>232</v>
      </c>
      <c r="D359" s="43" t="s">
        <v>110</v>
      </c>
      <c r="E359" s="43" t="s">
        <v>150</v>
      </c>
      <c r="F359" s="43" t="s">
        <v>118</v>
      </c>
      <c r="G359" s="43" t="s">
        <v>158</v>
      </c>
    </row>
    <row r="360" spans="1:7" x14ac:dyDescent="0.25">
      <c r="A360" s="43">
        <v>359</v>
      </c>
      <c r="B360" s="43" t="s">
        <v>37</v>
      </c>
      <c r="C360" s="43" t="s">
        <v>233</v>
      </c>
      <c r="D360" s="43" t="s">
        <v>111</v>
      </c>
      <c r="E360" s="43" t="s">
        <v>151</v>
      </c>
      <c r="F360" s="43" t="s">
        <v>118</v>
      </c>
      <c r="G360" s="43" t="s">
        <v>158</v>
      </c>
    </row>
    <row r="361" spans="1:7" x14ac:dyDescent="0.25">
      <c r="A361" s="43">
        <v>360</v>
      </c>
      <c r="B361" s="43" t="s">
        <v>37</v>
      </c>
      <c r="C361" s="43" t="s">
        <v>234</v>
      </c>
      <c r="D361" s="43" t="s">
        <v>112</v>
      </c>
      <c r="E361" s="43" t="s">
        <v>152</v>
      </c>
      <c r="F361" s="43" t="s">
        <v>118</v>
      </c>
      <c r="G361" s="43" t="s">
        <v>158</v>
      </c>
    </row>
    <row r="362" spans="1:7" x14ac:dyDescent="0.25">
      <c r="A362" s="43">
        <v>361</v>
      </c>
      <c r="B362" s="43" t="s">
        <v>37</v>
      </c>
      <c r="C362" s="43" t="s">
        <v>235</v>
      </c>
      <c r="D362" s="43" t="s">
        <v>101</v>
      </c>
      <c r="E362" s="43" t="s">
        <v>141</v>
      </c>
      <c r="F362" s="43" t="s">
        <v>119</v>
      </c>
      <c r="G362" s="43" t="s">
        <v>159</v>
      </c>
    </row>
    <row r="363" spans="1:7" x14ac:dyDescent="0.25">
      <c r="A363" s="43">
        <v>362</v>
      </c>
      <c r="B363" s="43" t="s">
        <v>37</v>
      </c>
      <c r="C363" s="43" t="s">
        <v>236</v>
      </c>
      <c r="D363" s="43" t="s">
        <v>102</v>
      </c>
      <c r="E363" s="43" t="s">
        <v>142</v>
      </c>
      <c r="F363" s="43" t="s">
        <v>119</v>
      </c>
      <c r="G363" s="43" t="s">
        <v>159</v>
      </c>
    </row>
    <row r="364" spans="1:7" x14ac:dyDescent="0.25">
      <c r="A364" s="43">
        <v>363</v>
      </c>
      <c r="B364" s="43" t="s">
        <v>37</v>
      </c>
      <c r="C364" s="43" t="s">
        <v>237</v>
      </c>
      <c r="D364" s="43" t="s">
        <v>103</v>
      </c>
      <c r="E364" s="43" t="s">
        <v>143</v>
      </c>
      <c r="F364" s="43" t="s">
        <v>119</v>
      </c>
      <c r="G364" s="43" t="s">
        <v>159</v>
      </c>
    </row>
    <row r="365" spans="1:7" x14ac:dyDescent="0.25">
      <c r="A365" s="43">
        <v>364</v>
      </c>
      <c r="B365" s="43" t="s">
        <v>37</v>
      </c>
      <c r="C365" s="43" t="s">
        <v>238</v>
      </c>
      <c r="D365" s="43" t="s">
        <v>104</v>
      </c>
      <c r="E365" s="43" t="s">
        <v>144</v>
      </c>
      <c r="F365" s="43" t="s">
        <v>119</v>
      </c>
      <c r="G365" s="43" t="s">
        <v>159</v>
      </c>
    </row>
    <row r="366" spans="1:7" x14ac:dyDescent="0.25">
      <c r="A366" s="43">
        <v>365</v>
      </c>
      <c r="B366" s="43" t="s">
        <v>37</v>
      </c>
      <c r="C366" s="43" t="s">
        <v>239</v>
      </c>
      <c r="D366" s="43" t="s">
        <v>105</v>
      </c>
      <c r="E366" s="43" t="s">
        <v>145</v>
      </c>
      <c r="F366" s="43" t="s">
        <v>119</v>
      </c>
      <c r="G366" s="43" t="s">
        <v>159</v>
      </c>
    </row>
    <row r="367" spans="1:7" x14ac:dyDescent="0.25">
      <c r="A367" s="43">
        <v>366</v>
      </c>
      <c r="B367" s="43" t="s">
        <v>37</v>
      </c>
      <c r="C367" s="43" t="s">
        <v>240</v>
      </c>
      <c r="D367" s="43" t="s">
        <v>106</v>
      </c>
      <c r="E367" s="43" t="s">
        <v>146</v>
      </c>
      <c r="F367" s="43" t="s">
        <v>119</v>
      </c>
      <c r="G367" s="43" t="s">
        <v>159</v>
      </c>
    </row>
    <row r="368" spans="1:7" x14ac:dyDescent="0.25">
      <c r="A368" s="43">
        <v>367</v>
      </c>
      <c r="B368" s="43" t="s">
        <v>37</v>
      </c>
      <c r="C368" s="43" t="s">
        <v>241</v>
      </c>
      <c r="D368" s="43" t="s">
        <v>107</v>
      </c>
      <c r="E368" s="43" t="s">
        <v>147</v>
      </c>
      <c r="F368" s="43" t="s">
        <v>119</v>
      </c>
      <c r="G368" s="43" t="s">
        <v>159</v>
      </c>
    </row>
    <row r="369" spans="1:7" x14ac:dyDescent="0.25">
      <c r="A369" s="43">
        <v>368</v>
      </c>
      <c r="B369" s="43" t="s">
        <v>37</v>
      </c>
      <c r="C369" s="43" t="s">
        <v>242</v>
      </c>
      <c r="D369" s="43" t="s">
        <v>108</v>
      </c>
      <c r="E369" s="43" t="s">
        <v>148</v>
      </c>
      <c r="F369" s="43" t="s">
        <v>119</v>
      </c>
      <c r="G369" s="43" t="s">
        <v>159</v>
      </c>
    </row>
    <row r="370" spans="1:7" x14ac:dyDescent="0.25">
      <c r="A370" s="43">
        <v>369</v>
      </c>
      <c r="B370" s="43" t="s">
        <v>37</v>
      </c>
      <c r="C370" s="43" t="s">
        <v>243</v>
      </c>
      <c r="D370" s="43" t="s">
        <v>109</v>
      </c>
      <c r="E370" s="43" t="s">
        <v>149</v>
      </c>
      <c r="F370" s="43" t="s">
        <v>119</v>
      </c>
      <c r="G370" s="43" t="s">
        <v>159</v>
      </c>
    </row>
    <row r="371" spans="1:7" x14ac:dyDescent="0.25">
      <c r="A371" s="43">
        <v>370</v>
      </c>
      <c r="B371" s="43" t="s">
        <v>37</v>
      </c>
      <c r="C371" s="43" t="s">
        <v>244</v>
      </c>
      <c r="D371" s="43" t="s">
        <v>110</v>
      </c>
      <c r="E371" s="43" t="s">
        <v>150</v>
      </c>
      <c r="F371" s="43" t="s">
        <v>119</v>
      </c>
      <c r="G371" s="43" t="s">
        <v>159</v>
      </c>
    </row>
    <row r="372" spans="1:7" x14ac:dyDescent="0.25">
      <c r="A372" s="43">
        <v>371</v>
      </c>
      <c r="B372" s="43" t="s">
        <v>37</v>
      </c>
      <c r="C372" s="43" t="s">
        <v>245</v>
      </c>
      <c r="D372" s="43" t="s">
        <v>111</v>
      </c>
      <c r="E372" s="43" t="s">
        <v>151</v>
      </c>
      <c r="F372" s="43" t="s">
        <v>119</v>
      </c>
      <c r="G372" s="43" t="s">
        <v>159</v>
      </c>
    </row>
    <row r="373" spans="1:7" x14ac:dyDescent="0.25">
      <c r="A373" s="43">
        <v>372</v>
      </c>
      <c r="B373" s="43" t="s">
        <v>37</v>
      </c>
      <c r="C373" s="43" t="s">
        <v>246</v>
      </c>
      <c r="D373" s="43" t="s">
        <v>112</v>
      </c>
      <c r="E373" s="43" t="s">
        <v>152</v>
      </c>
      <c r="F373" s="43" t="s">
        <v>119</v>
      </c>
      <c r="G373" s="43" t="s">
        <v>159</v>
      </c>
    </row>
    <row r="374" spans="1:7" x14ac:dyDescent="0.25">
      <c r="A374" s="43">
        <v>373</v>
      </c>
      <c r="B374" s="43" t="s">
        <v>37</v>
      </c>
      <c r="C374" s="43" t="s">
        <v>247</v>
      </c>
      <c r="D374" s="43" t="s">
        <v>101</v>
      </c>
      <c r="E374" s="43" t="s">
        <v>141</v>
      </c>
      <c r="F374" s="43" t="s">
        <v>120</v>
      </c>
      <c r="G374" s="43" t="s">
        <v>160</v>
      </c>
    </row>
    <row r="375" spans="1:7" x14ac:dyDescent="0.25">
      <c r="A375" s="43">
        <v>374</v>
      </c>
      <c r="B375" s="43" t="s">
        <v>37</v>
      </c>
      <c r="C375" s="43" t="s">
        <v>248</v>
      </c>
      <c r="D375" s="43" t="s">
        <v>102</v>
      </c>
      <c r="E375" s="43" t="s">
        <v>142</v>
      </c>
      <c r="F375" s="43" t="s">
        <v>120</v>
      </c>
      <c r="G375" s="43" t="s">
        <v>160</v>
      </c>
    </row>
    <row r="376" spans="1:7" x14ac:dyDescent="0.25">
      <c r="A376" s="43">
        <v>375</v>
      </c>
      <c r="B376" s="43" t="s">
        <v>37</v>
      </c>
      <c r="C376" s="43" t="s">
        <v>249</v>
      </c>
      <c r="D376" s="43" t="s">
        <v>103</v>
      </c>
      <c r="E376" s="43" t="s">
        <v>143</v>
      </c>
      <c r="F376" s="43" t="s">
        <v>120</v>
      </c>
      <c r="G376" s="43" t="s">
        <v>160</v>
      </c>
    </row>
    <row r="377" spans="1:7" x14ac:dyDescent="0.25">
      <c r="A377" s="43">
        <v>376</v>
      </c>
      <c r="B377" s="43" t="s">
        <v>37</v>
      </c>
      <c r="C377" s="43" t="s">
        <v>250</v>
      </c>
      <c r="D377" s="43" t="s">
        <v>104</v>
      </c>
      <c r="E377" s="43" t="s">
        <v>144</v>
      </c>
      <c r="F377" s="43" t="s">
        <v>120</v>
      </c>
      <c r="G377" s="43" t="s">
        <v>160</v>
      </c>
    </row>
    <row r="378" spans="1:7" x14ac:dyDescent="0.25">
      <c r="A378" s="43">
        <v>377</v>
      </c>
      <c r="B378" s="43" t="s">
        <v>37</v>
      </c>
      <c r="C378" s="43" t="s">
        <v>251</v>
      </c>
      <c r="D378" s="43" t="s">
        <v>105</v>
      </c>
      <c r="E378" s="43" t="s">
        <v>145</v>
      </c>
      <c r="F378" s="43" t="s">
        <v>120</v>
      </c>
      <c r="G378" s="43" t="s">
        <v>160</v>
      </c>
    </row>
    <row r="379" spans="1:7" x14ac:dyDescent="0.25">
      <c r="A379" s="43">
        <v>378</v>
      </c>
      <c r="B379" s="43" t="s">
        <v>37</v>
      </c>
      <c r="C379" s="43" t="s">
        <v>252</v>
      </c>
      <c r="D379" s="43" t="s">
        <v>106</v>
      </c>
      <c r="E379" s="43" t="s">
        <v>146</v>
      </c>
      <c r="F379" s="43" t="s">
        <v>120</v>
      </c>
      <c r="G379" s="43" t="s">
        <v>160</v>
      </c>
    </row>
    <row r="380" spans="1:7" x14ac:dyDescent="0.25">
      <c r="A380" s="43">
        <v>379</v>
      </c>
      <c r="B380" s="43" t="s">
        <v>37</v>
      </c>
      <c r="C380" s="43" t="s">
        <v>253</v>
      </c>
      <c r="D380" s="43" t="s">
        <v>107</v>
      </c>
      <c r="E380" s="43" t="s">
        <v>147</v>
      </c>
      <c r="F380" s="43" t="s">
        <v>120</v>
      </c>
      <c r="G380" s="43" t="s">
        <v>160</v>
      </c>
    </row>
    <row r="381" spans="1:7" x14ac:dyDescent="0.25">
      <c r="A381" s="43">
        <v>380</v>
      </c>
      <c r="B381" s="43" t="s">
        <v>37</v>
      </c>
      <c r="C381" s="43" t="s">
        <v>254</v>
      </c>
      <c r="D381" s="43" t="s">
        <v>108</v>
      </c>
      <c r="E381" s="43" t="s">
        <v>148</v>
      </c>
      <c r="F381" s="43" t="s">
        <v>120</v>
      </c>
      <c r="G381" s="43" t="s">
        <v>160</v>
      </c>
    </row>
    <row r="382" spans="1:7" x14ac:dyDescent="0.25">
      <c r="A382" s="43">
        <v>381</v>
      </c>
      <c r="B382" s="43" t="s">
        <v>37</v>
      </c>
      <c r="C382" s="43" t="s">
        <v>255</v>
      </c>
      <c r="D382" s="43" t="s">
        <v>109</v>
      </c>
      <c r="E382" s="43" t="s">
        <v>149</v>
      </c>
      <c r="F382" s="43" t="s">
        <v>120</v>
      </c>
      <c r="G382" s="43" t="s">
        <v>160</v>
      </c>
    </row>
    <row r="383" spans="1:7" x14ac:dyDescent="0.25">
      <c r="A383" s="43">
        <v>382</v>
      </c>
      <c r="B383" s="43" t="s">
        <v>37</v>
      </c>
      <c r="C383" s="43" t="s">
        <v>256</v>
      </c>
      <c r="D383" s="43" t="s">
        <v>110</v>
      </c>
      <c r="E383" s="43" t="s">
        <v>150</v>
      </c>
      <c r="F383" s="43" t="s">
        <v>120</v>
      </c>
      <c r="G383" s="43" t="s">
        <v>160</v>
      </c>
    </row>
    <row r="384" spans="1:7" x14ac:dyDescent="0.25">
      <c r="A384" s="43">
        <v>383</v>
      </c>
      <c r="B384" s="43" t="s">
        <v>37</v>
      </c>
      <c r="C384" s="43" t="s">
        <v>257</v>
      </c>
      <c r="D384" s="43" t="s">
        <v>111</v>
      </c>
      <c r="E384" s="43" t="s">
        <v>151</v>
      </c>
      <c r="F384" s="43" t="s">
        <v>120</v>
      </c>
      <c r="G384" s="43" t="s">
        <v>160</v>
      </c>
    </row>
    <row r="385" spans="1:7" x14ac:dyDescent="0.25">
      <c r="A385" s="43">
        <v>384</v>
      </c>
      <c r="B385" s="43" t="s">
        <v>37</v>
      </c>
      <c r="C385" s="43" t="s">
        <v>258</v>
      </c>
      <c r="D385" s="43" t="s">
        <v>112</v>
      </c>
      <c r="E385" s="43" t="s">
        <v>152</v>
      </c>
      <c r="F385" s="43" t="s">
        <v>120</v>
      </c>
      <c r="G385" s="4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prep_table</vt:lpstr>
      <vt:lpstr>Checklist</vt:lpstr>
      <vt:lpstr>Indexes</vt:lpstr>
      <vt:lpstr>Checklist!_Hlk114062637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Gynter</dc:creator>
  <cp:lastModifiedBy>Hannah Riegler</cp:lastModifiedBy>
  <dcterms:created xsi:type="dcterms:W3CDTF">2024-07-24T10:53:15Z</dcterms:created>
  <dcterms:modified xsi:type="dcterms:W3CDTF">2026-01-14T12:05:01Z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2024-07-24T10:53:45Z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e425deb2-dada-4725-a94d-ae58bfa4a5d9</vt:lpwstr>
  </property>
  <property fmtid="{D5CDD505-2E9C-101B-9397-08002B2CF9AE}" pid="8" name="MSIP_Label_17efb97e-6a22-4658-b35c-bacc77de03e2_ContentBits">
    <vt:lpwstr>0</vt:lpwstr>
  </property>
</Properties>
</file>