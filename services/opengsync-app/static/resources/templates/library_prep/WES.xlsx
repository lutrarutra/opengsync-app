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egler\Documents\limbless-app\services\opengsync-app\static\resources\templates\library_prep\"/>
    </mc:Choice>
  </mc:AlternateContent>
  <xr:revisionPtr revIDLastSave="0" documentId="13_ncr:1_{E8BFBCAF-362B-4B63-8A97-3F8C276224C4}" xr6:coauthVersionLast="47" xr6:coauthVersionMax="47" xr10:uidLastSave="{00000000-0000-0000-0000-000000000000}"/>
  <bookViews>
    <workbookView xWindow="-120" yWindow="-120" windowWidth="29040" windowHeight="17520" xr2:uid="{BA8AB787-1E1F-024C-A296-E8A36875047B}"/>
  </bookViews>
  <sheets>
    <sheet name="prep_table" sheetId="1" r:id="rId1"/>
    <sheet name="Checklist" sheetId="2" r:id="rId2"/>
  </sheets>
  <definedNames>
    <definedName name="_Hlk114062637" localSheetId="1">Checklist!$C$122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2" l="1" a="1"/>
  <c r="D66" i="2" s="1"/>
  <c r="C18" i="2" a="1"/>
  <c r="C18" i="2" s="1"/>
  <c r="C17" i="2" a="1"/>
  <c r="C17" i="2" s="1"/>
  <c r="C16" i="2" a="1"/>
  <c r="C16" i="2" s="1"/>
  <c r="G94" i="2"/>
  <c r="G93" i="2"/>
  <c r="G92" i="2"/>
  <c r="F45" i="2"/>
  <c r="F42" i="2"/>
  <c r="N35" i="2"/>
  <c r="E35" i="2"/>
  <c r="N34" i="2"/>
  <c r="F34" i="2"/>
  <c r="N33" i="2"/>
  <c r="F33" i="2"/>
  <c r="N31" i="2"/>
  <c r="F31" i="2"/>
  <c r="B30" i="2"/>
  <c r="B29" i="2"/>
  <c r="F25" i="2"/>
  <c r="G24" i="2"/>
  <c r="G23" i="2"/>
  <c r="G21" i="2"/>
  <c r="G13" i="2"/>
  <c r="H13" i="2" s="1"/>
  <c r="F13" i="2"/>
  <c r="B41" i="2" s="1"/>
  <c r="B2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<sst xmlns="http://schemas.openxmlformats.org/spreadsheetml/2006/main" count="248" uniqueCount="181">
  <si>
    <t>R0</t>
  </si>
  <si>
    <t>plate_well</t>
  </si>
  <si>
    <t>index_well</t>
  </si>
  <si>
    <t>sequence_i7</t>
  </si>
  <si>
    <t>name_i7</t>
  </si>
  <si>
    <t>sequence_i5</t>
  </si>
  <si>
    <t>name_i5</t>
  </si>
  <si>
    <t>library_id</t>
  </si>
  <si>
    <t>library_name</t>
  </si>
  <si>
    <t>pool</t>
  </si>
  <si>
    <t>kit_i7</t>
  </si>
  <si>
    <t>kit_i5</t>
  </si>
  <si>
    <t>requestor</t>
  </si>
  <si>
    <t>lib_conc_ng_ul</t>
  </si>
  <si>
    <t>Checklist TWIST Exomes columns</t>
  </si>
  <si>
    <t>Library prep number:</t>
  </si>
  <si>
    <t>E0119</t>
  </si>
  <si>
    <t xml:space="preserve">SOP Version: </t>
  </si>
  <si>
    <t>v1 reagents</t>
  </si>
  <si>
    <t>Library prep kit (Enzymatic Fragmentation 2.0 and Twist universal adapter system Lib Prep Kit for Illumina, 96  preps) LOT#:</t>
  </si>
  <si>
    <t>Indexplate:</t>
  </si>
  <si>
    <t>SetA =1, SetB = 2, SetC = 3, SetD = 4</t>
  </si>
  <si>
    <t>UDI 12nt Set A-D LOT#:</t>
  </si>
  <si>
    <t>2000005106-014</t>
  </si>
  <si>
    <t>Signature:</t>
  </si>
  <si>
    <t>CS</t>
  </si>
  <si>
    <t>Twist Human Core Exome + RefSeq Panel LOT#:</t>
  </si>
  <si>
    <t>2500002679  2500002682</t>
  </si>
  <si>
    <t>Twist Universal Blockers LOT#:</t>
  </si>
  <si>
    <t>Twist Binding and Purification Beads LOT#:</t>
  </si>
  <si>
    <t>Twist Wash Buffers LOT#:</t>
  </si>
  <si>
    <t>Twist Hybridization Reagents LOT#:</t>
  </si>
  <si>
    <t>Library prep part 2</t>
  </si>
  <si>
    <t xml:space="preserve">Library person: </t>
  </si>
  <si>
    <t>Carina Suete</t>
  </si>
  <si>
    <t>Library date:</t>
  </si>
  <si>
    <t>1.4.2025</t>
  </si>
  <si>
    <t>Comments:</t>
  </si>
  <si>
    <t>Fast track</t>
  </si>
  <si>
    <t>Number of samples:</t>
  </si>
  <si>
    <t>Preparation of working plate</t>
  </si>
  <si>
    <t>Prepare an working plate with 50 ng of high molecular weight DNA or 100 ng of FFPE DNA in 40µL in the following sheme:</t>
  </si>
  <si>
    <t>Sample</t>
  </si>
  <si>
    <t>µl water</t>
  </si>
  <si>
    <t>µL DNA</t>
  </si>
  <si>
    <t>DNA Fragmentation, End Repair and dA-Tailing</t>
  </si>
  <si>
    <t>Volume per reaction</t>
  </si>
  <si>
    <t xml:space="preserve">Mix: </t>
  </si>
  <si>
    <t>gDNA Sample</t>
  </si>
  <si>
    <t>-</t>
  </si>
  <si>
    <t>µL</t>
  </si>
  <si>
    <t>Frag/AT Buffer</t>
  </si>
  <si>
    <t>Frag/AT Enzyme</t>
  </si>
  <si>
    <t>Total Volume</t>
  </si>
  <si>
    <t>mix, spin</t>
  </si>
  <si>
    <t xml:space="preserve">Incubate: </t>
  </si>
  <si>
    <t>37˚/*min</t>
  </si>
  <si>
    <t>*22 min for high quality DNA or 2 min for FFPE</t>
  </si>
  <si>
    <t>65˚/30min -&gt; hold 4°C</t>
  </si>
  <si>
    <t>Ligation with Twist Universal adapters</t>
  </si>
  <si>
    <t>DO NOT MAKE A MM</t>
  </si>
  <si>
    <t>dA-tailed DNA Sample</t>
  </si>
  <si>
    <t>Twist Universal Adapters (A)</t>
  </si>
  <si>
    <t>Twist UMI Adapters (A)</t>
  </si>
  <si>
    <t>Ligation Master Mix (L)</t>
  </si>
  <si>
    <t>OR</t>
  </si>
  <si>
    <t>H2O</t>
  </si>
  <si>
    <t>20˚/15min</t>
  </si>
  <si>
    <t>4˚/hold</t>
  </si>
  <si>
    <t>CLEAN-UP with DNA Purification Beads</t>
  </si>
  <si>
    <t>Add 60µL DNA Purification beads; Elute in 17µL EB, recover 15µL</t>
  </si>
  <si>
    <t>PCR</t>
  </si>
  <si>
    <t>Twist UDI Primer</t>
  </si>
  <si>
    <t>Equinox Library Amp Mix (2x)</t>
  </si>
  <si>
    <t xml:space="preserve">Indicate which Twist UDI Primers you used: </t>
  </si>
  <si>
    <t>Plate:</t>
  </si>
  <si>
    <t>A</t>
  </si>
  <si>
    <t>B</t>
  </si>
  <si>
    <t>C</t>
  </si>
  <si>
    <t>D</t>
  </si>
  <si>
    <t>E</t>
  </si>
  <si>
    <t>F</t>
  </si>
  <si>
    <t>G</t>
  </si>
  <si>
    <t>H</t>
  </si>
  <si>
    <t xml:space="preserve">Run the following programm: </t>
  </si>
  <si>
    <r>
      <t>98</t>
    </r>
    <r>
      <rPr>
        <i/>
        <sz val="12"/>
        <color theme="1"/>
        <rFont val="Calibri"/>
        <family val="2"/>
      </rPr>
      <t>˚/45s</t>
    </r>
  </si>
  <si>
    <t>98˚/15s</t>
  </si>
  <si>
    <t>8 cycles</t>
  </si>
  <si>
    <r>
      <t>60</t>
    </r>
    <r>
      <rPr>
        <i/>
        <sz val="12"/>
        <color theme="1"/>
        <rFont val="Calibri"/>
        <family val="2"/>
      </rPr>
      <t>˚/30s</t>
    </r>
  </si>
  <si>
    <t>72˚/30s</t>
  </si>
  <si>
    <r>
      <t>72</t>
    </r>
    <r>
      <rPr>
        <i/>
        <sz val="12"/>
        <color theme="1"/>
        <rFont val="Calibri"/>
        <family val="2"/>
      </rPr>
      <t>˚/1min</t>
    </r>
  </si>
  <si>
    <t>Add 50µL DNA Purification beads; Elute in 22µL EB, recover 20µL</t>
  </si>
  <si>
    <t>QC (Qubit, BA)</t>
  </si>
  <si>
    <t>Qubit:</t>
  </si>
  <si>
    <t>qubit</t>
  </si>
  <si>
    <t>Twist Enrichment</t>
  </si>
  <si>
    <t>1:100 dilution for Qubit</t>
  </si>
  <si>
    <t>Transfer 200 - 500ng dependent on sample number from each amplified indexed library to a library pool reaction tube. For 8 samples it is 200 ng.</t>
  </si>
  <si>
    <t>Dry the indexed library pool(s) using a vacuum concentrator (d-Aqua OR v-Aqua), no heat</t>
  </si>
  <si>
    <t>Hybridize capture probes with pools</t>
  </si>
  <si>
    <t>Heat Hybridization Mix at 65˚C in the heat block for 10 min, then cool at RT for 5 min</t>
  </si>
  <si>
    <t xml:space="preserve">Probe solution: </t>
  </si>
  <si>
    <t>Hybridization Mix</t>
  </si>
  <si>
    <t>Human Core Exome</t>
  </si>
  <si>
    <t>Ref Seq panel</t>
  </si>
  <si>
    <t>95˚C/2min</t>
  </si>
  <si>
    <t>on ice/5min</t>
  </si>
  <si>
    <t>RT/5min</t>
  </si>
  <si>
    <t>Dried index lib pool</t>
  </si>
  <si>
    <t>Blocker solution</t>
  </si>
  <si>
    <t>Universal blockers</t>
  </si>
  <si>
    <t>95˚C/5min</t>
  </si>
  <si>
    <t>Add the probe solution to the resuspended indexed lib pool, vortex and transfer to a 96-well plate</t>
  </si>
  <si>
    <r>
      <t xml:space="preserve">Spin, add 30 µL Hybridization Enhancer to the top of the capture reaction. </t>
    </r>
    <r>
      <rPr>
        <b/>
        <sz val="12"/>
        <color rgb="FFFF0000"/>
        <rFont val="Aptos Narrow"/>
        <family val="2"/>
        <scheme val="minor"/>
      </rPr>
      <t>Do not mix!</t>
    </r>
    <r>
      <rPr>
        <sz val="12"/>
        <color theme="1"/>
        <rFont val="Aptos Narrow"/>
        <family val="2"/>
        <scheme val="minor"/>
      </rPr>
      <t xml:space="preserve"> Spin down</t>
    </r>
  </si>
  <si>
    <r>
      <t xml:space="preserve">Seal the plate with the </t>
    </r>
    <r>
      <rPr>
        <b/>
        <sz val="12"/>
        <color rgb="FFFF0000"/>
        <rFont val="Aptos Narrow"/>
        <family val="2"/>
        <scheme val="minor"/>
      </rPr>
      <t>plate sealer</t>
    </r>
    <r>
      <rPr>
        <sz val="12"/>
        <color theme="1"/>
        <rFont val="Aptos Narrow"/>
        <family val="2"/>
        <scheme val="minor"/>
      </rPr>
      <t xml:space="preserve"> and incubate at 70˚C for 16 hours in a thermal cycler with the lid at 85˚C</t>
    </r>
  </si>
  <si>
    <t>TIME:</t>
  </si>
  <si>
    <r>
      <t xml:space="preserve">Clean up with Streptavidin binding beads. </t>
    </r>
    <r>
      <rPr>
        <b/>
        <sz val="12"/>
        <color rgb="FFFF0000"/>
        <rFont val="Aptos Narrow"/>
        <family val="2"/>
        <scheme val="minor"/>
      </rPr>
      <t>Calculate 45 min prior to the end of incubation</t>
    </r>
  </si>
  <si>
    <t>Endpoint PCR in HALF volume</t>
  </si>
  <si>
    <t>Streptavidin Binding Bead Slurry</t>
  </si>
  <si>
    <t>22.5</t>
  </si>
  <si>
    <t>Amplification Primers</t>
  </si>
  <si>
    <t>2.5</t>
  </si>
  <si>
    <t>KAPA HiFi HotStart ReadyMix</t>
  </si>
  <si>
    <t>CLEAN-UP (1X) Twice with DNA Purification Beads</t>
  </si>
  <si>
    <t>add 50µl beads, elute in 32 µL water and recover 30µL</t>
  </si>
  <si>
    <t>no need to remove streptavidin binding beads</t>
  </si>
  <si>
    <t xml:space="preserve">Pool concentration: </t>
  </si>
  <si>
    <t>Put the Kitnumbers into the working sheet and followingly into the sample annotation sheet.</t>
  </si>
  <si>
    <t xml:space="preserve">Library type for LIMS: </t>
  </si>
  <si>
    <t>TWIST_TWIST_WES</t>
  </si>
  <si>
    <t xml:space="preserve">Library type for LIMS with UMI:  </t>
  </si>
  <si>
    <t>TWIST_TWIST_WES_UMI</t>
  </si>
  <si>
    <t>Library kit</t>
  </si>
  <si>
    <t>Kitnumber</t>
  </si>
  <si>
    <t>Twist Universal Adapter System - TruSeq Compatible, 96 Samples Plate A</t>
  </si>
  <si>
    <t>#101308</t>
  </si>
  <si>
    <t>Twist Universal Adapter System - TruSeq Compatible, 96 Samples Plate B</t>
  </si>
  <si>
    <t>#101309</t>
  </si>
  <si>
    <t>Twist Universal Adapter System - TruSeq Compatible, 96 Samples Plate C</t>
  </si>
  <si>
    <t>#101310</t>
  </si>
  <si>
    <t>Twist Universal Adapter System - TruSeq Compatible, 96 Samples Plate D</t>
  </si>
  <si>
    <t>#101311</t>
  </si>
  <si>
    <t>Twist Library preparation EF Kit 2.0</t>
  </si>
  <si>
    <t>#104206</t>
  </si>
  <si>
    <t>Twist Human Core Exome + RefSeq Panel</t>
  </si>
  <si>
    <t>#103077</t>
  </si>
  <si>
    <t>Twist UMI Adapter System TruSeq Compatible, 96 Samples Plate A</t>
  </si>
  <si>
    <t>#105041</t>
  </si>
  <si>
    <t>Twist UMI Adapter System TruSeq Compatible, 96 Samples Plate B</t>
  </si>
  <si>
    <t>#105042</t>
  </si>
  <si>
    <t>Twist UMI Adapter System TruSeq Compatible, 96 Samples Plate C</t>
  </si>
  <si>
    <t>#105043</t>
  </si>
  <si>
    <t>Twist UMI Adapter System TruSeq Compatible, 96 Samples Plate D</t>
  </si>
  <si>
    <t>#105044</t>
  </si>
  <si>
    <t xml:space="preserve">Identification number: </t>
  </si>
  <si>
    <t>BSF_LP_CH_00000</t>
  </si>
  <si>
    <t>Unit:</t>
  </si>
  <si>
    <t>BSF</t>
  </si>
  <si>
    <t>Organization:</t>
  </si>
  <si>
    <t>CeMM</t>
  </si>
  <si>
    <t>Title:</t>
  </si>
  <si>
    <t>Checklist Twist exomes rows</t>
  </si>
  <si>
    <t>Author:</t>
  </si>
  <si>
    <t>Alberto Alises</t>
  </si>
  <si>
    <t>Reviewer:</t>
  </si>
  <si>
    <t>Hannah Riegler</t>
  </si>
  <si>
    <t>Review date:</t>
  </si>
  <si>
    <t>Version:</t>
  </si>
  <si>
    <r>
      <rPr>
        <sz val="12"/>
        <rFont val="Aptos Narrow"/>
        <family val="2"/>
        <scheme val="minor"/>
      </rPr>
      <t>7</t>
    </r>
    <r>
      <rPr>
        <sz val="12"/>
        <color theme="1"/>
        <rFont val="Aptos Narrow"/>
        <family val="2"/>
        <scheme val="minor"/>
      </rPr>
      <t xml:space="preserve"> cycles</t>
    </r>
  </si>
  <si>
    <t>DNAqubit_ng_ul</t>
  </si>
  <si>
    <t>ul_h20</t>
  </si>
  <si>
    <t>ul_DNA</t>
  </si>
  <si>
    <t>input_ng</t>
  </si>
  <si>
    <t>dilution</t>
  </si>
  <si>
    <t>BA</t>
  </si>
  <si>
    <t>V_hybridization</t>
  </si>
  <si>
    <t>pooling_factor</t>
  </si>
  <si>
    <t>ul_pooling</t>
  </si>
  <si>
    <t>VOLUME:</t>
  </si>
  <si>
    <t>library_kits</t>
  </si>
  <si>
    <t>library_prep_type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</si>
</sst>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2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2"/>
      <color theme="1"/>
      <name val="Calibri"/>
      <family val="2"/>
    </font>
    <font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8"/>
      <color theme="2" tint="-0.249977111117893"/>
      <name val="Aptos Narrow"/>
      <family val="2"/>
      <scheme val="minor"/>
    </font>
    <font>
      <b/>
      <sz val="9"/>
      <color theme="2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2" tint="-0.249977111117893"/>
      <name val="Aptos Narrow"/>
      <family val="2"/>
      <scheme val="minor"/>
    </font>
    <font>
      <sz val="12"/>
      <color theme="2" tint="-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6"/>
      <name val="Aptos Narrow"/>
      <family val="2"/>
      <scheme val="minor"/>
    </font>
    <font>
      <sz val="12"/>
      <color theme="6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medium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0" borderId="0" xfId="1" applyFont="1" applyAlignment="1">
      <alignment wrapText="1"/>
    </xf>
    <xf numFmtId="0" fontId="1" fillId="0" borderId="0" xfId="1"/>
    <xf numFmtId="0" fontId="3" fillId="0" borderId="1" xfId="1" applyFont="1" applyBorder="1" applyAlignment="1">
      <alignment vertical="center"/>
    </xf>
    <xf numFmtId="0" fontId="3" fillId="3" borderId="7" xfId="1" applyFont="1" applyFill="1" applyBorder="1"/>
    <xf numFmtId="0" fontId="9" fillId="0" borderId="0" xfId="1" applyFont="1"/>
    <xf numFmtId="0" fontId="3" fillId="0" borderId="11" xfId="1" applyFont="1" applyBorder="1" applyAlignment="1">
      <alignment horizontal="left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10" fillId="5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" fillId="0" borderId="0" xfId="1" applyAlignment="1">
      <alignment horizontal="right"/>
    </xf>
    <xf numFmtId="164" fontId="1" fillId="0" borderId="1" xfId="1" applyNumberFormat="1" applyBorder="1"/>
    <xf numFmtId="0" fontId="11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right" vertical="center"/>
    </xf>
    <xf numFmtId="0" fontId="3" fillId="0" borderId="18" xfId="1" applyFont="1" applyBorder="1" applyAlignment="1">
      <alignment vertical="center"/>
    </xf>
    <xf numFmtId="0" fontId="3" fillId="0" borderId="18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15" fillId="0" borderId="0" xfId="1" applyFont="1" applyAlignment="1">
      <alignment vertical="center"/>
    </xf>
    <xf numFmtId="0" fontId="16" fillId="0" borderId="22" xfId="1" applyFont="1" applyBorder="1" applyAlignment="1">
      <alignment horizontal="center" vertical="center" wrapText="1"/>
    </xf>
    <xf numFmtId="0" fontId="20" fillId="0" borderId="25" xfId="1" applyFont="1" applyBorder="1" applyAlignment="1">
      <alignment vertical="center"/>
    </xf>
    <xf numFmtId="0" fontId="20" fillId="0" borderId="25" xfId="1" applyFont="1" applyBorder="1" applyAlignment="1">
      <alignment horizontal="right" vertical="center"/>
    </xf>
    <xf numFmtId="0" fontId="20" fillId="0" borderId="26" xfId="1" applyFont="1" applyBorder="1" applyAlignment="1">
      <alignment vertical="center"/>
    </xf>
    <xf numFmtId="0" fontId="20" fillId="0" borderId="26" xfId="1" applyFont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20" fillId="0" borderId="29" xfId="1" applyFont="1" applyBorder="1" applyAlignment="1">
      <alignment vertical="center"/>
    </xf>
    <xf numFmtId="0" fontId="20" fillId="0" borderId="29" xfId="1" applyFont="1" applyBorder="1" applyAlignment="1">
      <alignment horizontal="right" vertical="center"/>
    </xf>
    <xf numFmtId="0" fontId="3" fillId="0" borderId="11" xfId="1" applyFont="1" applyBorder="1" applyAlignment="1">
      <alignment horizontal="left" vertical="center"/>
    </xf>
    <xf numFmtId="0" fontId="3" fillId="0" borderId="4" xfId="1" applyFont="1" applyBorder="1" applyAlignment="1">
      <alignment horizontal="right" vertical="center" wrapText="1"/>
    </xf>
    <xf numFmtId="0" fontId="3" fillId="0" borderId="14" xfId="1" applyFont="1" applyBorder="1" applyAlignment="1">
      <alignment horizontal="right" vertical="center" wrapText="1"/>
    </xf>
    <xf numFmtId="0" fontId="3" fillId="0" borderId="33" xfId="1" applyFont="1" applyBorder="1" applyAlignment="1">
      <alignment horizontal="right" vertical="center"/>
    </xf>
    <xf numFmtId="0" fontId="3" fillId="0" borderId="7" xfId="1" applyFont="1" applyBorder="1" applyAlignment="1">
      <alignment vertical="center"/>
    </xf>
    <xf numFmtId="0" fontId="3" fillId="0" borderId="34" xfId="1" applyFont="1" applyBorder="1" applyAlignment="1">
      <alignment horizontal="right" vertical="center"/>
    </xf>
    <xf numFmtId="0" fontId="3" fillId="0" borderId="5" xfId="1" applyFont="1" applyBorder="1" applyAlignment="1">
      <alignment vertical="center"/>
    </xf>
    <xf numFmtId="0" fontId="3" fillId="0" borderId="11" xfId="1" applyFont="1" applyBorder="1"/>
    <xf numFmtId="0" fontId="3" fillId="3" borderId="0" xfId="1" applyFont="1" applyFill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4" fillId="0" borderId="0" xfId="1" applyFont="1"/>
    <xf numFmtId="0" fontId="1" fillId="0" borderId="0" xfId="1" applyAlignment="1">
      <alignment vertical="center"/>
    </xf>
    <xf numFmtId="0" fontId="6" fillId="0" borderId="1" xfId="1" applyFont="1" applyBorder="1" applyAlignment="1">
      <alignment vertical="center"/>
    </xf>
    <xf numFmtId="0" fontId="3" fillId="0" borderId="37" xfId="1" applyFont="1" applyBorder="1" applyAlignment="1">
      <alignment horizontal="left" vertical="center"/>
    </xf>
    <xf numFmtId="0" fontId="3" fillId="0" borderId="38" xfId="1" applyFont="1" applyBorder="1" applyAlignment="1">
      <alignment vertical="center"/>
    </xf>
    <xf numFmtId="0" fontId="15" fillId="0" borderId="38" xfId="1" applyFont="1" applyBorder="1" applyAlignment="1">
      <alignment vertical="center"/>
    </xf>
    <xf numFmtId="0" fontId="15" fillId="0" borderId="0" xfId="1" applyFont="1"/>
    <xf numFmtId="0" fontId="1" fillId="0" borderId="39" xfId="1" applyBorder="1"/>
    <xf numFmtId="0" fontId="1" fillId="0" borderId="11" xfId="1" applyBorder="1"/>
    <xf numFmtId="0" fontId="3" fillId="0" borderId="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3" fillId="0" borderId="33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1" fillId="0" borderId="8" xfId="1" applyBorder="1"/>
    <xf numFmtId="0" fontId="3" fillId="0" borderId="42" xfId="1" applyFont="1" applyBorder="1" applyAlignment="1">
      <alignment horizontal="center" vertical="center" wrapText="1"/>
    </xf>
    <xf numFmtId="0" fontId="3" fillId="0" borderId="9" xfId="1" applyFont="1" applyBorder="1"/>
    <xf numFmtId="0" fontId="3" fillId="0" borderId="4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/>
    <xf numFmtId="0" fontId="3" fillId="0" borderId="32" xfId="1" applyFont="1" applyBorder="1" applyAlignment="1">
      <alignment horizontal="center" vertical="center"/>
    </xf>
    <xf numFmtId="0" fontId="3" fillId="0" borderId="1" xfId="1" applyFont="1" applyBorder="1"/>
    <xf numFmtId="0" fontId="3" fillId="3" borderId="5" xfId="1" applyFont="1" applyFill="1" applyBorder="1" applyAlignment="1">
      <alignment vertical="center"/>
    </xf>
    <xf numFmtId="0" fontId="23" fillId="0" borderId="0" xfId="1" applyFont="1"/>
    <xf numFmtId="0" fontId="0" fillId="0" borderId="1" xfId="0" applyBorder="1" applyAlignment="1">
      <alignment horizontal="center" vertical="center"/>
    </xf>
    <xf numFmtId="0" fontId="26" fillId="0" borderId="1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4" fillId="8" borderId="8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3" fillId="7" borderId="8" xfId="1" applyFont="1" applyFill="1" applyBorder="1" applyAlignment="1">
      <alignment horizontal="center" vertical="center"/>
    </xf>
    <xf numFmtId="0" fontId="3" fillId="7" borderId="9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1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42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1" fillId="0" borderId="20" xfId="1" applyBorder="1" applyAlignment="1">
      <alignment horizontal="center" vertical="center" wrapText="1"/>
    </xf>
    <xf numFmtId="0" fontId="1" fillId="0" borderId="21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3" fillId="0" borderId="40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165" fontId="3" fillId="0" borderId="8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0" fontId="4" fillId="10" borderId="8" xfId="1" applyFont="1" applyFill="1" applyBorder="1" applyAlignment="1">
      <alignment horizontal="center" vertical="center"/>
    </xf>
    <xf numFmtId="0" fontId="4" fillId="10" borderId="9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1" borderId="8" xfId="1" applyFont="1" applyFill="1" applyBorder="1" applyAlignment="1">
      <alignment horizontal="center" vertical="center"/>
    </xf>
    <xf numFmtId="0" fontId="4" fillId="11" borderId="9" xfId="1" applyFont="1" applyFill="1" applyBorder="1" applyAlignment="1">
      <alignment horizontal="center" vertical="center"/>
    </xf>
    <xf numFmtId="0" fontId="4" fillId="11" borderId="10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7" borderId="35" xfId="1" applyFont="1" applyFill="1" applyBorder="1" applyAlignment="1">
      <alignment horizontal="center" vertical="center"/>
    </xf>
    <xf numFmtId="0" fontId="3" fillId="7" borderId="36" xfId="1" applyFont="1" applyFill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3" fillId="0" borderId="37" xfId="1" applyFont="1" applyBorder="1" applyAlignment="1">
      <alignment horizontal="left" vertical="center" wrapText="1"/>
    </xf>
    <xf numFmtId="0" fontId="3" fillId="0" borderId="35" xfId="1" applyFont="1" applyBorder="1" applyAlignment="1">
      <alignment horizontal="left" vertical="center" wrapText="1"/>
    </xf>
    <xf numFmtId="0" fontId="3" fillId="6" borderId="8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4" xfId="1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9" fillId="0" borderId="29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10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20" fillId="0" borderId="23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19" fillId="0" borderId="26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7" fillId="0" borderId="23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4" borderId="8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064705B-CB47-47BF-AAED-00BB48C2C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41</xdr:row>
          <xdr:rowOff>47625</xdr:rowOff>
        </xdr:from>
        <xdr:to>
          <xdr:col>1</xdr:col>
          <xdr:colOff>66675</xdr:colOff>
          <xdr:row>41</xdr:row>
          <xdr:rowOff>276225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40</xdr:row>
          <xdr:rowOff>47625</xdr:rowOff>
        </xdr:from>
        <xdr:to>
          <xdr:col>1</xdr:col>
          <xdr:colOff>66675</xdr:colOff>
          <xdr:row>40</xdr:row>
          <xdr:rowOff>276225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28</xdr:row>
          <xdr:rowOff>47625</xdr:rowOff>
        </xdr:from>
        <xdr:to>
          <xdr:col>1</xdr:col>
          <xdr:colOff>66675</xdr:colOff>
          <xdr:row>28</xdr:row>
          <xdr:rowOff>276225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25</xdr:row>
          <xdr:rowOff>47625</xdr:rowOff>
        </xdr:from>
        <xdr:to>
          <xdr:col>1</xdr:col>
          <xdr:colOff>66675</xdr:colOff>
          <xdr:row>25</xdr:row>
          <xdr:rowOff>276225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</xdr:row>
          <xdr:rowOff>47625</xdr:rowOff>
        </xdr:from>
        <xdr:to>
          <xdr:col>1</xdr:col>
          <xdr:colOff>66675</xdr:colOff>
          <xdr:row>21</xdr:row>
          <xdr:rowOff>276225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</xdr:row>
          <xdr:rowOff>47625</xdr:rowOff>
        </xdr:from>
        <xdr:to>
          <xdr:col>1</xdr:col>
          <xdr:colOff>66675</xdr:colOff>
          <xdr:row>19</xdr:row>
          <xdr:rowOff>276225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35</xdr:row>
          <xdr:rowOff>47625</xdr:rowOff>
        </xdr:from>
        <xdr:to>
          <xdr:col>1</xdr:col>
          <xdr:colOff>66675</xdr:colOff>
          <xdr:row>35</xdr:row>
          <xdr:rowOff>276225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56</xdr:row>
          <xdr:rowOff>47625</xdr:rowOff>
        </xdr:from>
        <xdr:to>
          <xdr:col>1</xdr:col>
          <xdr:colOff>66675</xdr:colOff>
          <xdr:row>56</xdr:row>
          <xdr:rowOff>276225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68</xdr:row>
          <xdr:rowOff>47625</xdr:rowOff>
        </xdr:from>
        <xdr:to>
          <xdr:col>1</xdr:col>
          <xdr:colOff>66675</xdr:colOff>
          <xdr:row>68</xdr:row>
          <xdr:rowOff>276225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69</xdr:row>
          <xdr:rowOff>47625</xdr:rowOff>
        </xdr:from>
        <xdr:to>
          <xdr:col>1</xdr:col>
          <xdr:colOff>66675</xdr:colOff>
          <xdr:row>69</xdr:row>
          <xdr:rowOff>276225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72</xdr:row>
          <xdr:rowOff>19050</xdr:rowOff>
        </xdr:from>
        <xdr:to>
          <xdr:col>1</xdr:col>
          <xdr:colOff>123825</xdr:colOff>
          <xdr:row>73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71</xdr:row>
          <xdr:rowOff>47625</xdr:rowOff>
        </xdr:from>
        <xdr:to>
          <xdr:col>1</xdr:col>
          <xdr:colOff>66675</xdr:colOff>
          <xdr:row>71</xdr:row>
          <xdr:rowOff>276225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76</xdr:row>
          <xdr:rowOff>47625</xdr:rowOff>
        </xdr:from>
        <xdr:to>
          <xdr:col>1</xdr:col>
          <xdr:colOff>76200</xdr:colOff>
          <xdr:row>76</xdr:row>
          <xdr:rowOff>276225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79</xdr:row>
          <xdr:rowOff>19050</xdr:rowOff>
        </xdr:from>
        <xdr:to>
          <xdr:col>1</xdr:col>
          <xdr:colOff>123825</xdr:colOff>
          <xdr:row>79</xdr:row>
          <xdr:rowOff>247650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83</xdr:row>
          <xdr:rowOff>47625</xdr:rowOff>
        </xdr:from>
        <xdr:to>
          <xdr:col>1</xdr:col>
          <xdr:colOff>76200</xdr:colOff>
          <xdr:row>83</xdr:row>
          <xdr:rowOff>276225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85</xdr:row>
          <xdr:rowOff>47625</xdr:rowOff>
        </xdr:from>
        <xdr:to>
          <xdr:col>1</xdr:col>
          <xdr:colOff>66675</xdr:colOff>
          <xdr:row>85</xdr:row>
          <xdr:rowOff>276225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86</xdr:row>
          <xdr:rowOff>47625</xdr:rowOff>
        </xdr:from>
        <xdr:to>
          <xdr:col>1</xdr:col>
          <xdr:colOff>66675</xdr:colOff>
          <xdr:row>86</xdr:row>
          <xdr:rowOff>276225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87</xdr:row>
          <xdr:rowOff>47625</xdr:rowOff>
        </xdr:from>
        <xdr:to>
          <xdr:col>1</xdr:col>
          <xdr:colOff>66675</xdr:colOff>
          <xdr:row>87</xdr:row>
          <xdr:rowOff>276225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88</xdr:row>
          <xdr:rowOff>47625</xdr:rowOff>
        </xdr:from>
        <xdr:to>
          <xdr:col>1</xdr:col>
          <xdr:colOff>66675</xdr:colOff>
          <xdr:row>88</xdr:row>
          <xdr:rowOff>276225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90</xdr:row>
          <xdr:rowOff>85725</xdr:rowOff>
        </xdr:from>
        <xdr:to>
          <xdr:col>1</xdr:col>
          <xdr:colOff>85725</xdr:colOff>
          <xdr:row>90</xdr:row>
          <xdr:rowOff>304800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94</xdr:row>
          <xdr:rowOff>47625</xdr:rowOff>
        </xdr:from>
        <xdr:to>
          <xdr:col>1</xdr:col>
          <xdr:colOff>66675</xdr:colOff>
          <xdr:row>94</xdr:row>
          <xdr:rowOff>276225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46</xdr:row>
          <xdr:rowOff>19050</xdr:rowOff>
        </xdr:from>
        <xdr:to>
          <xdr:col>1</xdr:col>
          <xdr:colOff>85725</xdr:colOff>
          <xdr:row>46</xdr:row>
          <xdr:rowOff>247650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14</xdr:row>
          <xdr:rowOff>28575</xdr:rowOff>
        </xdr:from>
        <xdr:to>
          <xdr:col>1</xdr:col>
          <xdr:colOff>57150</xdr:colOff>
          <xdr:row>14</xdr:row>
          <xdr:rowOff>266700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38</xdr:row>
          <xdr:rowOff>47625</xdr:rowOff>
        </xdr:from>
        <xdr:to>
          <xdr:col>1</xdr:col>
          <xdr:colOff>66675</xdr:colOff>
          <xdr:row>38</xdr:row>
          <xdr:rowOff>276225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30</xdr:row>
          <xdr:rowOff>47625</xdr:rowOff>
        </xdr:from>
        <xdr:to>
          <xdr:col>1</xdr:col>
          <xdr:colOff>66675</xdr:colOff>
          <xdr:row>30</xdr:row>
          <xdr:rowOff>276225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63</xdr:row>
          <xdr:rowOff>47625</xdr:rowOff>
        </xdr:from>
        <xdr:to>
          <xdr:col>1</xdr:col>
          <xdr:colOff>66675</xdr:colOff>
          <xdr:row>63</xdr:row>
          <xdr:rowOff>276225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101</xdr:row>
          <xdr:rowOff>47625</xdr:rowOff>
        </xdr:from>
        <xdr:to>
          <xdr:col>1</xdr:col>
          <xdr:colOff>66675</xdr:colOff>
          <xdr:row>101</xdr:row>
          <xdr:rowOff>276225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119</xdr:row>
      <xdr:rowOff>0</xdr:rowOff>
    </xdr:from>
    <xdr:to>
      <xdr:col>5</xdr:col>
      <xdr:colOff>320387</xdr:colOff>
      <xdr:row>120</xdr:row>
      <xdr:rowOff>161925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E82C1C2-800B-48F2-93CC-28699AFC2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5823525"/>
          <a:ext cx="2126962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103</xdr:row>
          <xdr:rowOff>0</xdr:rowOff>
        </xdr:from>
        <xdr:to>
          <xdr:col>1</xdr:col>
          <xdr:colOff>76200</xdr:colOff>
          <xdr:row>104</xdr:row>
          <xdr:rowOff>47625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103</xdr:row>
          <xdr:rowOff>295275</xdr:rowOff>
        </xdr:from>
        <xdr:to>
          <xdr:col>1</xdr:col>
          <xdr:colOff>85725</xdr:colOff>
          <xdr:row>105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65</xdr:row>
          <xdr:rowOff>47625</xdr:rowOff>
        </xdr:from>
        <xdr:to>
          <xdr:col>1</xdr:col>
          <xdr:colOff>66675</xdr:colOff>
          <xdr:row>65</xdr:row>
          <xdr:rowOff>276225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29</xdr:row>
          <xdr:rowOff>47625</xdr:rowOff>
        </xdr:from>
        <xdr:to>
          <xdr:col>1</xdr:col>
          <xdr:colOff>66675</xdr:colOff>
          <xdr:row>29</xdr:row>
          <xdr:rowOff>276225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C1DF-8ED0-B840-A178-84D3EE75C042}">
  <dimension ref="A1:Y97"/>
  <sheetViews>
    <sheetView tabSelected="1" workbookViewId="0">
      <selection activeCell="I3" sqref="I3"/>
    </sheetView>
  </sheetViews>
  <sheetFormatPr defaultColWidth="10.625" defaultRowHeight="15.75" x14ac:dyDescent="0.25"/>
  <cols>
    <col min="3" max="11" width="13.375" customWidth="1"/>
    <col min="23" max="23" width="13.875" customWidth="1"/>
    <col min="24" max="24" width="15.875" customWidth="1"/>
    <col min="25" max="25" width="14.125" customWidth="1"/>
  </cols>
  <sheetData>
    <row r="1" spans="1:25" ht="30" x14ac:dyDescent="0.25">
      <c r="A1" s="1" t="s">
        <v>0</v>
      </c>
      <c r="B1" s="1" t="s">
        <v>7</v>
      </c>
      <c r="C1" s="3" t="s">
        <v>8</v>
      </c>
      <c r="D1" s="3" t="s">
        <v>12</v>
      </c>
      <c r="E1" s="3" t="s">
        <v>9</v>
      </c>
      <c r="F1" s="207" t="s">
        <v>179</v>
      </c>
      <c r="G1" s="207" t="s">
        <v>180</v>
      </c>
      <c r="H1" s="3" t="s">
        <v>169</v>
      </c>
      <c r="I1" s="3" t="s">
        <v>170</v>
      </c>
      <c r="J1" s="3" t="s">
        <v>171</v>
      </c>
      <c r="K1" s="3" t="s">
        <v>172</v>
      </c>
      <c r="L1" s="3" t="s">
        <v>1</v>
      </c>
      <c r="M1" s="3" t="s">
        <v>2</v>
      </c>
      <c r="N1" s="3" t="s">
        <v>10</v>
      </c>
      <c r="O1" s="3" t="s">
        <v>4</v>
      </c>
      <c r="P1" s="3" t="s">
        <v>3</v>
      </c>
      <c r="Q1" s="3" t="s">
        <v>11</v>
      </c>
      <c r="R1" s="3" t="s">
        <v>6</v>
      </c>
      <c r="S1" s="3" t="s">
        <v>5</v>
      </c>
      <c r="T1" s="4" t="s">
        <v>13</v>
      </c>
      <c r="U1" s="81" t="s">
        <v>173</v>
      </c>
      <c r="V1" s="4" t="s">
        <v>174</v>
      </c>
      <c r="W1" s="4" t="s">
        <v>175</v>
      </c>
      <c r="X1" s="4" t="s">
        <v>176</v>
      </c>
      <c r="Y1" s="4" t="s">
        <v>177</v>
      </c>
    </row>
    <row r="2" spans="1:25" x14ac:dyDescent="0.2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"/>
    </row>
    <row r="3" spans="1:25" x14ac:dyDescent="0.25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"/>
    </row>
    <row r="4" spans="1:25" x14ac:dyDescent="0.25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4"/>
    </row>
    <row r="5" spans="1:25" x14ac:dyDescent="0.2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</row>
    <row r="6" spans="1:25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"/>
    </row>
    <row r="7" spans="1:25" x14ac:dyDescent="0.2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"/>
    </row>
    <row r="8" spans="1:25" x14ac:dyDescent="0.25">
      <c r="A8" s="2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4"/>
    </row>
    <row r="9" spans="1:25" x14ac:dyDescent="0.2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4"/>
    </row>
    <row r="10" spans="1:25" x14ac:dyDescent="0.25">
      <c r="A10" s="2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4"/>
    </row>
    <row r="11" spans="1:25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4"/>
    </row>
    <row r="12" spans="1:25" x14ac:dyDescent="0.25">
      <c r="A12" s="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4"/>
    </row>
    <row r="13" spans="1:25" x14ac:dyDescent="0.2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"/>
    </row>
    <row r="14" spans="1:25" x14ac:dyDescent="0.25">
      <c r="A14" s="2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</row>
    <row r="15" spans="1:25" x14ac:dyDescent="0.2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4"/>
    </row>
    <row r="16" spans="1:25" x14ac:dyDescent="0.25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4"/>
    </row>
    <row r="17" spans="1:25" x14ac:dyDescent="0.2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4"/>
    </row>
    <row r="18" spans="1:25" x14ac:dyDescent="0.25">
      <c r="A18" s="2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4"/>
    </row>
    <row r="19" spans="1:25" x14ac:dyDescent="0.2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"/>
    </row>
    <row r="20" spans="1:25" x14ac:dyDescent="0.25">
      <c r="A20" s="2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4"/>
    </row>
    <row r="21" spans="1:25" x14ac:dyDescent="0.2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4"/>
    </row>
    <row r="22" spans="1:25" x14ac:dyDescent="0.25">
      <c r="A22" s="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4"/>
    </row>
    <row r="23" spans="1:25" x14ac:dyDescent="0.2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4"/>
    </row>
    <row r="24" spans="1:25" x14ac:dyDescent="0.25">
      <c r="A24" s="2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4"/>
    </row>
    <row r="25" spans="1:25" x14ac:dyDescent="0.2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"/>
    </row>
    <row r="26" spans="1:25" x14ac:dyDescent="0.25">
      <c r="A26" s="2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"/>
    </row>
    <row r="27" spans="1:25" x14ac:dyDescent="0.25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"/>
    </row>
    <row r="28" spans="1:25" x14ac:dyDescent="0.25">
      <c r="A28" s="2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"/>
    </row>
    <row r="29" spans="1:25" x14ac:dyDescent="0.2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"/>
    </row>
    <row r="30" spans="1:25" x14ac:dyDescent="0.25">
      <c r="A30" s="2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"/>
    </row>
    <row r="31" spans="1:25" x14ac:dyDescent="0.2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"/>
    </row>
    <row r="32" spans="1:25" x14ac:dyDescent="0.25">
      <c r="A32" s="2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"/>
    </row>
    <row r="33" spans="1:25" x14ac:dyDescent="0.25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"/>
    </row>
    <row r="34" spans="1:25" x14ac:dyDescent="0.25">
      <c r="A34" s="2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"/>
    </row>
    <row r="35" spans="1:25" x14ac:dyDescent="0.25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"/>
    </row>
    <row r="36" spans="1:25" x14ac:dyDescent="0.25">
      <c r="A36" s="2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"/>
    </row>
    <row r="37" spans="1:25" x14ac:dyDescent="0.25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"/>
    </row>
    <row r="38" spans="1:25" x14ac:dyDescent="0.25">
      <c r="A38" s="2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"/>
    </row>
    <row r="39" spans="1:25" x14ac:dyDescent="0.25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"/>
    </row>
    <row r="40" spans="1:25" x14ac:dyDescent="0.25">
      <c r="A40" s="2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"/>
    </row>
    <row r="41" spans="1:25" x14ac:dyDescent="0.25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"/>
    </row>
    <row r="42" spans="1:25" x14ac:dyDescent="0.25">
      <c r="A42" s="2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"/>
    </row>
    <row r="43" spans="1:25" x14ac:dyDescent="0.25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"/>
    </row>
    <row r="44" spans="1:25" x14ac:dyDescent="0.25">
      <c r="A44" s="2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"/>
    </row>
    <row r="45" spans="1:25" x14ac:dyDescent="0.25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"/>
    </row>
    <row r="46" spans="1:25" x14ac:dyDescent="0.25">
      <c r="A46" s="2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"/>
    </row>
    <row r="47" spans="1:25" x14ac:dyDescent="0.25">
      <c r="A47" s="2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"/>
    </row>
    <row r="48" spans="1:25" x14ac:dyDescent="0.25">
      <c r="A48" s="2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"/>
    </row>
    <row r="49" spans="1:25" x14ac:dyDescent="0.25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"/>
    </row>
    <row r="50" spans="1:25" x14ac:dyDescent="0.25">
      <c r="A50" s="2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"/>
    </row>
    <row r="51" spans="1:25" x14ac:dyDescent="0.25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"/>
    </row>
    <row r="52" spans="1:25" x14ac:dyDescent="0.25">
      <c r="A52" s="2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"/>
    </row>
    <row r="53" spans="1:25" x14ac:dyDescent="0.25">
      <c r="A53" s="2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"/>
    </row>
    <row r="54" spans="1:25" x14ac:dyDescent="0.25">
      <c r="A54" s="2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"/>
    </row>
    <row r="55" spans="1:25" x14ac:dyDescent="0.25">
      <c r="A55" s="2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"/>
    </row>
    <row r="56" spans="1:25" x14ac:dyDescent="0.25">
      <c r="A56" s="2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"/>
    </row>
    <row r="57" spans="1:25" x14ac:dyDescent="0.25">
      <c r="A57" s="2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"/>
    </row>
    <row r="58" spans="1:25" x14ac:dyDescent="0.25">
      <c r="A58" s="2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"/>
    </row>
    <row r="59" spans="1:25" x14ac:dyDescent="0.25">
      <c r="A59" s="2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"/>
    </row>
    <row r="60" spans="1:25" x14ac:dyDescent="0.25">
      <c r="A60" s="2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"/>
    </row>
    <row r="61" spans="1:25" x14ac:dyDescent="0.25">
      <c r="A61" s="2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"/>
    </row>
    <row r="62" spans="1:25" x14ac:dyDescent="0.25">
      <c r="A62" s="2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"/>
    </row>
    <row r="63" spans="1:25" x14ac:dyDescent="0.25">
      <c r="A63" s="2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"/>
    </row>
    <row r="64" spans="1:25" x14ac:dyDescent="0.25">
      <c r="A64" s="2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"/>
    </row>
    <row r="65" spans="1:25" x14ac:dyDescent="0.25">
      <c r="A65" s="2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"/>
    </row>
    <row r="66" spans="1:25" x14ac:dyDescent="0.25">
      <c r="A66" s="2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"/>
    </row>
    <row r="67" spans="1:25" x14ac:dyDescent="0.25">
      <c r="A67" s="2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"/>
    </row>
    <row r="68" spans="1:25" x14ac:dyDescent="0.25">
      <c r="A68" s="2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"/>
    </row>
    <row r="69" spans="1:25" x14ac:dyDescent="0.25">
      <c r="A69" s="2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"/>
    </row>
    <row r="70" spans="1:25" x14ac:dyDescent="0.25">
      <c r="A70" s="2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"/>
    </row>
    <row r="71" spans="1:25" x14ac:dyDescent="0.25">
      <c r="A71" s="2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"/>
    </row>
    <row r="72" spans="1:25" x14ac:dyDescent="0.25">
      <c r="A72" s="2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"/>
    </row>
    <row r="73" spans="1:25" x14ac:dyDescent="0.25">
      <c r="A73" s="2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"/>
    </row>
    <row r="74" spans="1:25" x14ac:dyDescent="0.25">
      <c r="A74" s="2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"/>
    </row>
    <row r="75" spans="1:25" x14ac:dyDescent="0.25">
      <c r="A75" s="2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"/>
    </row>
    <row r="76" spans="1:25" x14ac:dyDescent="0.25">
      <c r="A76" s="2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"/>
    </row>
    <row r="77" spans="1:25" x14ac:dyDescent="0.25">
      <c r="A77" s="2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"/>
    </row>
    <row r="78" spans="1:25" x14ac:dyDescent="0.25">
      <c r="A78" s="2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"/>
    </row>
    <row r="79" spans="1:25" x14ac:dyDescent="0.25">
      <c r="A79" s="2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"/>
    </row>
    <row r="80" spans="1:25" x14ac:dyDescent="0.25">
      <c r="A80" s="2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"/>
    </row>
    <row r="81" spans="1:25" x14ac:dyDescent="0.25">
      <c r="A81" s="2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"/>
    </row>
    <row r="82" spans="1:25" x14ac:dyDescent="0.25">
      <c r="A82" s="2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"/>
    </row>
    <row r="83" spans="1:25" x14ac:dyDescent="0.25">
      <c r="A83" s="2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"/>
    </row>
    <row r="84" spans="1:25" x14ac:dyDescent="0.25">
      <c r="A84" s="2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"/>
    </row>
    <row r="85" spans="1:25" x14ac:dyDescent="0.25">
      <c r="A85" s="2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"/>
    </row>
    <row r="86" spans="1:25" x14ac:dyDescent="0.25">
      <c r="A86" s="2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"/>
    </row>
    <row r="87" spans="1:25" x14ac:dyDescent="0.25">
      <c r="A87" s="2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"/>
    </row>
    <row r="88" spans="1:25" x14ac:dyDescent="0.25">
      <c r="A88" s="2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"/>
    </row>
    <row r="89" spans="1:25" x14ac:dyDescent="0.25">
      <c r="A89" s="2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"/>
    </row>
    <row r="90" spans="1:25" x14ac:dyDescent="0.25">
      <c r="A90" s="2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"/>
    </row>
    <row r="91" spans="1:25" x14ac:dyDescent="0.25">
      <c r="A91" s="2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"/>
    </row>
    <row r="92" spans="1:25" x14ac:dyDescent="0.25">
      <c r="A92" s="2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"/>
    </row>
    <row r="93" spans="1:25" x14ac:dyDescent="0.25">
      <c r="A93" s="2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"/>
    </row>
    <row r="94" spans="1:25" x14ac:dyDescent="0.25">
      <c r="A94" s="2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"/>
    </row>
    <row r="95" spans="1:25" x14ac:dyDescent="0.25">
      <c r="A95" s="2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"/>
    </row>
    <row r="96" spans="1:25" x14ac:dyDescent="0.25">
      <c r="A96" s="2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"/>
    </row>
    <row r="97" spans="1:25" x14ac:dyDescent="0.25">
      <c r="A97" s="2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"/>
    </row>
  </sheetData>
  <dataValidations count="1">
    <dataValidation allowBlank="1" showInputMessage="1" showErrorMessage="1" promptTitle="Sample Name" prompt="Informative sample identifier provided by submitter. Only use letters, numbers or underscores [A-Za-z0-9_], no other characters, please." sqref="C2:K20" xr:uid="{E7C77AA6-C299-C648-8E67-A4CE7EBBDD5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9DA6-CD88-43FE-A49A-1F084804927C}">
  <dimension ref="A1:AK129"/>
  <sheetViews>
    <sheetView topLeftCell="A101" zoomScaleNormal="100" workbookViewId="0">
      <selection activeCell="P112" sqref="P112"/>
    </sheetView>
  </sheetViews>
  <sheetFormatPr defaultColWidth="8.125" defaultRowHeight="26.1" customHeight="1" x14ac:dyDescent="0.25"/>
  <cols>
    <col min="1" max="1" width="4.125" style="5" customWidth="1"/>
    <col min="2" max="2" width="4.75" style="5" customWidth="1"/>
    <col min="3" max="3" width="5.625" style="5" customWidth="1"/>
    <col min="4" max="4" width="5.875" style="5" customWidth="1"/>
    <col min="5" max="5" width="7.5" style="5" customWidth="1"/>
    <col min="6" max="6" width="7.625" style="5" customWidth="1"/>
    <col min="7" max="7" width="6.375" style="5" customWidth="1"/>
    <col min="8" max="9" width="6.875" style="5" customWidth="1"/>
    <col min="10" max="10" width="8.125" style="5" customWidth="1"/>
    <col min="11" max="11" width="6.875" style="5" customWidth="1"/>
    <col min="12" max="12" width="7.5" style="5" customWidth="1"/>
    <col min="13" max="13" width="7.375" style="5" customWidth="1"/>
    <col min="14" max="14" width="8" style="5" customWidth="1"/>
    <col min="15" max="15" width="8.125" style="5"/>
    <col min="16" max="16" width="7.5" style="5" customWidth="1"/>
    <col min="17" max="17" width="6" style="5" customWidth="1"/>
    <col min="18" max="18" width="5.375" style="5" customWidth="1"/>
    <col min="19" max="19" width="5" style="5" customWidth="1"/>
    <col min="20" max="20" width="5.875" style="5" customWidth="1"/>
    <col min="21" max="21" width="5.375" style="5" customWidth="1"/>
    <col min="22" max="22" width="5.125" style="5" customWidth="1"/>
    <col min="23" max="23" width="5.625" style="5" customWidth="1"/>
    <col min="24" max="25" width="5.375" style="5" customWidth="1"/>
    <col min="26" max="26" width="5.875" style="5" customWidth="1"/>
    <col min="27" max="27" width="6" style="5" customWidth="1"/>
    <col min="28" max="28" width="5.625" style="5" customWidth="1"/>
    <col min="29" max="29" width="5.375" style="5" customWidth="1"/>
    <col min="30" max="31" width="8.125" style="5"/>
    <col min="32" max="32" width="8.625" style="5" customWidth="1"/>
    <col min="33" max="16384" width="8.125" style="5"/>
  </cols>
  <sheetData>
    <row r="1" spans="1:37" ht="26.1" customHeight="1" x14ac:dyDescent="0.25">
      <c r="B1" s="6"/>
      <c r="C1" s="204" t="s">
        <v>14</v>
      </c>
      <c r="D1" s="204"/>
      <c r="E1" s="204"/>
      <c r="F1" s="204"/>
      <c r="G1" s="204"/>
      <c r="H1" s="204"/>
      <c r="I1" s="204"/>
      <c r="J1" s="204"/>
      <c r="Q1" s="6"/>
    </row>
    <row r="2" spans="1:37" ht="26.1" customHeight="1" x14ac:dyDescent="0.25">
      <c r="A2" s="87" t="s">
        <v>15</v>
      </c>
      <c r="B2" s="87"/>
      <c r="C2" s="87"/>
      <c r="D2" s="87"/>
      <c r="E2" s="87"/>
      <c r="F2" s="87"/>
      <c r="G2" s="9" t="s">
        <v>16</v>
      </c>
      <c r="H2" s="10"/>
      <c r="I2" s="11"/>
    </row>
    <row r="3" spans="1:37" ht="24.95" customHeight="1" x14ac:dyDescent="0.25">
      <c r="A3" s="205" t="s">
        <v>17</v>
      </c>
      <c r="B3" s="205"/>
      <c r="C3" s="205"/>
      <c r="D3" s="205"/>
      <c r="E3" s="205"/>
      <c r="F3" s="205"/>
      <c r="G3" s="182">
        <v>20250108</v>
      </c>
      <c r="H3" s="183"/>
      <c r="I3" s="184"/>
      <c r="J3" s="5" t="s">
        <v>18</v>
      </c>
    </row>
    <row r="4" spans="1:37" ht="49.5" customHeight="1" x14ac:dyDescent="0.25">
      <c r="A4" s="206" t="s">
        <v>19</v>
      </c>
      <c r="B4" s="206"/>
      <c r="C4" s="206"/>
      <c r="D4" s="206"/>
      <c r="E4" s="206"/>
      <c r="F4" s="206"/>
      <c r="G4" s="182">
        <v>3400005192</v>
      </c>
      <c r="H4" s="183"/>
      <c r="I4" s="184"/>
      <c r="L4" s="12" t="s">
        <v>20</v>
      </c>
      <c r="M4" s="13">
        <v>1</v>
      </c>
      <c r="N4" s="200" t="s">
        <v>21</v>
      </c>
      <c r="O4" s="201"/>
      <c r="P4" s="14"/>
      <c r="Q4" s="14"/>
      <c r="AK4" s="14"/>
    </row>
    <row r="5" spans="1:37" ht="20.25" customHeight="1" x14ac:dyDescent="0.25">
      <c r="A5" s="192" t="s">
        <v>22</v>
      </c>
      <c r="B5" s="192"/>
      <c r="C5" s="192"/>
      <c r="D5" s="192"/>
      <c r="E5" s="192"/>
      <c r="F5" s="192"/>
      <c r="G5" s="182" t="s">
        <v>23</v>
      </c>
      <c r="H5" s="183"/>
      <c r="I5" s="184"/>
      <c r="K5" s="202" t="s">
        <v>24</v>
      </c>
      <c r="L5" s="203"/>
      <c r="M5" s="13" t="s">
        <v>25</v>
      </c>
      <c r="AK5" s="14"/>
    </row>
    <row r="6" spans="1:37" ht="30" customHeight="1" x14ac:dyDescent="0.25">
      <c r="A6" s="199" t="s">
        <v>26</v>
      </c>
      <c r="B6" s="199"/>
      <c r="C6" s="199"/>
      <c r="D6" s="199"/>
      <c r="E6" s="199"/>
      <c r="F6" s="199"/>
      <c r="G6" s="182" t="s">
        <v>27</v>
      </c>
      <c r="H6" s="183"/>
      <c r="I6" s="184"/>
      <c r="AK6" s="14"/>
    </row>
    <row r="7" spans="1:37" ht="22.5" customHeight="1" x14ac:dyDescent="0.25">
      <c r="A7" s="192" t="s">
        <v>28</v>
      </c>
      <c r="B7" s="192"/>
      <c r="C7" s="192"/>
      <c r="D7" s="192"/>
      <c r="E7" s="192"/>
      <c r="F7" s="192"/>
      <c r="G7" s="182">
        <v>3100001206</v>
      </c>
      <c r="H7" s="183"/>
      <c r="I7" s="184"/>
      <c r="AK7" s="14"/>
    </row>
    <row r="8" spans="1:37" ht="18.75" customHeight="1" x14ac:dyDescent="0.25">
      <c r="A8" s="199" t="s">
        <v>29</v>
      </c>
      <c r="B8" s="199"/>
      <c r="C8" s="199"/>
      <c r="D8" s="199"/>
      <c r="E8" s="199"/>
      <c r="F8" s="199"/>
      <c r="G8" s="182">
        <v>2500004795</v>
      </c>
      <c r="H8" s="183"/>
      <c r="I8" s="184"/>
      <c r="J8" s="102" t="s">
        <v>30</v>
      </c>
      <c r="K8" s="103"/>
      <c r="L8" s="103"/>
      <c r="M8" s="104"/>
      <c r="N8" s="182">
        <v>2500003856</v>
      </c>
      <c r="O8" s="183"/>
      <c r="P8" s="184"/>
      <c r="AK8" s="14"/>
    </row>
    <row r="9" spans="1:37" ht="22.5" customHeight="1" x14ac:dyDescent="0.25">
      <c r="A9" s="192" t="s">
        <v>31</v>
      </c>
      <c r="B9" s="192"/>
      <c r="C9" s="192"/>
      <c r="D9" s="192"/>
      <c r="E9" s="192"/>
      <c r="F9" s="192"/>
      <c r="G9" s="182">
        <v>2500005946</v>
      </c>
      <c r="H9" s="183"/>
      <c r="I9" s="184"/>
      <c r="J9" s="193" t="s">
        <v>32</v>
      </c>
      <c r="K9" s="194"/>
      <c r="L9" s="194"/>
      <c r="M9" s="195"/>
      <c r="N9" s="182">
        <v>2500005110</v>
      </c>
      <c r="O9" s="183"/>
      <c r="P9" s="184"/>
      <c r="Q9" s="15"/>
      <c r="R9" s="15"/>
      <c r="AK9" s="14"/>
    </row>
    <row r="10" spans="1:37" ht="21.75" customHeight="1" x14ac:dyDescent="0.25">
      <c r="A10" s="87" t="s">
        <v>33</v>
      </c>
      <c r="B10" s="87"/>
      <c r="C10" s="87"/>
      <c r="D10" s="87"/>
      <c r="E10" s="87"/>
      <c r="F10" s="87"/>
      <c r="G10" s="196" t="s">
        <v>34</v>
      </c>
      <c r="H10" s="197"/>
      <c r="I10" s="198"/>
    </row>
    <row r="11" spans="1:37" ht="20.25" customHeight="1" x14ac:dyDescent="0.25">
      <c r="A11" s="87" t="s">
        <v>35</v>
      </c>
      <c r="B11" s="87"/>
      <c r="C11" s="87"/>
      <c r="D11" s="87"/>
      <c r="E11" s="87"/>
      <c r="F11" s="87"/>
      <c r="G11" s="182" t="s">
        <v>36</v>
      </c>
      <c r="H11" s="183"/>
      <c r="I11" s="184"/>
    </row>
    <row r="12" spans="1:37" ht="21" customHeight="1" x14ac:dyDescent="0.25">
      <c r="A12" s="185" t="s">
        <v>37</v>
      </c>
      <c r="B12" s="185"/>
      <c r="C12" s="185"/>
      <c r="D12" s="185"/>
      <c r="E12" s="185"/>
      <c r="F12" s="185"/>
      <c r="G12" s="186" t="s">
        <v>38</v>
      </c>
      <c r="H12" s="187"/>
      <c r="I12" s="188"/>
    </row>
    <row r="13" spans="1:37" ht="20.45" customHeight="1" thickBot="1" x14ac:dyDescent="0.3">
      <c r="A13" s="16" t="s">
        <v>39</v>
      </c>
      <c r="B13" s="16"/>
      <c r="C13" s="16"/>
      <c r="D13" s="16"/>
      <c r="E13" s="17">
        <v>8</v>
      </c>
      <c r="F13" s="18" t="b">
        <f>MOD(E13,8)=0</f>
        <v>1</v>
      </c>
      <c r="G13" s="18">
        <f>ROUNDDOWN((E13/8),0)</f>
        <v>1</v>
      </c>
      <c r="H13" s="18">
        <f>E13-G13*8</f>
        <v>0</v>
      </c>
      <c r="I13" s="18"/>
    </row>
    <row r="14" spans="1:37" ht="26.1" customHeight="1" thickBot="1" x14ac:dyDescent="0.3">
      <c r="B14" s="189" t="s">
        <v>40</v>
      </c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1"/>
    </row>
    <row r="15" spans="1:37" ht="26.25" customHeight="1" thickBot="1" x14ac:dyDescent="0.3">
      <c r="A15" s="19"/>
      <c r="B15" s="20" t="s">
        <v>41</v>
      </c>
    </row>
    <row r="16" spans="1:37" ht="23.45" customHeight="1" x14ac:dyDescent="0.25">
      <c r="A16" s="21"/>
      <c r="B16" s="22" t="s">
        <v>42</v>
      </c>
      <c r="C16" s="23" cm="1">
        <f t="array" ref="C16:R16">IF(ISNUMBER($E$13),TRANSPOSE(prep_table!$C$2:$C$17))</f>
        <v>0</v>
      </c>
      <c r="D16" s="24">
        <v>0</v>
      </c>
      <c r="E16" s="23">
        <v>0</v>
      </c>
      <c r="F16" s="24">
        <v>0</v>
      </c>
      <c r="G16" s="23">
        <v>0</v>
      </c>
      <c r="H16" s="24">
        <v>0</v>
      </c>
      <c r="I16" s="23">
        <v>0</v>
      </c>
      <c r="J16" s="24">
        <v>0</v>
      </c>
      <c r="K16" s="23">
        <v>0</v>
      </c>
      <c r="L16" s="24">
        <v>0</v>
      </c>
      <c r="M16" s="23">
        <v>0</v>
      </c>
      <c r="N16" s="24">
        <v>0</v>
      </c>
      <c r="O16" s="23">
        <v>0</v>
      </c>
      <c r="P16" s="24">
        <v>0</v>
      </c>
      <c r="Q16" s="23">
        <v>0</v>
      </c>
      <c r="R16" s="24">
        <v>0</v>
      </c>
    </row>
    <row r="17" spans="1:18" ht="23.45" customHeight="1" x14ac:dyDescent="0.25">
      <c r="A17" s="21"/>
      <c r="B17" s="25" t="s">
        <v>43</v>
      </c>
      <c r="C17" s="26" cm="1">
        <f t="array" ref="C17:R17">IF(ISNUMBER($E$13),TRANSPOSE(prep_table!I2:I17))</f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</row>
    <row r="18" spans="1:18" ht="23.45" customHeight="1" thickBot="1" x14ac:dyDescent="0.3">
      <c r="A18" s="21"/>
      <c r="B18" s="25" t="s">
        <v>44</v>
      </c>
      <c r="C18" s="26" cm="1">
        <f t="array" ref="C18:R18">IF(ISNUMBER($E$13),TRANSPOSE(prep_table!J2:J17))</f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</row>
    <row r="19" spans="1:18" ht="26.1" customHeight="1" thickBot="1" x14ac:dyDescent="0.3">
      <c r="A19" s="21"/>
      <c r="B19" s="131" t="s">
        <v>45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3"/>
    </row>
    <row r="20" spans="1:18" ht="26.1" customHeight="1" thickBot="1" x14ac:dyDescent="0.3">
      <c r="A20" s="19"/>
      <c r="B20" s="20" t="str">
        <f>IF($F$13=TRUE,CONCATENATE("Pipet ",FIXED($E$13*SUM(F23:F24)/8*1.1)," µL of Frag MM into each well of column 1 of MM plate"),CONCATENATE("Pipet ",(($G$13+1)*SUM((F23:F24))*1.1)," µL of FS1 into first ",$H$13," wells and ",(($G$13)*(SUM(F23:F24))*1.1)," µL into the other wells of MM plate column 1"))</f>
        <v>Pipet 11.00 µL of Frag MM into each well of column 1 of MM plate</v>
      </c>
      <c r="C20" s="20"/>
      <c r="D20" s="20"/>
      <c r="E20" s="20"/>
      <c r="M20" s="15"/>
      <c r="O20" s="27"/>
    </row>
    <row r="21" spans="1:18" ht="26.1" customHeight="1" thickBot="1" x14ac:dyDescent="0.3">
      <c r="A21" s="21"/>
      <c r="B21" s="20"/>
      <c r="C21" s="20"/>
      <c r="D21" s="20"/>
      <c r="E21" s="20"/>
      <c r="F21" s="28" t="s">
        <v>46</v>
      </c>
      <c r="G21" s="158" t="str">
        <f>CONCATENATE(" Volume for ",$E$13, " samples")</f>
        <v xml:space="preserve"> Volume for 8 samples</v>
      </c>
      <c r="H21" s="158"/>
      <c r="O21" s="27"/>
    </row>
    <row r="22" spans="1:18" ht="26.1" customHeight="1" thickBot="1" x14ac:dyDescent="0.3">
      <c r="A22" s="19"/>
      <c r="B22" s="20" t="s">
        <v>47</v>
      </c>
      <c r="C22" s="175" t="s">
        <v>48</v>
      </c>
      <c r="D22" s="175"/>
      <c r="E22" s="175"/>
      <c r="F22" s="16">
        <v>40</v>
      </c>
      <c r="G22" s="87" t="s">
        <v>49</v>
      </c>
      <c r="H22" s="87"/>
      <c r="I22" s="29" t="s">
        <v>50</v>
      </c>
      <c r="O22" s="27"/>
    </row>
    <row r="23" spans="1:18" ht="26.1" customHeight="1" x14ac:dyDescent="0.25">
      <c r="C23" s="176" t="s">
        <v>51</v>
      </c>
      <c r="D23" s="177"/>
      <c r="E23" s="178"/>
      <c r="F23" s="16">
        <v>4</v>
      </c>
      <c r="G23" s="87">
        <f>F23*1.1*$E$13</f>
        <v>35.200000000000003</v>
      </c>
      <c r="H23" s="87"/>
      <c r="I23" s="29" t="s">
        <v>50</v>
      </c>
      <c r="O23" s="27"/>
      <c r="Q23" s="20"/>
    </row>
    <row r="24" spans="1:18" ht="27.75" customHeight="1" thickBot="1" x14ac:dyDescent="0.3">
      <c r="A24" s="21"/>
      <c r="B24" s="20"/>
      <c r="C24" s="179" t="s">
        <v>52</v>
      </c>
      <c r="D24" s="180"/>
      <c r="E24" s="181"/>
      <c r="F24" s="30">
        <v>6</v>
      </c>
      <c r="G24" s="149">
        <f>F24*1.1*$E$13</f>
        <v>52.800000000000004</v>
      </c>
      <c r="H24" s="149"/>
      <c r="I24" s="31" t="s">
        <v>50</v>
      </c>
      <c r="O24" s="27"/>
    </row>
    <row r="25" spans="1:18" ht="20.100000000000001" customHeight="1" thickBot="1" x14ac:dyDescent="0.3">
      <c r="A25" s="21"/>
      <c r="C25" s="163" t="s">
        <v>53</v>
      </c>
      <c r="D25" s="164"/>
      <c r="E25" s="165"/>
      <c r="F25" s="32">
        <f>SUM(F22:F24)</f>
        <v>50</v>
      </c>
      <c r="G25" s="150" t="s">
        <v>49</v>
      </c>
      <c r="H25" s="150"/>
      <c r="I25" s="32" t="s">
        <v>50</v>
      </c>
      <c r="J25" s="5" t="s">
        <v>54</v>
      </c>
      <c r="O25" s="27"/>
    </row>
    <row r="26" spans="1:18" ht="26.1" customHeight="1" thickBot="1" x14ac:dyDescent="0.3">
      <c r="A26" s="19"/>
      <c r="B26" s="20" t="s">
        <v>55</v>
      </c>
      <c r="D26" s="171" t="s">
        <v>56</v>
      </c>
      <c r="E26" s="171"/>
      <c r="F26" s="20" t="s">
        <v>57</v>
      </c>
      <c r="O26" s="27"/>
    </row>
    <row r="27" spans="1:18" ht="26.1" customHeight="1" thickBot="1" x14ac:dyDescent="0.3">
      <c r="A27" s="21"/>
      <c r="B27" s="20"/>
      <c r="D27" s="172" t="s">
        <v>58</v>
      </c>
      <c r="E27" s="172"/>
      <c r="F27" s="172"/>
      <c r="G27" s="172"/>
      <c r="O27" s="27"/>
    </row>
    <row r="28" spans="1:18" ht="24.75" customHeight="1" thickBot="1" x14ac:dyDescent="0.3">
      <c r="A28" s="21"/>
      <c r="B28" s="92" t="s">
        <v>59</v>
      </c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8" ht="26.1" customHeight="1" thickBot="1" x14ac:dyDescent="0.3">
      <c r="A29" s="19"/>
      <c r="B29" s="20" t="str">
        <f>IF($F$13=TRUE,CONCATENATE("Pipet ",FIXED($E$13*E34/8*1.1)," µL  of L into each well of column 2 of MM plate"),CONCATENATE("Pipet ",FIXED(($G$13+1)*E34*1.1)," µL of L into first ",$H$13," wells and ",FIXED(($G$13)*E34*1.1)," µL into the other wells of MM plate column 2"))</f>
        <v>Pipet 22.00 µL  of L into each well of column 2 of MM plate</v>
      </c>
      <c r="D29" s="20"/>
      <c r="E29" s="20"/>
    </row>
    <row r="30" spans="1:18" ht="26.1" customHeight="1" thickBot="1" x14ac:dyDescent="0.3">
      <c r="A30" s="19"/>
      <c r="B30" s="20" t="str">
        <f>IF($F$13=TRUE,CONCATENATE("Pipet ",FIXED($E$13*E33/8*1.1)," µL  of A into each well of column 2 of MM plate"),CONCATENATE("Pipet ",FIXED(($G$13+1)*E33*1.1)," µL of A into first ",$H$13," wells and ",FIXED(($G$13)*E33*1.1)," µL into the other wells of MM plate column 2"))</f>
        <v>Pipet 5.50 µL  of A into each well of column 2 of MM plate</v>
      </c>
      <c r="D30" s="20"/>
      <c r="E30" s="20"/>
    </row>
    <row r="31" spans="1:18" ht="35.450000000000003" customHeight="1" thickBot="1" x14ac:dyDescent="0.3">
      <c r="A31" s="19"/>
      <c r="B31" s="20" t="s">
        <v>47</v>
      </c>
      <c r="C31" s="20"/>
      <c r="D31" s="20"/>
      <c r="E31" s="28" t="s">
        <v>46</v>
      </c>
      <c r="F31" s="158" t="str">
        <f>CONCATENATE(" Volume for ",$E$13, " samples")</f>
        <v xml:space="preserve"> Volume for 8 samples</v>
      </c>
      <c r="G31" s="158"/>
      <c r="I31" s="33" t="s">
        <v>60</v>
      </c>
      <c r="M31" s="34" t="s">
        <v>46</v>
      </c>
      <c r="N31" s="173" t="str">
        <f>CONCATENATE(" Volume for ",$E$13, " samples")</f>
        <v xml:space="preserve"> Volume for 8 samples</v>
      </c>
      <c r="O31" s="174"/>
    </row>
    <row r="32" spans="1:18" ht="23.1" customHeight="1" x14ac:dyDescent="0.25">
      <c r="A32" s="21"/>
      <c r="B32" s="169" t="s">
        <v>61</v>
      </c>
      <c r="C32" s="169"/>
      <c r="D32" s="169"/>
      <c r="E32" s="16">
        <v>50</v>
      </c>
      <c r="F32" s="87" t="s">
        <v>49</v>
      </c>
      <c r="G32" s="87"/>
      <c r="H32" s="29" t="s">
        <v>50</v>
      </c>
      <c r="J32" s="160" t="s">
        <v>61</v>
      </c>
      <c r="K32" s="160"/>
      <c r="L32" s="160"/>
      <c r="M32" s="35">
        <v>50</v>
      </c>
      <c r="N32" s="161" t="s">
        <v>49</v>
      </c>
      <c r="O32" s="162"/>
      <c r="P32" s="36" t="s">
        <v>50</v>
      </c>
    </row>
    <row r="33" spans="1:16" ht="26.1" customHeight="1" x14ac:dyDescent="0.25">
      <c r="A33" s="21"/>
      <c r="B33" s="170" t="s">
        <v>62</v>
      </c>
      <c r="C33" s="170"/>
      <c r="D33" s="170"/>
      <c r="E33" s="16">
        <v>5</v>
      </c>
      <c r="F33" s="87">
        <f>E33*1.1*$E$13</f>
        <v>44</v>
      </c>
      <c r="G33" s="87"/>
      <c r="H33" s="29" t="s">
        <v>50</v>
      </c>
      <c r="J33" s="160" t="s">
        <v>63</v>
      </c>
      <c r="K33" s="160"/>
      <c r="L33" s="160"/>
      <c r="M33" s="35">
        <v>3</v>
      </c>
      <c r="N33" s="161">
        <f>M33*1.1*$E$13</f>
        <v>26.400000000000002</v>
      </c>
      <c r="O33" s="162"/>
      <c r="P33" s="36" t="s">
        <v>50</v>
      </c>
    </row>
    <row r="34" spans="1:16" ht="21.6" customHeight="1" thickBot="1" x14ac:dyDescent="0.3">
      <c r="A34" s="21"/>
      <c r="B34" s="159" t="s">
        <v>64</v>
      </c>
      <c r="C34" s="159"/>
      <c r="D34" s="159"/>
      <c r="E34" s="30">
        <v>20</v>
      </c>
      <c r="F34" s="149">
        <f>E34*1.1*$E$13</f>
        <v>176</v>
      </c>
      <c r="G34" s="149"/>
      <c r="H34" s="31" t="s">
        <v>50</v>
      </c>
      <c r="I34" s="7" t="s">
        <v>65</v>
      </c>
      <c r="J34" s="160" t="s">
        <v>66</v>
      </c>
      <c r="K34" s="160"/>
      <c r="L34" s="160"/>
      <c r="M34" s="35">
        <v>2</v>
      </c>
      <c r="N34" s="161">
        <f>M34*1.1*$E$13</f>
        <v>17.600000000000001</v>
      </c>
      <c r="O34" s="162"/>
      <c r="P34" s="36" t="s">
        <v>50</v>
      </c>
    </row>
    <row r="35" spans="1:16" ht="23.1" customHeight="1" thickBot="1" x14ac:dyDescent="0.3">
      <c r="A35" s="21"/>
      <c r="B35" s="163" t="s">
        <v>53</v>
      </c>
      <c r="C35" s="164"/>
      <c r="D35" s="165"/>
      <c r="E35" s="32">
        <f>SUM(E32:E34)</f>
        <v>75</v>
      </c>
      <c r="F35" s="150" t="s">
        <v>49</v>
      </c>
      <c r="G35" s="150"/>
      <c r="H35" s="32" t="s">
        <v>50</v>
      </c>
      <c r="J35" s="166" t="s">
        <v>64</v>
      </c>
      <c r="K35" s="166"/>
      <c r="L35" s="166"/>
      <c r="M35" s="37">
        <v>20</v>
      </c>
      <c r="N35" s="167">
        <f>M35*1.1*$E$13</f>
        <v>176</v>
      </c>
      <c r="O35" s="168"/>
      <c r="P35" s="38" t="s">
        <v>50</v>
      </c>
    </row>
    <row r="36" spans="1:16" ht="26.1" customHeight="1" thickBot="1" x14ac:dyDescent="0.3">
      <c r="A36" s="19"/>
      <c r="B36" s="39" t="s">
        <v>55</v>
      </c>
      <c r="D36" s="40" t="s">
        <v>67</v>
      </c>
      <c r="J36" s="152" t="s">
        <v>53</v>
      </c>
      <c r="K36" s="152"/>
      <c r="L36" s="152"/>
      <c r="M36" s="41">
        <v>25</v>
      </c>
      <c r="N36" s="153" t="s">
        <v>49</v>
      </c>
      <c r="O36" s="154"/>
      <c r="P36" s="42" t="s">
        <v>50</v>
      </c>
    </row>
    <row r="37" spans="1:16" ht="26.1" customHeight="1" thickBot="1" x14ac:dyDescent="0.3">
      <c r="A37" s="21"/>
      <c r="D37" s="40" t="s">
        <v>68</v>
      </c>
    </row>
    <row r="38" spans="1:16" ht="26.1" customHeight="1" thickBot="1" x14ac:dyDescent="0.3">
      <c r="A38" s="15"/>
      <c r="B38" s="89" t="s">
        <v>69</v>
      </c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1"/>
    </row>
    <row r="39" spans="1:16" s="20" customFormat="1" ht="24" customHeight="1" thickBot="1" x14ac:dyDescent="0.3">
      <c r="A39" s="43"/>
      <c r="B39" s="20" t="s">
        <v>70</v>
      </c>
    </row>
    <row r="40" spans="1:16" s="20" customFormat="1" ht="26.1" customHeight="1" thickBot="1" x14ac:dyDescent="0.3">
      <c r="A40" s="21"/>
      <c r="B40" s="155" t="s">
        <v>71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7"/>
    </row>
    <row r="41" spans="1:16" s="20" customFormat="1" ht="24" customHeight="1" thickBot="1" x14ac:dyDescent="0.3">
      <c r="A41" s="43"/>
      <c r="B41" s="20" t="str">
        <f>IF($F$13=TRUE,CONCATENATE("Pipet ",FIXED($E$13*E45/8*1.1)," µL of Equinox Library Amp Mix into each well of column 3 of MM plate"),CONCATENATE("Pipet ",FIXED(($G$13+1)*E45*1.1)," µL of Equinox Library Amp Mix into first ",$H$13," wells and ",FIXED(($G$13)*E45*1.1)," µL into the other wells of MM plate column 3"))</f>
        <v>Pipet 27.50 µL of Equinox Library Amp Mix into each well of column 3 of MM plate</v>
      </c>
    </row>
    <row r="42" spans="1:16" ht="32.1" customHeight="1" thickBot="1" x14ac:dyDescent="0.3">
      <c r="A42" s="19"/>
      <c r="B42" s="20" t="s">
        <v>47</v>
      </c>
      <c r="E42" s="28" t="s">
        <v>46</v>
      </c>
      <c r="F42" s="158" t="str">
        <f>CONCATENATE(" Volume for ",$E$13, " samples")</f>
        <v xml:space="preserve"> Volume for 8 samples</v>
      </c>
      <c r="G42" s="158"/>
    </row>
    <row r="43" spans="1:16" ht="33" customHeight="1" x14ac:dyDescent="0.25">
      <c r="A43" s="21"/>
      <c r="B43" s="118" t="s">
        <v>48</v>
      </c>
      <c r="C43" s="119"/>
      <c r="D43" s="120"/>
      <c r="E43" s="44">
        <v>15</v>
      </c>
      <c r="F43" s="87" t="s">
        <v>49</v>
      </c>
      <c r="G43" s="87"/>
      <c r="H43" s="29" t="s">
        <v>50</v>
      </c>
    </row>
    <row r="44" spans="1:16" ht="24" customHeight="1" x14ac:dyDescent="0.25">
      <c r="A44" s="21"/>
      <c r="B44" s="143" t="s">
        <v>72</v>
      </c>
      <c r="C44" s="144"/>
      <c r="D44" s="145"/>
      <c r="E44" s="45">
        <v>10</v>
      </c>
      <c r="F44" s="87" t="s">
        <v>49</v>
      </c>
      <c r="G44" s="87"/>
      <c r="H44" s="29" t="s">
        <v>50</v>
      </c>
    </row>
    <row r="45" spans="1:16" ht="25.5" customHeight="1" thickBot="1" x14ac:dyDescent="0.3">
      <c r="A45" s="21"/>
      <c r="B45" s="146" t="s">
        <v>73</v>
      </c>
      <c r="C45" s="147"/>
      <c r="D45" s="148"/>
      <c r="E45" s="30">
        <v>25</v>
      </c>
      <c r="F45" s="149">
        <f>E45*1.1*$E$13</f>
        <v>220.00000000000003</v>
      </c>
      <c r="G45" s="149"/>
      <c r="H45" s="46" t="s">
        <v>50</v>
      </c>
    </row>
    <row r="46" spans="1:16" ht="18" customHeight="1" thickBot="1" x14ac:dyDescent="0.3">
      <c r="A46" s="21"/>
      <c r="E46" s="47">
        <v>50</v>
      </c>
      <c r="F46" s="150" t="s">
        <v>49</v>
      </c>
      <c r="G46" s="150"/>
      <c r="H46" s="48" t="s">
        <v>50</v>
      </c>
      <c r="I46" s="49" t="s">
        <v>54</v>
      </c>
    </row>
    <row r="47" spans="1:16" ht="23.25" customHeight="1" thickBot="1" x14ac:dyDescent="0.3">
      <c r="A47" s="50"/>
      <c r="B47" s="39" t="s">
        <v>74</v>
      </c>
      <c r="J47" s="5" t="s">
        <v>75</v>
      </c>
      <c r="K47" s="51"/>
    </row>
    <row r="48" spans="1:16" ht="18" customHeight="1" x14ac:dyDescent="0.25">
      <c r="A48" s="21"/>
      <c r="B48" s="52"/>
      <c r="C48" s="53">
        <v>1</v>
      </c>
      <c r="D48" s="53">
        <v>2</v>
      </c>
      <c r="E48" s="53">
        <v>3</v>
      </c>
      <c r="F48" s="53">
        <v>4</v>
      </c>
      <c r="G48" s="53">
        <v>5</v>
      </c>
      <c r="H48" s="53">
        <v>6</v>
      </c>
      <c r="I48" s="53">
        <v>7</v>
      </c>
      <c r="J48" s="53">
        <v>8</v>
      </c>
      <c r="K48" s="53">
        <v>9</v>
      </c>
      <c r="L48" s="53">
        <v>10</v>
      </c>
      <c r="M48" s="53">
        <v>11</v>
      </c>
      <c r="N48" s="53">
        <v>12</v>
      </c>
    </row>
    <row r="49" spans="1:15" ht="18" customHeight="1" x14ac:dyDescent="0.25">
      <c r="A49" s="21"/>
      <c r="B49" s="54" t="s">
        <v>76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5" ht="18" customHeight="1" x14ac:dyDescent="0.25">
      <c r="B50" s="54" t="s">
        <v>77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5" ht="18" customHeight="1" x14ac:dyDescent="0.25">
      <c r="B51" s="54" t="s">
        <v>78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5" ht="15.75" x14ac:dyDescent="0.25">
      <c r="B52" s="54" t="s">
        <v>79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5" ht="15.75" x14ac:dyDescent="0.25">
      <c r="B53" s="54" t="s">
        <v>80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5" ht="15.75" x14ac:dyDescent="0.25">
      <c r="B54" s="54" t="s">
        <v>81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5" ht="15.75" x14ac:dyDescent="0.25">
      <c r="B55" s="54" t="s">
        <v>82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15" ht="16.5" thickBot="1" x14ac:dyDescent="0.3">
      <c r="B56" s="54" t="s">
        <v>83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5" ht="26.1" customHeight="1" thickBot="1" x14ac:dyDescent="0.3">
      <c r="A57" s="19"/>
      <c r="B57" s="20" t="s">
        <v>84</v>
      </c>
      <c r="F57" s="56"/>
      <c r="G57" s="151" t="s">
        <v>85</v>
      </c>
      <c r="H57" s="151"/>
      <c r="J57" s="15"/>
    </row>
    <row r="58" spans="1:15" ht="15.75" x14ac:dyDescent="0.25">
      <c r="A58" s="21"/>
      <c r="G58" s="134" t="s">
        <v>86</v>
      </c>
      <c r="H58" s="135"/>
      <c r="I58" s="136" t="s">
        <v>87</v>
      </c>
      <c r="J58" s="137"/>
    </row>
    <row r="59" spans="1:15" ht="15.75" x14ac:dyDescent="0.25">
      <c r="A59" s="21"/>
      <c r="G59" s="134" t="s">
        <v>88</v>
      </c>
      <c r="H59" s="135"/>
      <c r="I59" s="138"/>
      <c r="J59" s="139"/>
    </row>
    <row r="60" spans="1:15" ht="15.75" x14ac:dyDescent="0.25">
      <c r="A60" s="21"/>
      <c r="G60" s="134" t="s">
        <v>89</v>
      </c>
      <c r="H60" s="135"/>
      <c r="I60" s="140"/>
      <c r="J60" s="141"/>
    </row>
    <row r="61" spans="1:15" ht="15.75" x14ac:dyDescent="0.25">
      <c r="A61" s="21"/>
      <c r="G61" s="142" t="s">
        <v>90</v>
      </c>
      <c r="H61" s="142"/>
      <c r="I61" s="20"/>
      <c r="J61" s="20"/>
    </row>
    <row r="62" spans="1:15" ht="16.5" thickBot="1" x14ac:dyDescent="0.3">
      <c r="G62" s="88" t="s">
        <v>68</v>
      </c>
      <c r="H62" s="88"/>
      <c r="I62" s="15"/>
      <c r="J62" s="15"/>
    </row>
    <row r="63" spans="1:15" ht="23.1" customHeight="1" thickBot="1" x14ac:dyDescent="0.3">
      <c r="A63" s="15"/>
      <c r="B63" s="89" t="s">
        <v>69</v>
      </c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1"/>
    </row>
    <row r="64" spans="1:15" s="20" customFormat="1" ht="24" customHeight="1" thickBot="1" x14ac:dyDescent="0.3">
      <c r="A64" s="43"/>
      <c r="B64" s="20" t="s">
        <v>91</v>
      </c>
    </row>
    <row r="65" spans="1:19" ht="23.1" customHeight="1" thickBot="1" x14ac:dyDescent="0.3">
      <c r="A65" s="50"/>
      <c r="B65" s="92" t="s">
        <v>92</v>
      </c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5"/>
    </row>
    <row r="66" spans="1:19" s="20" customFormat="1" ht="24" customHeight="1" thickBot="1" x14ac:dyDescent="0.3">
      <c r="A66" s="43"/>
      <c r="B66" s="57" t="s">
        <v>93</v>
      </c>
      <c r="C66" s="58" t="s">
        <v>42</v>
      </c>
      <c r="D66" s="16" cm="1">
        <f t="array" ref="D66:S66">IF(ISNUMBER($E$13),TRANSPOSE(prep_table!$C$3:$C$18))</f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</row>
    <row r="67" spans="1:19" s="20" customFormat="1" ht="24" customHeight="1" thickBot="1" x14ac:dyDescent="0.3">
      <c r="A67" s="59"/>
      <c r="C67" s="60" t="s">
        <v>94</v>
      </c>
      <c r="D67" s="61"/>
      <c r="E67" s="61"/>
      <c r="F67" s="61"/>
      <c r="G67" s="61"/>
      <c r="H67" s="61"/>
      <c r="I67" s="61"/>
      <c r="J67" s="61"/>
      <c r="K67" s="61"/>
      <c r="L67" s="60"/>
      <c r="M67" s="60"/>
      <c r="N67" s="60"/>
      <c r="O67" s="60"/>
      <c r="P67" s="16"/>
      <c r="Q67" s="16"/>
      <c r="R67" s="16"/>
      <c r="S67" s="16"/>
    </row>
    <row r="68" spans="1:19" ht="26.1" customHeight="1" thickBot="1" x14ac:dyDescent="0.3">
      <c r="A68" s="126" t="s">
        <v>95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8"/>
      <c r="P68" s="62" t="s">
        <v>96</v>
      </c>
    </row>
    <row r="69" spans="1:19" ht="33.950000000000003" customHeight="1" thickBot="1" x14ac:dyDescent="0.3">
      <c r="A69" s="63"/>
      <c r="B69" s="129" t="s">
        <v>97</v>
      </c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</row>
    <row r="70" spans="1:19" ht="24" customHeight="1" thickBot="1" x14ac:dyDescent="0.3">
      <c r="A70" s="64"/>
      <c r="B70" s="20" t="s">
        <v>98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 t="s">
        <v>178</v>
      </c>
      <c r="O70" s="51"/>
    </row>
    <row r="71" spans="1:19" ht="26.25" customHeight="1" thickBot="1" x14ac:dyDescent="0.3">
      <c r="A71" s="15"/>
      <c r="B71" s="131" t="s">
        <v>99</v>
      </c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3"/>
    </row>
    <row r="72" spans="1:19" ht="23.25" customHeight="1" thickBot="1" x14ac:dyDescent="0.3">
      <c r="A72" s="64"/>
      <c r="B72" s="109" t="s">
        <v>100</v>
      </c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5"/>
    </row>
    <row r="73" spans="1:19" ht="22.5" customHeight="1" thickBot="1" x14ac:dyDescent="0.3">
      <c r="A73" s="19"/>
      <c r="B73" s="108" t="s">
        <v>101</v>
      </c>
      <c r="C73" s="109"/>
      <c r="D73" s="109"/>
      <c r="E73" s="118" t="s">
        <v>102</v>
      </c>
      <c r="F73" s="119"/>
      <c r="G73" s="120"/>
      <c r="H73" s="65">
        <v>20</v>
      </c>
      <c r="I73" s="8" t="s">
        <v>50</v>
      </c>
      <c r="J73" s="15"/>
    </row>
    <row r="74" spans="1:19" ht="16.5" customHeight="1" x14ac:dyDescent="0.25">
      <c r="A74" s="21"/>
      <c r="B74" s="20"/>
      <c r="C74" s="15"/>
      <c r="D74" s="15"/>
      <c r="E74" s="121" t="s">
        <v>103</v>
      </c>
      <c r="F74" s="122"/>
      <c r="G74" s="123"/>
      <c r="H74" s="66">
        <v>4</v>
      </c>
      <c r="I74" s="8" t="s">
        <v>50</v>
      </c>
      <c r="J74" s="15"/>
    </row>
    <row r="75" spans="1:19" ht="16.5" customHeight="1" x14ac:dyDescent="0.25">
      <c r="A75" s="21"/>
      <c r="C75" s="15"/>
      <c r="D75" s="15"/>
      <c r="E75" s="121" t="s">
        <v>104</v>
      </c>
      <c r="F75" s="122"/>
      <c r="G75" s="123"/>
      <c r="H75" s="67">
        <v>4</v>
      </c>
      <c r="I75" s="8" t="s">
        <v>50</v>
      </c>
      <c r="J75" s="15"/>
    </row>
    <row r="76" spans="1:19" ht="16.5" thickBot="1" x14ac:dyDescent="0.3">
      <c r="A76" s="21"/>
      <c r="H76" s="8">
        <v>28</v>
      </c>
      <c r="I76" s="8" t="s">
        <v>50</v>
      </c>
      <c r="J76" s="15"/>
    </row>
    <row r="77" spans="1:19" ht="23.25" customHeight="1" thickBot="1" x14ac:dyDescent="0.3">
      <c r="A77" s="19"/>
      <c r="B77" s="39" t="s">
        <v>55</v>
      </c>
      <c r="D77" s="88" t="s">
        <v>105</v>
      </c>
      <c r="E77" s="88"/>
      <c r="F77" s="68"/>
      <c r="G77" s="15"/>
      <c r="H77" s="15"/>
      <c r="I77" s="15"/>
    </row>
    <row r="78" spans="1:19" ht="15.75" x14ac:dyDescent="0.25">
      <c r="A78" s="21"/>
      <c r="D78" s="88" t="s">
        <v>106</v>
      </c>
      <c r="E78" s="88"/>
      <c r="F78" s="68"/>
      <c r="G78" s="15"/>
      <c r="H78" s="15"/>
      <c r="I78" s="15"/>
    </row>
    <row r="79" spans="1:19" ht="20.100000000000001" customHeight="1" thickBot="1" x14ac:dyDescent="0.3">
      <c r="A79" s="21"/>
      <c r="D79" s="88" t="s">
        <v>107</v>
      </c>
      <c r="E79" s="88"/>
      <c r="F79" s="68"/>
      <c r="G79" s="15"/>
      <c r="H79" s="15"/>
      <c r="I79" s="15"/>
    </row>
    <row r="80" spans="1:19" ht="21.75" customHeight="1" thickBot="1" x14ac:dyDescent="0.3">
      <c r="A80" s="19"/>
      <c r="B80" s="20" t="s">
        <v>47</v>
      </c>
      <c r="C80" s="118" t="s">
        <v>108</v>
      </c>
      <c r="D80" s="119"/>
      <c r="E80" s="120"/>
      <c r="F80" s="65" t="s">
        <v>49</v>
      </c>
      <c r="G80" s="8" t="s">
        <v>50</v>
      </c>
      <c r="I80" s="15"/>
    </row>
    <row r="81" spans="1:18" ht="16.5" customHeight="1" thickBot="1" x14ac:dyDescent="0.3">
      <c r="A81" s="21"/>
      <c r="B81" s="20"/>
      <c r="C81" s="121" t="s">
        <v>109</v>
      </c>
      <c r="D81" s="122"/>
      <c r="E81" s="123"/>
      <c r="F81" s="66">
        <v>5</v>
      </c>
      <c r="G81" s="69" t="s">
        <v>50</v>
      </c>
      <c r="I81" s="15"/>
    </row>
    <row r="82" spans="1:18" ht="16.5" customHeight="1" thickBot="1" x14ac:dyDescent="0.3">
      <c r="A82" s="21"/>
      <c r="C82" s="121" t="s">
        <v>110</v>
      </c>
      <c r="D82" s="122"/>
      <c r="E82" s="123"/>
      <c r="F82" s="67">
        <v>7</v>
      </c>
      <c r="G82" s="69" t="s">
        <v>50</v>
      </c>
      <c r="I82" s="15"/>
    </row>
    <row r="83" spans="1:18" ht="16.5" thickBot="1" x14ac:dyDescent="0.3">
      <c r="A83" s="21"/>
      <c r="F83" s="8">
        <v>12</v>
      </c>
      <c r="G83" s="70" t="s">
        <v>50</v>
      </c>
      <c r="H83" s="49" t="s">
        <v>54</v>
      </c>
      <c r="I83" s="15"/>
    </row>
    <row r="84" spans="1:18" ht="24" customHeight="1" thickBot="1" x14ac:dyDescent="0.3">
      <c r="A84" s="19"/>
      <c r="B84" s="39" t="s">
        <v>55</v>
      </c>
      <c r="D84" s="107" t="s">
        <v>111</v>
      </c>
      <c r="E84" s="107"/>
      <c r="F84" s="68"/>
      <c r="G84" s="15"/>
      <c r="H84" s="15"/>
      <c r="I84" s="15"/>
    </row>
    <row r="85" spans="1:18" ht="16.5" thickBot="1" x14ac:dyDescent="0.3">
      <c r="A85" s="21"/>
      <c r="D85" s="107" t="s">
        <v>107</v>
      </c>
      <c r="E85" s="107"/>
      <c r="F85" s="68"/>
      <c r="G85" s="15"/>
      <c r="H85" s="15"/>
      <c r="I85" s="15"/>
    </row>
    <row r="86" spans="1:18" ht="24.75" customHeight="1" thickBot="1" x14ac:dyDescent="0.3">
      <c r="A86" s="19"/>
      <c r="B86" s="108" t="s">
        <v>112</v>
      </c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</row>
    <row r="87" spans="1:18" ht="24.75" customHeight="1" thickBot="1" x14ac:dyDescent="0.3">
      <c r="A87" s="19"/>
      <c r="B87" s="109" t="s">
        <v>113</v>
      </c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5"/>
    </row>
    <row r="88" spans="1:18" ht="25.5" customHeight="1" thickBot="1" x14ac:dyDescent="0.3">
      <c r="A88" s="19"/>
      <c r="B88" s="20" t="s">
        <v>114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 t="s">
        <v>115</v>
      </c>
      <c r="Q88" s="110"/>
      <c r="R88" s="111"/>
    </row>
    <row r="89" spans="1:18" ht="27" customHeight="1" thickBot="1" x14ac:dyDescent="0.3">
      <c r="A89" s="71"/>
      <c r="B89" s="112" t="s">
        <v>116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4"/>
    </row>
    <row r="90" spans="1:18" ht="21.75" customHeight="1" thickBot="1" x14ac:dyDescent="0.3">
      <c r="A90" s="15"/>
      <c r="B90" s="115" t="s">
        <v>117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7"/>
    </row>
    <row r="91" spans="1:18" ht="26.45" customHeight="1" thickBot="1" x14ac:dyDescent="0.3">
      <c r="A91" s="19"/>
      <c r="B91" s="20" t="s">
        <v>47</v>
      </c>
      <c r="C91" s="96" t="s">
        <v>118</v>
      </c>
      <c r="D91" s="97"/>
      <c r="E91" s="98"/>
      <c r="F91" s="72" t="s">
        <v>119</v>
      </c>
      <c r="G91" s="73"/>
      <c r="H91" s="74" t="s">
        <v>50</v>
      </c>
      <c r="I91" s="15"/>
    </row>
    <row r="92" spans="1:18" ht="30" customHeight="1" x14ac:dyDescent="0.25">
      <c r="A92" s="21"/>
      <c r="B92" s="20"/>
      <c r="C92" s="99" t="s">
        <v>120</v>
      </c>
      <c r="D92" s="100"/>
      <c r="E92" s="101"/>
      <c r="F92" s="75" t="s">
        <v>121</v>
      </c>
      <c r="G92" s="76">
        <f>F92*$E$13/8*1.1</f>
        <v>2.75</v>
      </c>
      <c r="H92" s="77" t="s">
        <v>50</v>
      </c>
      <c r="I92" s="15"/>
    </row>
    <row r="93" spans="1:18" ht="30" customHeight="1" x14ac:dyDescent="0.25">
      <c r="A93" s="21"/>
      <c r="C93" s="102" t="s">
        <v>122</v>
      </c>
      <c r="D93" s="103"/>
      <c r="E93" s="104"/>
      <c r="F93" s="67">
        <v>25</v>
      </c>
      <c r="G93" s="78">
        <f t="shared" ref="G93:G94" si="0">F93*$E$13/8*1.1</f>
        <v>27.500000000000004</v>
      </c>
      <c r="H93" s="8" t="s">
        <v>50</v>
      </c>
      <c r="I93" s="15"/>
    </row>
    <row r="94" spans="1:18" ht="16.5" thickBot="1" x14ac:dyDescent="0.3">
      <c r="A94" s="21"/>
      <c r="F94" s="8">
        <v>50</v>
      </c>
      <c r="G94" s="78">
        <f t="shared" si="0"/>
        <v>55.000000000000007</v>
      </c>
      <c r="H94" s="8" t="s">
        <v>50</v>
      </c>
      <c r="I94" s="49" t="s">
        <v>54</v>
      </c>
    </row>
    <row r="95" spans="1:18" ht="24" customHeight="1" thickBot="1" x14ac:dyDescent="0.3">
      <c r="A95" s="19"/>
      <c r="B95" s="20" t="s">
        <v>84</v>
      </c>
      <c r="F95" s="56"/>
      <c r="G95" s="88" t="s">
        <v>85</v>
      </c>
      <c r="H95" s="88"/>
      <c r="J95" s="15"/>
    </row>
    <row r="96" spans="1:18" ht="15.75" x14ac:dyDescent="0.25">
      <c r="A96" s="21"/>
      <c r="G96" s="105" t="s">
        <v>86</v>
      </c>
      <c r="H96" s="105"/>
      <c r="I96" s="106" t="s">
        <v>168</v>
      </c>
      <c r="J96" s="87"/>
    </row>
    <row r="97" spans="1:15" ht="15.75" x14ac:dyDescent="0.25">
      <c r="A97" s="21"/>
      <c r="G97" s="105" t="s">
        <v>88</v>
      </c>
      <c r="H97" s="105"/>
      <c r="I97" s="87"/>
      <c r="J97" s="87"/>
    </row>
    <row r="98" spans="1:15" ht="15.75" x14ac:dyDescent="0.25">
      <c r="A98" s="21"/>
      <c r="G98" s="105" t="s">
        <v>89</v>
      </c>
      <c r="H98" s="105"/>
      <c r="I98" s="87"/>
      <c r="J98" s="87"/>
    </row>
    <row r="99" spans="1:15" ht="15.75" x14ac:dyDescent="0.25">
      <c r="A99" s="21"/>
      <c r="G99" s="88" t="s">
        <v>90</v>
      </c>
      <c r="H99" s="88"/>
      <c r="I99" s="20"/>
      <c r="J99" s="20"/>
    </row>
    <row r="100" spans="1:15" ht="16.5" thickBot="1" x14ac:dyDescent="0.3">
      <c r="G100" s="88" t="s">
        <v>68</v>
      </c>
      <c r="H100" s="88"/>
      <c r="I100" s="15"/>
      <c r="J100" s="15"/>
    </row>
    <row r="101" spans="1:15" s="15" customFormat="1" ht="25.5" customHeight="1" thickBot="1" x14ac:dyDescent="0.3">
      <c r="B101" s="89" t="s">
        <v>123</v>
      </c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1"/>
    </row>
    <row r="102" spans="1:15" s="15" customFormat="1" ht="25.5" customHeight="1" thickBot="1" x14ac:dyDescent="0.3">
      <c r="A102" s="64"/>
      <c r="B102" s="57" t="s">
        <v>124</v>
      </c>
      <c r="K102" s="57" t="s">
        <v>125</v>
      </c>
    </row>
    <row r="103" spans="1:15" s="15" customFormat="1" ht="24.75" customHeight="1" thickBot="1" x14ac:dyDescent="0.3">
      <c r="A103" s="50"/>
      <c r="B103" s="92" t="s">
        <v>92</v>
      </c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4"/>
    </row>
    <row r="104" spans="1:15" ht="26.1" customHeight="1" thickBot="1" x14ac:dyDescent="0.3">
      <c r="A104" s="43"/>
      <c r="B104" s="57" t="s">
        <v>126</v>
      </c>
      <c r="C104" s="20"/>
      <c r="E104" s="79"/>
    </row>
    <row r="105" spans="1:15" ht="26.1" customHeight="1" thickBot="1" x14ac:dyDescent="0.3">
      <c r="A105" s="43"/>
      <c r="B105" s="20" t="s">
        <v>127</v>
      </c>
      <c r="C105" s="15"/>
      <c r="D105" s="15"/>
      <c r="E105" s="15"/>
    </row>
    <row r="106" spans="1:15" ht="26.1" customHeight="1" x14ac:dyDescent="0.25">
      <c r="A106" s="39"/>
      <c r="B106" s="20"/>
      <c r="C106" s="57" t="s">
        <v>128</v>
      </c>
      <c r="D106" s="57"/>
      <c r="E106" s="57"/>
      <c r="F106" s="57"/>
      <c r="G106" s="20" t="s">
        <v>129</v>
      </c>
    </row>
    <row r="107" spans="1:15" ht="26.1" customHeight="1" x14ac:dyDescent="0.25">
      <c r="A107" s="39"/>
      <c r="B107" s="20"/>
      <c r="C107" s="57" t="s">
        <v>130</v>
      </c>
      <c r="D107" s="57"/>
      <c r="E107" s="57"/>
      <c r="F107" s="57"/>
      <c r="G107" s="20" t="s">
        <v>131</v>
      </c>
    </row>
    <row r="108" spans="1:15" ht="26.1" customHeight="1" x14ac:dyDescent="0.25">
      <c r="A108" s="39"/>
      <c r="C108" s="95" t="s">
        <v>132</v>
      </c>
      <c r="D108" s="95"/>
      <c r="E108" s="95"/>
      <c r="F108" s="95"/>
      <c r="G108" s="95"/>
      <c r="H108" s="95"/>
      <c r="I108" s="95"/>
      <c r="J108" s="95"/>
      <c r="K108" s="87" t="s">
        <v>133</v>
      </c>
      <c r="L108" s="87"/>
    </row>
    <row r="109" spans="1:15" ht="26.1" customHeight="1" x14ac:dyDescent="0.25">
      <c r="A109" s="39"/>
      <c r="C109" s="86" t="s">
        <v>134</v>
      </c>
      <c r="D109" s="86"/>
      <c r="E109" s="86"/>
      <c r="F109" s="86"/>
      <c r="G109" s="86"/>
      <c r="H109" s="86"/>
      <c r="I109" s="86"/>
      <c r="J109" s="86"/>
      <c r="K109" s="87" t="s">
        <v>135</v>
      </c>
      <c r="L109" s="87"/>
      <c r="O109" s="80"/>
    </row>
    <row r="110" spans="1:15" ht="26.1" customHeight="1" x14ac:dyDescent="0.25">
      <c r="A110" s="39"/>
      <c r="C110" s="83" t="s">
        <v>136</v>
      </c>
      <c r="D110" s="83"/>
      <c r="E110" s="83"/>
      <c r="F110" s="83"/>
      <c r="G110" s="83"/>
      <c r="H110" s="83"/>
      <c r="I110" s="83"/>
      <c r="J110" s="83"/>
      <c r="K110" s="84" t="s">
        <v>137</v>
      </c>
      <c r="L110" s="84"/>
      <c r="O110" s="80"/>
    </row>
    <row r="111" spans="1:15" ht="26.1" customHeight="1" x14ac:dyDescent="0.25">
      <c r="A111" s="39"/>
      <c r="C111" s="83" t="s">
        <v>138</v>
      </c>
      <c r="D111" s="83"/>
      <c r="E111" s="83"/>
      <c r="F111" s="83"/>
      <c r="G111" s="83"/>
      <c r="H111" s="83"/>
      <c r="I111" s="83"/>
      <c r="J111" s="83"/>
      <c r="K111" s="84" t="s">
        <v>139</v>
      </c>
      <c r="L111" s="84"/>
      <c r="O111" s="80"/>
    </row>
    <row r="112" spans="1:15" ht="26.1" customHeight="1" x14ac:dyDescent="0.25">
      <c r="A112" s="39"/>
      <c r="C112" s="83" t="s">
        <v>140</v>
      </c>
      <c r="D112" s="83"/>
      <c r="E112" s="83"/>
      <c r="F112" s="83"/>
      <c r="G112" s="83"/>
      <c r="H112" s="83"/>
      <c r="I112" s="83"/>
      <c r="J112" s="83"/>
      <c r="K112" s="84" t="s">
        <v>141</v>
      </c>
      <c r="L112" s="84"/>
      <c r="O112" s="80"/>
    </row>
    <row r="113" spans="1:15" ht="26.1" customHeight="1" x14ac:dyDescent="0.25">
      <c r="A113" s="39"/>
      <c r="C113" s="86" t="s">
        <v>142</v>
      </c>
      <c r="D113" s="86"/>
      <c r="E113" s="86"/>
      <c r="F113" s="86"/>
      <c r="G113" s="86"/>
      <c r="H113" s="86"/>
      <c r="I113" s="86"/>
      <c r="J113" s="86"/>
      <c r="K113" s="87" t="s">
        <v>143</v>
      </c>
      <c r="L113" s="87"/>
    </row>
    <row r="114" spans="1:15" ht="26.1" customHeight="1" x14ac:dyDescent="0.25">
      <c r="A114" s="39"/>
      <c r="C114" s="86" t="s">
        <v>144</v>
      </c>
      <c r="D114" s="86"/>
      <c r="E114" s="86"/>
      <c r="F114" s="86"/>
      <c r="G114" s="86"/>
      <c r="H114" s="86"/>
      <c r="I114" s="86"/>
      <c r="J114" s="86"/>
      <c r="K114" s="87" t="s">
        <v>145</v>
      </c>
      <c r="L114" s="87"/>
    </row>
    <row r="115" spans="1:15" ht="26.1" customHeight="1" x14ac:dyDescent="0.25">
      <c r="A115" s="39"/>
      <c r="C115" s="83" t="s">
        <v>146</v>
      </c>
      <c r="D115" s="83"/>
      <c r="E115" s="83"/>
      <c r="F115" s="83"/>
      <c r="G115" s="83"/>
      <c r="H115" s="83"/>
      <c r="I115" s="83"/>
      <c r="J115" s="83"/>
      <c r="K115" s="84" t="s">
        <v>147</v>
      </c>
      <c r="L115" s="84"/>
      <c r="O115" s="80"/>
    </row>
    <row r="116" spans="1:15" ht="26.1" customHeight="1" x14ac:dyDescent="0.25">
      <c r="A116" s="39"/>
      <c r="C116" s="83" t="s">
        <v>148</v>
      </c>
      <c r="D116" s="83"/>
      <c r="E116" s="83"/>
      <c r="F116" s="83"/>
      <c r="G116" s="83"/>
      <c r="H116" s="83"/>
      <c r="I116" s="83"/>
      <c r="J116" s="83"/>
      <c r="K116" s="84" t="s">
        <v>149</v>
      </c>
      <c r="L116" s="84"/>
      <c r="O116" s="80"/>
    </row>
    <row r="117" spans="1:15" ht="26.1" customHeight="1" x14ac:dyDescent="0.25">
      <c r="A117" s="39"/>
      <c r="C117" s="83" t="s">
        <v>150</v>
      </c>
      <c r="D117" s="83"/>
      <c r="E117" s="83"/>
      <c r="F117" s="83"/>
      <c r="G117" s="83"/>
      <c r="H117" s="83"/>
      <c r="I117" s="83"/>
      <c r="J117" s="83"/>
      <c r="K117" s="84" t="s">
        <v>151</v>
      </c>
      <c r="L117" s="84"/>
      <c r="O117" s="80"/>
    </row>
    <row r="118" spans="1:15" ht="26.1" customHeight="1" x14ac:dyDescent="0.25">
      <c r="A118" s="39"/>
      <c r="C118" s="83" t="s">
        <v>152</v>
      </c>
      <c r="D118" s="83"/>
      <c r="E118" s="83"/>
      <c r="F118" s="83"/>
      <c r="G118" s="83"/>
      <c r="H118" s="83"/>
      <c r="I118" s="83"/>
      <c r="J118" s="83"/>
      <c r="K118" s="84" t="s">
        <v>153</v>
      </c>
      <c r="L118" s="84"/>
      <c r="O118" s="80"/>
    </row>
    <row r="122" spans="1:15" ht="26.1" customHeight="1" x14ac:dyDescent="0.25">
      <c r="C122" s="85" t="s">
        <v>154</v>
      </c>
      <c r="D122" s="85"/>
      <c r="E122" s="85"/>
      <c r="F122" s="85"/>
      <c r="G122" s="82" t="s">
        <v>155</v>
      </c>
      <c r="H122" s="82"/>
      <c r="I122" s="82"/>
      <c r="J122" s="82"/>
    </row>
    <row r="123" spans="1:15" ht="26.1" customHeight="1" x14ac:dyDescent="0.25">
      <c r="C123" s="82" t="s">
        <v>156</v>
      </c>
      <c r="D123" s="82"/>
      <c r="E123" s="82"/>
      <c r="F123" s="82"/>
      <c r="G123" s="82" t="s">
        <v>157</v>
      </c>
      <c r="H123" s="82"/>
      <c r="I123" s="82"/>
      <c r="J123" s="82"/>
    </row>
    <row r="124" spans="1:15" ht="26.1" customHeight="1" x14ac:dyDescent="0.25">
      <c r="C124" s="82" t="s">
        <v>158</v>
      </c>
      <c r="D124" s="82"/>
      <c r="E124" s="82"/>
      <c r="F124" s="82"/>
      <c r="G124" s="82" t="s">
        <v>159</v>
      </c>
      <c r="H124" s="82"/>
      <c r="I124" s="82"/>
      <c r="J124" s="82"/>
    </row>
    <row r="125" spans="1:15" ht="26.1" customHeight="1" x14ac:dyDescent="0.25">
      <c r="C125" s="82" t="s">
        <v>160</v>
      </c>
      <c r="D125" s="82"/>
      <c r="E125" s="82"/>
      <c r="F125" s="82"/>
      <c r="G125" s="82" t="s">
        <v>161</v>
      </c>
      <c r="H125" s="82"/>
      <c r="I125" s="82"/>
      <c r="J125" s="82"/>
    </row>
    <row r="126" spans="1:15" ht="26.1" customHeight="1" x14ac:dyDescent="0.25">
      <c r="C126" s="82" t="s">
        <v>162</v>
      </c>
      <c r="D126" s="82"/>
      <c r="E126" s="82"/>
      <c r="F126" s="82"/>
      <c r="G126" s="82" t="s">
        <v>163</v>
      </c>
      <c r="H126" s="82"/>
      <c r="I126" s="82"/>
      <c r="J126" s="82"/>
    </row>
    <row r="127" spans="1:15" ht="26.1" customHeight="1" x14ac:dyDescent="0.25">
      <c r="C127" s="82" t="s">
        <v>164</v>
      </c>
      <c r="D127" s="82"/>
      <c r="E127" s="82"/>
      <c r="F127" s="82"/>
      <c r="G127" s="82" t="s">
        <v>165</v>
      </c>
      <c r="H127" s="82"/>
      <c r="I127" s="82"/>
      <c r="J127" s="82"/>
    </row>
    <row r="128" spans="1:15" ht="26.1" customHeight="1" x14ac:dyDescent="0.25">
      <c r="C128" s="82" t="s">
        <v>166</v>
      </c>
      <c r="D128" s="82"/>
      <c r="E128" s="82"/>
      <c r="F128" s="82"/>
      <c r="G128" s="82">
        <v>20250403</v>
      </c>
      <c r="H128" s="82"/>
      <c r="I128" s="82"/>
      <c r="J128" s="82"/>
    </row>
    <row r="129" spans="3:10" ht="26.1" customHeight="1" x14ac:dyDescent="0.25">
      <c r="C129" s="82" t="s">
        <v>167</v>
      </c>
      <c r="D129" s="82"/>
      <c r="E129" s="82"/>
      <c r="F129" s="82"/>
      <c r="G129" s="82">
        <v>20250403</v>
      </c>
      <c r="H129" s="82"/>
      <c r="I129" s="82"/>
      <c r="J129" s="82"/>
    </row>
  </sheetData>
  <mergeCells count="152">
    <mergeCell ref="N4:O4"/>
    <mergeCell ref="A5:F5"/>
    <mergeCell ref="G5:I5"/>
    <mergeCell ref="K5:L5"/>
    <mergeCell ref="A6:F6"/>
    <mergeCell ref="G6:I6"/>
    <mergeCell ref="C1:J1"/>
    <mergeCell ref="A2:F2"/>
    <mergeCell ref="A3:F3"/>
    <mergeCell ref="G3:I3"/>
    <mergeCell ref="A4:F4"/>
    <mergeCell ref="G4:I4"/>
    <mergeCell ref="A9:F9"/>
    <mergeCell ref="G9:I9"/>
    <mergeCell ref="J9:M9"/>
    <mergeCell ref="N9:P9"/>
    <mergeCell ref="A10:F10"/>
    <mergeCell ref="G10:I10"/>
    <mergeCell ref="A7:F7"/>
    <mergeCell ref="G7:I7"/>
    <mergeCell ref="A8:F8"/>
    <mergeCell ref="G8:I8"/>
    <mergeCell ref="J8:M8"/>
    <mergeCell ref="N8:P8"/>
    <mergeCell ref="G21:H21"/>
    <mergeCell ref="C22:E22"/>
    <mergeCell ref="G22:H22"/>
    <mergeCell ref="C23:E23"/>
    <mergeCell ref="G23:H23"/>
    <mergeCell ref="C24:E24"/>
    <mergeCell ref="G24:H24"/>
    <mergeCell ref="A11:F11"/>
    <mergeCell ref="G11:I11"/>
    <mergeCell ref="A12:F12"/>
    <mergeCell ref="G12:I12"/>
    <mergeCell ref="B14:O14"/>
    <mergeCell ref="B19:O19"/>
    <mergeCell ref="B32:D32"/>
    <mergeCell ref="F32:G32"/>
    <mergeCell ref="J32:L32"/>
    <mergeCell ref="N32:O32"/>
    <mergeCell ref="B33:D33"/>
    <mergeCell ref="F33:G33"/>
    <mergeCell ref="J33:L33"/>
    <mergeCell ref="N33:O33"/>
    <mergeCell ref="C25:E25"/>
    <mergeCell ref="G25:H25"/>
    <mergeCell ref="D26:E26"/>
    <mergeCell ref="D27:G27"/>
    <mergeCell ref="B28:O28"/>
    <mergeCell ref="F31:G31"/>
    <mergeCell ref="N31:O31"/>
    <mergeCell ref="J36:L36"/>
    <mergeCell ref="N36:O36"/>
    <mergeCell ref="B38:O38"/>
    <mergeCell ref="B40:O40"/>
    <mergeCell ref="F42:G42"/>
    <mergeCell ref="B43:D43"/>
    <mergeCell ref="F43:G43"/>
    <mergeCell ref="B34:D34"/>
    <mergeCell ref="F34:G34"/>
    <mergeCell ref="J34:L34"/>
    <mergeCell ref="N34:O34"/>
    <mergeCell ref="B35:D35"/>
    <mergeCell ref="F35:G35"/>
    <mergeCell ref="J35:L35"/>
    <mergeCell ref="N35:O35"/>
    <mergeCell ref="G58:H58"/>
    <mergeCell ref="I58:J60"/>
    <mergeCell ref="G59:H59"/>
    <mergeCell ref="G60:H60"/>
    <mergeCell ref="G61:H61"/>
    <mergeCell ref="G62:H62"/>
    <mergeCell ref="B44:D44"/>
    <mergeCell ref="F44:G44"/>
    <mergeCell ref="B45:D45"/>
    <mergeCell ref="F45:G45"/>
    <mergeCell ref="F46:G46"/>
    <mergeCell ref="G57:H57"/>
    <mergeCell ref="B72:M72"/>
    <mergeCell ref="B73:D73"/>
    <mergeCell ref="E73:G73"/>
    <mergeCell ref="E74:G74"/>
    <mergeCell ref="E75:G75"/>
    <mergeCell ref="D77:E77"/>
    <mergeCell ref="B63:O63"/>
    <mergeCell ref="B65:O65"/>
    <mergeCell ref="A68:O68"/>
    <mergeCell ref="B69:O69"/>
    <mergeCell ref="B71:O71"/>
    <mergeCell ref="D85:E85"/>
    <mergeCell ref="B86:O86"/>
    <mergeCell ref="B87:N87"/>
    <mergeCell ref="Q88:R88"/>
    <mergeCell ref="B89:O89"/>
    <mergeCell ref="B90:O90"/>
    <mergeCell ref="D78:E78"/>
    <mergeCell ref="D79:E79"/>
    <mergeCell ref="C80:E80"/>
    <mergeCell ref="C81:E81"/>
    <mergeCell ref="C82:E82"/>
    <mergeCell ref="D84:E84"/>
    <mergeCell ref="G99:H99"/>
    <mergeCell ref="G100:H100"/>
    <mergeCell ref="B101:O101"/>
    <mergeCell ref="B103:O103"/>
    <mergeCell ref="C108:J108"/>
    <mergeCell ref="K108:L108"/>
    <mergeCell ref="C91:E91"/>
    <mergeCell ref="C92:E92"/>
    <mergeCell ref="C93:E93"/>
    <mergeCell ref="G95:H95"/>
    <mergeCell ref="G96:H96"/>
    <mergeCell ref="I96:J98"/>
    <mergeCell ref="G97:H97"/>
    <mergeCell ref="G98:H98"/>
    <mergeCell ref="C112:J112"/>
    <mergeCell ref="K112:L112"/>
    <mergeCell ref="C113:J113"/>
    <mergeCell ref="K113:L113"/>
    <mergeCell ref="C114:J114"/>
    <mergeCell ref="K114:L114"/>
    <mergeCell ref="C109:J109"/>
    <mergeCell ref="K109:L109"/>
    <mergeCell ref="C110:J110"/>
    <mergeCell ref="K110:L110"/>
    <mergeCell ref="C111:J111"/>
    <mergeCell ref="K111:L111"/>
    <mergeCell ref="C118:J118"/>
    <mergeCell ref="K118:L118"/>
    <mergeCell ref="C122:F122"/>
    <mergeCell ref="G122:J122"/>
    <mergeCell ref="C123:F123"/>
    <mergeCell ref="G123:J123"/>
    <mergeCell ref="C115:J115"/>
    <mergeCell ref="K115:L115"/>
    <mergeCell ref="C116:J116"/>
    <mergeCell ref="K116:L116"/>
    <mergeCell ref="C117:J117"/>
    <mergeCell ref="K117:L117"/>
    <mergeCell ref="C127:F127"/>
    <mergeCell ref="G127:J127"/>
    <mergeCell ref="C128:F128"/>
    <mergeCell ref="G128:J128"/>
    <mergeCell ref="C129:F129"/>
    <mergeCell ref="G129:J129"/>
    <mergeCell ref="C124:F124"/>
    <mergeCell ref="G124:J124"/>
    <mergeCell ref="C125:F125"/>
    <mergeCell ref="G125:J125"/>
    <mergeCell ref="C126:F126"/>
    <mergeCell ref="G126:J126"/>
  </mergeCells>
  <pageMargins left="0.25" right="0" top="0.25" bottom="0.25" header="0" footer="0"/>
  <pageSetup paperSize="9" scale="67" fitToWidth="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28575</xdr:colOff>
                    <xdr:row>41</xdr:row>
                    <xdr:rowOff>47625</xdr:rowOff>
                  </from>
                  <to>
                    <xdr:col>1</xdr:col>
                    <xdr:colOff>66675</xdr:colOff>
                    <xdr:row>41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28575</xdr:colOff>
                    <xdr:row>40</xdr:row>
                    <xdr:rowOff>47625</xdr:rowOff>
                  </from>
                  <to>
                    <xdr:col>1</xdr:col>
                    <xdr:colOff>66675</xdr:colOff>
                    <xdr:row>40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28575</xdr:colOff>
                    <xdr:row>28</xdr:row>
                    <xdr:rowOff>47625</xdr:rowOff>
                  </from>
                  <to>
                    <xdr:col>1</xdr:col>
                    <xdr:colOff>66675</xdr:colOff>
                    <xdr:row>28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28575</xdr:colOff>
                    <xdr:row>25</xdr:row>
                    <xdr:rowOff>47625</xdr:rowOff>
                  </from>
                  <to>
                    <xdr:col>1</xdr:col>
                    <xdr:colOff>66675</xdr:colOff>
                    <xdr:row>25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28575</xdr:colOff>
                    <xdr:row>21</xdr:row>
                    <xdr:rowOff>47625</xdr:rowOff>
                  </from>
                  <to>
                    <xdr:col>1</xdr:col>
                    <xdr:colOff>66675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28575</xdr:colOff>
                    <xdr:row>19</xdr:row>
                    <xdr:rowOff>47625</xdr:rowOff>
                  </from>
                  <to>
                    <xdr:col>1</xdr:col>
                    <xdr:colOff>66675</xdr:colOff>
                    <xdr:row>19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28575</xdr:colOff>
                    <xdr:row>35</xdr:row>
                    <xdr:rowOff>47625</xdr:rowOff>
                  </from>
                  <to>
                    <xdr:col>1</xdr:col>
                    <xdr:colOff>66675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28575</xdr:colOff>
                    <xdr:row>56</xdr:row>
                    <xdr:rowOff>47625</xdr:rowOff>
                  </from>
                  <to>
                    <xdr:col>1</xdr:col>
                    <xdr:colOff>66675</xdr:colOff>
                    <xdr:row>56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28575</xdr:colOff>
                    <xdr:row>68</xdr:row>
                    <xdr:rowOff>47625</xdr:rowOff>
                  </from>
                  <to>
                    <xdr:col>1</xdr:col>
                    <xdr:colOff>66675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28575</xdr:colOff>
                    <xdr:row>69</xdr:row>
                    <xdr:rowOff>47625</xdr:rowOff>
                  </from>
                  <to>
                    <xdr:col>1</xdr:col>
                    <xdr:colOff>66675</xdr:colOff>
                    <xdr:row>69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66675</xdr:colOff>
                    <xdr:row>72</xdr:row>
                    <xdr:rowOff>19050</xdr:rowOff>
                  </from>
                  <to>
                    <xdr:col>1</xdr:col>
                    <xdr:colOff>123825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28575</xdr:colOff>
                    <xdr:row>71</xdr:row>
                    <xdr:rowOff>47625</xdr:rowOff>
                  </from>
                  <to>
                    <xdr:col>1</xdr:col>
                    <xdr:colOff>66675</xdr:colOff>
                    <xdr:row>71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0</xdr:col>
                    <xdr:colOff>28575</xdr:colOff>
                    <xdr:row>76</xdr:row>
                    <xdr:rowOff>47625</xdr:rowOff>
                  </from>
                  <to>
                    <xdr:col>1</xdr:col>
                    <xdr:colOff>76200</xdr:colOff>
                    <xdr:row>76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66675</xdr:colOff>
                    <xdr:row>79</xdr:row>
                    <xdr:rowOff>19050</xdr:rowOff>
                  </from>
                  <to>
                    <xdr:col>1</xdr:col>
                    <xdr:colOff>123825</xdr:colOff>
                    <xdr:row>79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0</xdr:col>
                    <xdr:colOff>28575</xdr:colOff>
                    <xdr:row>83</xdr:row>
                    <xdr:rowOff>47625</xdr:rowOff>
                  </from>
                  <to>
                    <xdr:col>1</xdr:col>
                    <xdr:colOff>76200</xdr:colOff>
                    <xdr:row>83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0</xdr:col>
                    <xdr:colOff>28575</xdr:colOff>
                    <xdr:row>85</xdr:row>
                    <xdr:rowOff>47625</xdr:rowOff>
                  </from>
                  <to>
                    <xdr:col>1</xdr:col>
                    <xdr:colOff>66675</xdr:colOff>
                    <xdr:row>85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0</xdr:col>
                    <xdr:colOff>28575</xdr:colOff>
                    <xdr:row>86</xdr:row>
                    <xdr:rowOff>47625</xdr:rowOff>
                  </from>
                  <to>
                    <xdr:col>1</xdr:col>
                    <xdr:colOff>66675</xdr:colOff>
                    <xdr:row>86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0</xdr:col>
                    <xdr:colOff>28575</xdr:colOff>
                    <xdr:row>87</xdr:row>
                    <xdr:rowOff>47625</xdr:rowOff>
                  </from>
                  <to>
                    <xdr:col>1</xdr:col>
                    <xdr:colOff>66675</xdr:colOff>
                    <xdr:row>87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0</xdr:col>
                    <xdr:colOff>28575</xdr:colOff>
                    <xdr:row>88</xdr:row>
                    <xdr:rowOff>47625</xdr:rowOff>
                  </from>
                  <to>
                    <xdr:col>1</xdr:col>
                    <xdr:colOff>66675</xdr:colOff>
                    <xdr:row>88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0</xdr:col>
                    <xdr:colOff>38100</xdr:colOff>
                    <xdr:row>90</xdr:row>
                    <xdr:rowOff>85725</xdr:rowOff>
                  </from>
                  <to>
                    <xdr:col>1</xdr:col>
                    <xdr:colOff>85725</xdr:colOff>
                    <xdr:row>90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0</xdr:col>
                    <xdr:colOff>28575</xdr:colOff>
                    <xdr:row>94</xdr:row>
                    <xdr:rowOff>47625</xdr:rowOff>
                  </from>
                  <to>
                    <xdr:col>1</xdr:col>
                    <xdr:colOff>66675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0</xdr:col>
                    <xdr:colOff>38100</xdr:colOff>
                    <xdr:row>46</xdr:row>
                    <xdr:rowOff>19050</xdr:rowOff>
                  </from>
                  <to>
                    <xdr:col>1</xdr:col>
                    <xdr:colOff>85725</xdr:colOff>
                    <xdr:row>46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0</xdr:col>
                    <xdr:colOff>19050</xdr:colOff>
                    <xdr:row>14</xdr:row>
                    <xdr:rowOff>28575</xdr:rowOff>
                  </from>
                  <to>
                    <xdr:col>1</xdr:col>
                    <xdr:colOff>57150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0</xdr:col>
                    <xdr:colOff>28575</xdr:colOff>
                    <xdr:row>38</xdr:row>
                    <xdr:rowOff>47625</xdr:rowOff>
                  </from>
                  <to>
                    <xdr:col>1</xdr:col>
                    <xdr:colOff>66675</xdr:colOff>
                    <xdr:row>38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0</xdr:col>
                    <xdr:colOff>28575</xdr:colOff>
                    <xdr:row>30</xdr:row>
                    <xdr:rowOff>47625</xdr:rowOff>
                  </from>
                  <to>
                    <xdr:col>1</xdr:col>
                    <xdr:colOff>66675</xdr:colOff>
                    <xdr:row>30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0</xdr:col>
                    <xdr:colOff>28575</xdr:colOff>
                    <xdr:row>63</xdr:row>
                    <xdr:rowOff>47625</xdr:rowOff>
                  </from>
                  <to>
                    <xdr:col>1</xdr:col>
                    <xdr:colOff>66675</xdr:colOff>
                    <xdr:row>63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0</xdr:col>
                    <xdr:colOff>28575</xdr:colOff>
                    <xdr:row>101</xdr:row>
                    <xdr:rowOff>47625</xdr:rowOff>
                  </from>
                  <to>
                    <xdr:col>1</xdr:col>
                    <xdr:colOff>66675</xdr:colOff>
                    <xdr:row>101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0</xdr:col>
                    <xdr:colOff>28575</xdr:colOff>
                    <xdr:row>103</xdr:row>
                    <xdr:rowOff>0</xdr:rowOff>
                  </from>
                  <to>
                    <xdr:col>1</xdr:col>
                    <xdr:colOff>76200</xdr:colOff>
                    <xdr:row>104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0</xdr:col>
                    <xdr:colOff>38100</xdr:colOff>
                    <xdr:row>103</xdr:row>
                    <xdr:rowOff>295275</xdr:rowOff>
                  </from>
                  <to>
                    <xdr:col>1</xdr:col>
                    <xdr:colOff>85725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0</xdr:col>
                    <xdr:colOff>28575</xdr:colOff>
                    <xdr:row>65</xdr:row>
                    <xdr:rowOff>47625</xdr:rowOff>
                  </from>
                  <to>
                    <xdr:col>1</xdr:col>
                    <xdr:colOff>66675</xdr:colOff>
                    <xdr:row>65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0</xdr:col>
                    <xdr:colOff>28575</xdr:colOff>
                    <xdr:row>29</xdr:row>
                    <xdr:rowOff>47625</xdr:rowOff>
                  </from>
                  <to>
                    <xdr:col>1</xdr:col>
                    <xdr:colOff>66675</xdr:colOff>
                    <xdr:row>29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prep_table</vt:lpstr>
      <vt:lpstr>Checklist</vt:lpstr>
      <vt:lpstr>Checklist!_Hlk114062637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Riegler</dc:creator>
  <cp:lastModifiedBy>Hannah Riegler</cp:lastModifiedBy>
  <dcterms:created xsi:type="dcterms:W3CDTF">2024-07-24T10:53:15Z</dcterms:created>
  <dcterms:modified xsi:type="dcterms:W3CDTF">2025-11-12T14:32:17Z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2024-07-24T10:53:45Z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e425deb2-dada-4725-a94d-ae58bfa4a5d9</vt:lpwstr>
  </property>
  <property fmtid="{D5CDD505-2E9C-101B-9397-08002B2CF9AE}" pid="8" name="MSIP_Label_17efb97e-6a22-4658-b35c-bacc77de03e2_ContentBits">
    <vt:lpwstr>0</vt:lpwstr>
  </property>
</Properties>
</file>