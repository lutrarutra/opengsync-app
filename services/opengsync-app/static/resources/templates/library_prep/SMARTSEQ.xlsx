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hriegler\Documents\limbless-app\services\opengsync-app\static\resources\templates\library_prep\"/>
    </mc:Choice>
  </mc:AlternateContent>
  <xr:revisionPtr revIDLastSave="0" documentId="13_ncr:1_{C947E178-8CA4-49F5-922C-CFBFDBD3D081}" xr6:coauthVersionLast="47" xr6:coauthVersionMax="47" xr10:uidLastSave="{00000000-0000-0000-0000-000000000000}"/>
  <bookViews>
    <workbookView xWindow="-120" yWindow="-120" windowWidth="29040" windowHeight="17520" xr2:uid="{B38823E2-9AAF-4849-A302-784C5AB9E0F5}"/>
  </bookViews>
  <sheets>
    <sheet name="prep_table" sheetId="27" r:id="rId1"/>
    <sheet name="Smartseq" sheetId="30" r:id="rId2"/>
  </sheets>
  <definedNames>
    <definedName name="_Hlk114062637" localSheetId="1">Smartseq!$C$131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13" i="30" l="1"/>
  <c r="M113" i="30"/>
  <c r="L113" i="30"/>
  <c r="K113" i="30"/>
  <c r="J113" i="30"/>
  <c r="I113" i="30"/>
  <c r="H113" i="30"/>
  <c r="G113" i="30"/>
  <c r="F113" i="30"/>
  <c r="E113" i="30"/>
  <c r="D113" i="30"/>
  <c r="C113" i="30"/>
  <c r="N112" i="30"/>
  <c r="M112" i="30"/>
  <c r="L112" i="30"/>
  <c r="K112" i="30"/>
  <c r="J112" i="30"/>
  <c r="I112" i="30"/>
  <c r="H112" i="30"/>
  <c r="G112" i="30"/>
  <c r="F112" i="30"/>
  <c r="E112" i="30"/>
  <c r="D112" i="30"/>
  <c r="C112" i="30"/>
  <c r="N111" i="30"/>
  <c r="M111" i="30"/>
  <c r="L111" i="30"/>
  <c r="K111" i="30"/>
  <c r="J111" i="30"/>
  <c r="I111" i="30"/>
  <c r="H111" i="30"/>
  <c r="G111" i="30"/>
  <c r="F111" i="30"/>
  <c r="E111" i="30"/>
  <c r="D111" i="30"/>
  <c r="C111" i="30"/>
  <c r="N110" i="30"/>
  <c r="M110" i="30"/>
  <c r="L110" i="30"/>
  <c r="K110" i="30"/>
  <c r="J110" i="30"/>
  <c r="I110" i="30"/>
  <c r="H110" i="30"/>
  <c r="G110" i="30"/>
  <c r="F110" i="30"/>
  <c r="E110" i="30"/>
  <c r="D110" i="30"/>
  <c r="C110" i="30"/>
  <c r="N109" i="30"/>
  <c r="M109" i="30"/>
  <c r="L109" i="30"/>
  <c r="K109" i="30"/>
  <c r="J109" i="30"/>
  <c r="I109" i="30"/>
  <c r="H109" i="30"/>
  <c r="G109" i="30"/>
  <c r="F109" i="30"/>
  <c r="E109" i="30"/>
  <c r="D109" i="30"/>
  <c r="C109" i="30"/>
  <c r="N108" i="30"/>
  <c r="M108" i="30"/>
  <c r="L108" i="30"/>
  <c r="K108" i="30"/>
  <c r="J108" i="30"/>
  <c r="I108" i="30"/>
  <c r="H108" i="30"/>
  <c r="G108" i="30"/>
  <c r="F108" i="30"/>
  <c r="E108" i="30"/>
  <c r="D108" i="30"/>
  <c r="C108" i="30"/>
  <c r="N107" i="30"/>
  <c r="M107" i="30"/>
  <c r="L107" i="30"/>
  <c r="K107" i="30"/>
  <c r="J107" i="30"/>
  <c r="I107" i="30"/>
  <c r="H107" i="30"/>
  <c r="G107" i="30"/>
  <c r="F107" i="30"/>
  <c r="E107" i="30"/>
  <c r="D107" i="30"/>
  <c r="C107" i="30"/>
  <c r="N106" i="30"/>
  <c r="M106" i="30"/>
  <c r="L106" i="30"/>
  <c r="K106" i="30"/>
  <c r="J106" i="30"/>
  <c r="I106" i="30"/>
  <c r="H106" i="30"/>
  <c r="G106" i="30"/>
  <c r="F106" i="30"/>
  <c r="E106" i="30"/>
  <c r="D106" i="30"/>
  <c r="C106" i="30"/>
  <c r="O3" i="27" l="1"/>
  <c r="O4" i="27"/>
  <c r="O5" i="27"/>
  <c r="O6" i="27"/>
  <c r="O7" i="27"/>
  <c r="O8" i="27"/>
  <c r="O9" i="27"/>
  <c r="O10" i="27"/>
  <c r="O11" i="27"/>
  <c r="O12" i="27"/>
  <c r="O13" i="27"/>
  <c r="O14" i="27"/>
  <c r="O15" i="27"/>
  <c r="O16" i="27"/>
  <c r="O17" i="27"/>
  <c r="O18" i="27"/>
  <c r="O19" i="27"/>
  <c r="O20" i="27"/>
  <c r="O21" i="27"/>
  <c r="O22" i="27"/>
  <c r="O23" i="27"/>
  <c r="O24" i="27"/>
  <c r="O25" i="27"/>
  <c r="O26" i="27"/>
  <c r="O27" i="27"/>
  <c r="O28" i="27"/>
  <c r="O29" i="27"/>
  <c r="O30" i="27"/>
  <c r="O31" i="27"/>
  <c r="O32" i="27"/>
  <c r="O33" i="27"/>
  <c r="O34" i="27"/>
  <c r="O35" i="27"/>
  <c r="O36" i="27"/>
  <c r="O37" i="27"/>
  <c r="O38" i="27"/>
  <c r="O39" i="27"/>
  <c r="O40" i="27"/>
  <c r="O41" i="27"/>
  <c r="O42" i="27"/>
  <c r="O43" i="27"/>
  <c r="O44" i="27"/>
  <c r="O45" i="27"/>
  <c r="O46" i="27"/>
  <c r="O47" i="27"/>
  <c r="O48" i="27"/>
  <c r="O49" i="27"/>
  <c r="O50" i="27"/>
  <c r="O51" i="27"/>
  <c r="O52" i="27"/>
  <c r="O53" i="27"/>
  <c r="O54" i="27"/>
  <c r="O55" i="27"/>
  <c r="O56" i="27"/>
  <c r="O57" i="27"/>
  <c r="O58" i="27"/>
  <c r="O59" i="27"/>
  <c r="O60" i="27"/>
  <c r="O61" i="27"/>
  <c r="O62" i="27"/>
  <c r="O63" i="27"/>
  <c r="O64" i="27"/>
  <c r="O65" i="27"/>
  <c r="O66" i="27"/>
  <c r="O67" i="27"/>
  <c r="O68" i="27"/>
  <c r="O69" i="27"/>
  <c r="O70" i="27"/>
  <c r="O71" i="27"/>
  <c r="O72" i="27"/>
  <c r="O73" i="27"/>
  <c r="O74" i="27"/>
  <c r="O75" i="27"/>
  <c r="O76" i="27"/>
  <c r="O77" i="27"/>
  <c r="O78" i="27"/>
  <c r="O79" i="27"/>
  <c r="O80" i="27"/>
  <c r="O81" i="27"/>
  <c r="O82" i="27"/>
  <c r="O83" i="27"/>
  <c r="O84" i="27"/>
  <c r="O85" i="27"/>
  <c r="O86" i="27"/>
  <c r="O87" i="27"/>
  <c r="O88" i="27"/>
  <c r="O89" i="27"/>
  <c r="O90" i="27"/>
  <c r="O91" i="27"/>
  <c r="O92" i="27"/>
  <c r="O93" i="27"/>
  <c r="O94" i="27"/>
  <c r="O95" i="27"/>
  <c r="O96" i="27"/>
  <c r="O97" i="27"/>
  <c r="O2" i="27"/>
  <c r="R2" i="27" s="1"/>
  <c r="E103" i="30" l="1"/>
  <c r="F102" i="30"/>
  <c r="F101" i="30"/>
  <c r="F98" i="30"/>
  <c r="F103" i="30" l="1"/>
  <c r="B22" i="30" l="1"/>
  <c r="C22" i="30"/>
  <c r="D22" i="30"/>
  <c r="E22" i="30"/>
  <c r="F22" i="30"/>
  <c r="G22" i="30"/>
  <c r="H22" i="30"/>
  <c r="I22" i="30"/>
  <c r="J22" i="30"/>
  <c r="K22" i="30"/>
  <c r="L22" i="30"/>
  <c r="A22" i="30"/>
  <c r="B20" i="30"/>
  <c r="E65" i="30" l="1"/>
  <c r="F40" i="30"/>
  <c r="E19" i="30"/>
  <c r="F18" i="30"/>
  <c r="F17" i="30"/>
  <c r="F16" i="30"/>
  <c r="F15" i="30"/>
  <c r="F19" i="30" l="1"/>
  <c r="F26" i="30"/>
  <c r="F27" i="30"/>
  <c r="F24" i="30"/>
  <c r="F9" i="30"/>
  <c r="B96" i="30" s="1"/>
  <c r="G9" i="30"/>
  <c r="E88" i="30"/>
  <c r="F87" i="30"/>
  <c r="F86" i="30"/>
  <c r="F85" i="30"/>
  <c r="F84" i="30"/>
  <c r="F83" i="30"/>
  <c r="E71" i="30"/>
  <c r="F70" i="30"/>
  <c r="F69" i="30"/>
  <c r="F68" i="30"/>
  <c r="F67" i="30"/>
  <c r="E43" i="30"/>
  <c r="F41" i="30"/>
  <c r="F39" i="30"/>
  <c r="F38" i="30"/>
  <c r="F37" i="30"/>
  <c r="F42" i="30"/>
  <c r="F36" i="30"/>
  <c r="F35" i="30"/>
  <c r="F34" i="30"/>
  <c r="E28" i="30"/>
  <c r="AC97" i="27"/>
  <c r="AD97" i="27" s="1"/>
  <c r="N132" i="30" s="1"/>
  <c r="R97" i="27"/>
  <c r="P97" i="27"/>
  <c r="AC96" i="27"/>
  <c r="AD96" i="27" s="1"/>
  <c r="M132" i="30" s="1"/>
  <c r="R96" i="27"/>
  <c r="P96" i="27"/>
  <c r="AC95" i="27"/>
  <c r="AD95" i="27" s="1"/>
  <c r="L132" i="30" s="1"/>
  <c r="R95" i="27"/>
  <c r="P95" i="27"/>
  <c r="AC94" i="27"/>
  <c r="AD94" i="27" s="1"/>
  <c r="K132" i="30" s="1"/>
  <c r="R94" i="27"/>
  <c r="P94" i="27"/>
  <c r="AC93" i="27"/>
  <c r="AD93" i="27" s="1"/>
  <c r="J132" i="30" s="1"/>
  <c r="R93" i="27"/>
  <c r="P93" i="27"/>
  <c r="AC92" i="27"/>
  <c r="AD92" i="27" s="1"/>
  <c r="I132" i="30" s="1"/>
  <c r="R92" i="27"/>
  <c r="P92" i="27"/>
  <c r="AC91" i="27"/>
  <c r="AD91" i="27" s="1"/>
  <c r="H132" i="30" s="1"/>
  <c r="R91" i="27"/>
  <c r="P91" i="27"/>
  <c r="AC90" i="27"/>
  <c r="AD90" i="27" s="1"/>
  <c r="G132" i="30" s="1"/>
  <c r="R90" i="27"/>
  <c r="P90" i="27"/>
  <c r="AC89" i="27"/>
  <c r="AD89" i="27" s="1"/>
  <c r="F132" i="30" s="1"/>
  <c r="R89" i="27"/>
  <c r="P89" i="27"/>
  <c r="AC88" i="27"/>
  <c r="AD88" i="27" s="1"/>
  <c r="E132" i="30" s="1"/>
  <c r="R88" i="27"/>
  <c r="P88" i="27"/>
  <c r="AC87" i="27"/>
  <c r="AD87" i="27" s="1"/>
  <c r="D132" i="30" s="1"/>
  <c r="R87" i="27"/>
  <c r="P87" i="27"/>
  <c r="AC86" i="27"/>
  <c r="AD86" i="27" s="1"/>
  <c r="C132" i="30" s="1"/>
  <c r="R86" i="27"/>
  <c r="P86" i="27"/>
  <c r="AC85" i="27"/>
  <c r="AD85" i="27" s="1"/>
  <c r="N131" i="30" s="1"/>
  <c r="R85" i="27"/>
  <c r="P85" i="27"/>
  <c r="AC84" i="27"/>
  <c r="AD84" i="27" s="1"/>
  <c r="M131" i="30" s="1"/>
  <c r="R84" i="27"/>
  <c r="P84" i="27"/>
  <c r="AC83" i="27"/>
  <c r="AD83" i="27" s="1"/>
  <c r="L131" i="30" s="1"/>
  <c r="R83" i="27"/>
  <c r="P83" i="27"/>
  <c r="AC82" i="27"/>
  <c r="AD82" i="27" s="1"/>
  <c r="K131" i="30" s="1"/>
  <c r="R82" i="27"/>
  <c r="P82" i="27"/>
  <c r="AC81" i="27"/>
  <c r="AD81" i="27" s="1"/>
  <c r="J131" i="30" s="1"/>
  <c r="R81" i="27"/>
  <c r="P81" i="27"/>
  <c r="AC80" i="27"/>
  <c r="AD80" i="27" s="1"/>
  <c r="I131" i="30" s="1"/>
  <c r="R80" i="27"/>
  <c r="P80" i="27"/>
  <c r="AC79" i="27"/>
  <c r="AD79" i="27" s="1"/>
  <c r="H131" i="30" s="1"/>
  <c r="R79" i="27"/>
  <c r="P79" i="27"/>
  <c r="AC78" i="27"/>
  <c r="AD78" i="27" s="1"/>
  <c r="G131" i="30" s="1"/>
  <c r="R78" i="27"/>
  <c r="P78" i="27"/>
  <c r="AC77" i="27"/>
  <c r="AD77" i="27" s="1"/>
  <c r="F131" i="30" s="1"/>
  <c r="R77" i="27"/>
  <c r="P77" i="27"/>
  <c r="AC76" i="27"/>
  <c r="AD76" i="27" s="1"/>
  <c r="E131" i="30" s="1"/>
  <c r="R76" i="27"/>
  <c r="P76" i="27"/>
  <c r="AC75" i="27"/>
  <c r="AD75" i="27" s="1"/>
  <c r="D131" i="30" s="1"/>
  <c r="R75" i="27"/>
  <c r="P75" i="27"/>
  <c r="AC74" i="27"/>
  <c r="AD74" i="27" s="1"/>
  <c r="C131" i="30" s="1"/>
  <c r="R74" i="27"/>
  <c r="P74" i="27"/>
  <c r="AC73" i="27"/>
  <c r="AD73" i="27" s="1"/>
  <c r="N130" i="30" s="1"/>
  <c r="R73" i="27"/>
  <c r="P73" i="27"/>
  <c r="AC72" i="27"/>
  <c r="AD72" i="27" s="1"/>
  <c r="M130" i="30" s="1"/>
  <c r="R72" i="27"/>
  <c r="P72" i="27"/>
  <c r="AC71" i="27"/>
  <c r="AD71" i="27" s="1"/>
  <c r="L130" i="30" s="1"/>
  <c r="R71" i="27"/>
  <c r="P71" i="27"/>
  <c r="AC70" i="27"/>
  <c r="AD70" i="27" s="1"/>
  <c r="K130" i="30" s="1"/>
  <c r="R70" i="27"/>
  <c r="P70" i="27"/>
  <c r="AC69" i="27"/>
  <c r="AD69" i="27" s="1"/>
  <c r="J130" i="30" s="1"/>
  <c r="R69" i="27"/>
  <c r="P69" i="27"/>
  <c r="AC68" i="27"/>
  <c r="AD68" i="27" s="1"/>
  <c r="I130" i="30" s="1"/>
  <c r="R68" i="27"/>
  <c r="P68" i="27"/>
  <c r="AC67" i="27"/>
  <c r="AD67" i="27" s="1"/>
  <c r="H130" i="30" s="1"/>
  <c r="R67" i="27"/>
  <c r="P67" i="27"/>
  <c r="AC66" i="27"/>
  <c r="AD66" i="27" s="1"/>
  <c r="G130" i="30" s="1"/>
  <c r="R66" i="27"/>
  <c r="P66" i="27"/>
  <c r="AC65" i="27"/>
  <c r="AD65" i="27" s="1"/>
  <c r="F130" i="30" s="1"/>
  <c r="R65" i="27"/>
  <c r="P65" i="27"/>
  <c r="AC64" i="27"/>
  <c r="AD64" i="27" s="1"/>
  <c r="E130" i="30" s="1"/>
  <c r="R64" i="27"/>
  <c r="P64" i="27"/>
  <c r="AC63" i="27"/>
  <c r="AD63" i="27" s="1"/>
  <c r="D130" i="30" s="1"/>
  <c r="R63" i="27"/>
  <c r="P63" i="27"/>
  <c r="AC62" i="27"/>
  <c r="AD62" i="27" s="1"/>
  <c r="C130" i="30" s="1"/>
  <c r="R62" i="27"/>
  <c r="P62" i="27"/>
  <c r="AC61" i="27"/>
  <c r="AD61" i="27" s="1"/>
  <c r="N129" i="30" s="1"/>
  <c r="R61" i="27"/>
  <c r="P61" i="27"/>
  <c r="AC60" i="27"/>
  <c r="AD60" i="27" s="1"/>
  <c r="M129" i="30" s="1"/>
  <c r="R60" i="27"/>
  <c r="P60" i="27"/>
  <c r="AC59" i="27"/>
  <c r="AD59" i="27" s="1"/>
  <c r="L129" i="30" s="1"/>
  <c r="R59" i="27"/>
  <c r="P59" i="27"/>
  <c r="AC58" i="27"/>
  <c r="AD58" i="27" s="1"/>
  <c r="K129" i="30" s="1"/>
  <c r="R58" i="27"/>
  <c r="P58" i="27"/>
  <c r="AC57" i="27"/>
  <c r="AD57" i="27" s="1"/>
  <c r="J129" i="30" s="1"/>
  <c r="R57" i="27"/>
  <c r="P57" i="27"/>
  <c r="AC56" i="27"/>
  <c r="AD56" i="27" s="1"/>
  <c r="I129" i="30" s="1"/>
  <c r="R56" i="27"/>
  <c r="P56" i="27"/>
  <c r="AC55" i="27"/>
  <c r="AD55" i="27" s="1"/>
  <c r="H129" i="30" s="1"/>
  <c r="R55" i="27"/>
  <c r="P55" i="27"/>
  <c r="AC54" i="27"/>
  <c r="AD54" i="27" s="1"/>
  <c r="G129" i="30" s="1"/>
  <c r="R54" i="27"/>
  <c r="P54" i="27"/>
  <c r="AC53" i="27"/>
  <c r="AD53" i="27" s="1"/>
  <c r="F129" i="30" s="1"/>
  <c r="R53" i="27"/>
  <c r="P53" i="27"/>
  <c r="AC52" i="27"/>
  <c r="AD52" i="27" s="1"/>
  <c r="E129" i="30" s="1"/>
  <c r="R52" i="27"/>
  <c r="P52" i="27"/>
  <c r="AC51" i="27"/>
  <c r="AD51" i="27" s="1"/>
  <c r="D129" i="30" s="1"/>
  <c r="R51" i="27"/>
  <c r="P51" i="27"/>
  <c r="AC50" i="27"/>
  <c r="AD50" i="27" s="1"/>
  <c r="C129" i="30" s="1"/>
  <c r="R50" i="27"/>
  <c r="P50" i="27"/>
  <c r="AC49" i="27"/>
  <c r="AD49" i="27" s="1"/>
  <c r="N128" i="30" s="1"/>
  <c r="R49" i="27"/>
  <c r="P49" i="27"/>
  <c r="AC48" i="27"/>
  <c r="AD48" i="27" s="1"/>
  <c r="M128" i="30" s="1"/>
  <c r="R48" i="27"/>
  <c r="P48" i="27"/>
  <c r="AC47" i="27"/>
  <c r="AD47" i="27" s="1"/>
  <c r="L128" i="30" s="1"/>
  <c r="R47" i="27"/>
  <c r="P47" i="27"/>
  <c r="AC46" i="27"/>
  <c r="AD46" i="27" s="1"/>
  <c r="K128" i="30" s="1"/>
  <c r="R46" i="27"/>
  <c r="P46" i="27"/>
  <c r="AC45" i="27"/>
  <c r="AD45" i="27" s="1"/>
  <c r="J128" i="30" s="1"/>
  <c r="R45" i="27"/>
  <c r="P45" i="27"/>
  <c r="AC44" i="27"/>
  <c r="AD44" i="27" s="1"/>
  <c r="I128" i="30" s="1"/>
  <c r="R44" i="27"/>
  <c r="P44" i="27"/>
  <c r="AC43" i="27"/>
  <c r="AD43" i="27" s="1"/>
  <c r="H128" i="30" s="1"/>
  <c r="R43" i="27"/>
  <c r="P43" i="27"/>
  <c r="AC42" i="27"/>
  <c r="AD42" i="27" s="1"/>
  <c r="G128" i="30" s="1"/>
  <c r="R42" i="27"/>
  <c r="P42" i="27"/>
  <c r="AC41" i="27"/>
  <c r="AD41" i="27" s="1"/>
  <c r="F128" i="30" s="1"/>
  <c r="R41" i="27"/>
  <c r="P41" i="27"/>
  <c r="AC40" i="27"/>
  <c r="AD40" i="27" s="1"/>
  <c r="E128" i="30" s="1"/>
  <c r="R40" i="27"/>
  <c r="P40" i="27"/>
  <c r="AC39" i="27"/>
  <c r="AD39" i="27" s="1"/>
  <c r="D128" i="30" s="1"/>
  <c r="R39" i="27"/>
  <c r="P39" i="27"/>
  <c r="AC38" i="27"/>
  <c r="AD38" i="27" s="1"/>
  <c r="C128" i="30" s="1"/>
  <c r="R38" i="27"/>
  <c r="P38" i="27"/>
  <c r="AC37" i="27"/>
  <c r="AD37" i="27" s="1"/>
  <c r="N127" i="30" s="1"/>
  <c r="R37" i="27"/>
  <c r="P37" i="27"/>
  <c r="AC36" i="27"/>
  <c r="AD36" i="27" s="1"/>
  <c r="M127" i="30" s="1"/>
  <c r="R36" i="27"/>
  <c r="P36" i="27"/>
  <c r="AC35" i="27"/>
  <c r="AD35" i="27" s="1"/>
  <c r="L127" i="30" s="1"/>
  <c r="R35" i="27"/>
  <c r="P35" i="27"/>
  <c r="AC34" i="27"/>
  <c r="AD34" i="27" s="1"/>
  <c r="K127" i="30" s="1"/>
  <c r="R34" i="27"/>
  <c r="P34" i="27"/>
  <c r="AC33" i="27"/>
  <c r="AD33" i="27" s="1"/>
  <c r="J127" i="30" s="1"/>
  <c r="R33" i="27"/>
  <c r="P33" i="27"/>
  <c r="AC32" i="27"/>
  <c r="AD32" i="27" s="1"/>
  <c r="I127" i="30" s="1"/>
  <c r="R32" i="27"/>
  <c r="P32" i="27"/>
  <c r="AC31" i="27"/>
  <c r="AD31" i="27" s="1"/>
  <c r="H127" i="30" s="1"/>
  <c r="R31" i="27"/>
  <c r="P31" i="27"/>
  <c r="AC30" i="27"/>
  <c r="AD30" i="27" s="1"/>
  <c r="G127" i="30" s="1"/>
  <c r="R30" i="27"/>
  <c r="P30" i="27"/>
  <c r="AC29" i="27"/>
  <c r="AD29" i="27" s="1"/>
  <c r="F127" i="30" s="1"/>
  <c r="R29" i="27"/>
  <c r="P29" i="27"/>
  <c r="AC28" i="27"/>
  <c r="AD28" i="27" s="1"/>
  <c r="E127" i="30" s="1"/>
  <c r="R28" i="27"/>
  <c r="P28" i="27"/>
  <c r="AC27" i="27"/>
  <c r="AD27" i="27" s="1"/>
  <c r="D127" i="30" s="1"/>
  <c r="R27" i="27"/>
  <c r="P27" i="27"/>
  <c r="AC26" i="27"/>
  <c r="AD26" i="27" s="1"/>
  <c r="C127" i="30" s="1"/>
  <c r="R26" i="27"/>
  <c r="P26" i="27"/>
  <c r="AC25" i="27"/>
  <c r="AD25" i="27" s="1"/>
  <c r="N126" i="30" s="1"/>
  <c r="R25" i="27"/>
  <c r="P25" i="27"/>
  <c r="AC24" i="27"/>
  <c r="AD24" i="27" s="1"/>
  <c r="M126" i="30" s="1"/>
  <c r="R24" i="27"/>
  <c r="P24" i="27"/>
  <c r="AC23" i="27"/>
  <c r="AD23" i="27" s="1"/>
  <c r="L126" i="30" s="1"/>
  <c r="R23" i="27"/>
  <c r="P23" i="27"/>
  <c r="AC22" i="27"/>
  <c r="AD22" i="27" s="1"/>
  <c r="K126" i="30" s="1"/>
  <c r="R22" i="27"/>
  <c r="P22" i="27"/>
  <c r="AC21" i="27"/>
  <c r="AD21" i="27" s="1"/>
  <c r="J126" i="30" s="1"/>
  <c r="R21" i="27"/>
  <c r="P21" i="27"/>
  <c r="AC20" i="27"/>
  <c r="AD20" i="27" s="1"/>
  <c r="I126" i="30" s="1"/>
  <c r="R20" i="27"/>
  <c r="P20" i="27"/>
  <c r="AC19" i="27"/>
  <c r="AD19" i="27" s="1"/>
  <c r="H126" i="30" s="1"/>
  <c r="R19" i="27"/>
  <c r="P19" i="27"/>
  <c r="AC18" i="27"/>
  <c r="AD18" i="27" s="1"/>
  <c r="G126" i="30" s="1"/>
  <c r="R18" i="27"/>
  <c r="P18" i="27"/>
  <c r="AC17" i="27"/>
  <c r="AD17" i="27" s="1"/>
  <c r="F126" i="30" s="1"/>
  <c r="R17" i="27"/>
  <c r="P17" i="27"/>
  <c r="AC16" i="27"/>
  <c r="AD16" i="27" s="1"/>
  <c r="E126" i="30" s="1"/>
  <c r="R16" i="27"/>
  <c r="P16" i="27"/>
  <c r="AC15" i="27"/>
  <c r="AD15" i="27" s="1"/>
  <c r="D126" i="30" s="1"/>
  <c r="R15" i="27"/>
  <c r="P15" i="27"/>
  <c r="AC14" i="27"/>
  <c r="AD14" i="27" s="1"/>
  <c r="C126" i="30" s="1"/>
  <c r="R14" i="27"/>
  <c r="P14" i="27"/>
  <c r="AC13" i="27"/>
  <c r="AD13" i="27" s="1"/>
  <c r="N125" i="30" s="1"/>
  <c r="R13" i="27"/>
  <c r="P13" i="27"/>
  <c r="AC12" i="27"/>
  <c r="AD12" i="27" s="1"/>
  <c r="M125" i="30" s="1"/>
  <c r="R12" i="27"/>
  <c r="P12" i="27"/>
  <c r="AC11" i="27"/>
  <c r="AD11" i="27" s="1"/>
  <c r="L125" i="30" s="1"/>
  <c r="R11" i="27"/>
  <c r="P11" i="27"/>
  <c r="AC10" i="27"/>
  <c r="AD10" i="27" s="1"/>
  <c r="K125" i="30" s="1"/>
  <c r="R10" i="27"/>
  <c r="P10" i="27"/>
  <c r="AC9" i="27"/>
  <c r="AD9" i="27" s="1"/>
  <c r="J125" i="30" s="1"/>
  <c r="R9" i="27"/>
  <c r="P9" i="27"/>
  <c r="AC8" i="27"/>
  <c r="AD8" i="27" s="1"/>
  <c r="I125" i="30" s="1"/>
  <c r="R8" i="27"/>
  <c r="P8" i="27"/>
  <c r="AC7" i="27"/>
  <c r="AD7" i="27" s="1"/>
  <c r="H125" i="30" s="1"/>
  <c r="R7" i="27"/>
  <c r="P7" i="27"/>
  <c r="AC6" i="27"/>
  <c r="AD6" i="27" s="1"/>
  <c r="G125" i="30" s="1"/>
  <c r="R6" i="27"/>
  <c r="P6" i="27"/>
  <c r="AC5" i="27"/>
  <c r="AD5" i="27" s="1"/>
  <c r="F125" i="30" s="1"/>
  <c r="R5" i="27"/>
  <c r="P5" i="27"/>
  <c r="AC4" i="27"/>
  <c r="AD4" i="27" s="1"/>
  <c r="E125" i="30" s="1"/>
  <c r="R4" i="27"/>
  <c r="P4" i="27"/>
  <c r="AC3" i="27"/>
  <c r="AD3" i="27" s="1"/>
  <c r="D125" i="30" s="1"/>
  <c r="R3" i="27"/>
  <c r="P3" i="27"/>
  <c r="AC2" i="27"/>
  <c r="AD2" i="27" s="1"/>
  <c r="C125" i="30" s="1"/>
  <c r="P2" i="27"/>
  <c r="B66" i="30" l="1"/>
  <c r="B82" i="30"/>
  <c r="B91" i="30"/>
  <c r="D33" i="30"/>
  <c r="E33" i="30"/>
  <c r="F33" i="30"/>
  <c r="G33" i="30"/>
  <c r="H33" i="30"/>
  <c r="B33" i="30"/>
  <c r="C33" i="30"/>
  <c r="I33" i="30"/>
  <c r="K33" i="30"/>
  <c r="J33" i="30"/>
  <c r="L33" i="30"/>
  <c r="A33" i="30"/>
  <c r="F28" i="30"/>
  <c r="H9" i="30"/>
  <c r="F88" i="30"/>
  <c r="F43" i="30"/>
  <c r="F71" i="30"/>
  <c r="B31" i="30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B86E43-42F1-4D4F-89F7-BE9AC983A093}" keepAlive="1" name="Query - QubitData_03-07-2023_10-06-24" description="Connection to the 'QubitData_03-07-2023_10-06-24' query in the workbook." type="5" refreshedVersion="8" background="1" saveData="1">
    <dbPr connection="Provider=Microsoft.Mashup.OleDb.1;Data Source=$Workbook$;Location=QubitData_03-07-2023_10-06-24;Extended Properties=&quot;&quot;" command="SELECT * FROM [QubitData_03-07-2023_10-06-24]"/>
  </connection>
  <connection id="2" xr16:uid="{4E9508C8-13FB-CD4D-A3FD-843F2018EE39}" keepAlive="1" name="Query - QubitData_05-01-2023_09-57-22" description="Connection to the 'QubitData_05-01-2023_09-57-22' query in the workbook." type="5" refreshedVersion="8" background="1" saveData="1">
    <dbPr connection="Provider=Microsoft.Mashup.OleDb.1;Data Source=$Workbook$;Location=QubitData_05-01-2023_09-57-22;Extended Properties=&quot;&quot;" command="SELECT * FROM [QubitData_05-01-2023_09-57-22]"/>
  </connection>
  <connection id="3" xr16:uid="{20D4FC5D-2F31-0342-AF71-BE38FE18BCAC}" keepAlive="1" name="Query - QubitData_05-06-2023_15-59-13" description="Connection to the 'QubitData_05-06-2023_15-59-13' query in the workbook." type="5" refreshedVersion="8" background="1" saveData="1">
    <dbPr connection="Provider=Microsoft.Mashup.OleDb.1;Data Source=$Workbook$;Location=QubitData_05-06-2023_15-59-13;Extended Properties=&quot;&quot;" command="SELECT * FROM [QubitData_05-06-2023_15-59-13]"/>
  </connection>
  <connection id="4" xr16:uid="{C3F5FC88-1628-4D4B-9DDD-2F95D73C77D6}" keepAlive="1" name="Query - QubitData_06-06-2023_10-07-27" description="Connection to the 'QubitData_06-06-2023_10-07-27' query in the workbook." type="5" refreshedVersion="8" background="1" saveData="1">
    <dbPr connection="Provider=Microsoft.Mashup.OleDb.1;Data Source=$Workbook$;Location=QubitData_06-06-2023_10-07-27;Extended Properties=&quot;&quot;" command="SELECT * FROM [QubitData_06-06-2023_10-07-27]"/>
  </connection>
  <connection id="5" xr16:uid="{CCA4946A-7F88-E740-BAF1-872C956A1A1F}" keepAlive="1" name="Query - QubitData_06-06-2023_15-28-41" description="Connection to the 'QubitData_06-06-2023_15-28-41' query in the workbook." type="5" refreshedVersion="8" background="1" saveData="1">
    <dbPr connection="Provider=Microsoft.Mashup.OleDb.1;Data Source=$Workbook$;Location=QubitData_06-06-2023_15-28-41;Extended Properties=&quot;&quot;" command="SELECT * FROM [QubitData_06-06-2023_15-28-41]"/>
  </connection>
  <connection id="6" xr16:uid="{253CE65B-0125-486D-B2CB-16AC9D0654E9}" keepAlive="1" name="Query - QubitData_06-07-2023_11-29-59" description="Connection to the 'QubitData_06-07-2023_11-29-59' query in the workbook." type="5" refreshedVersion="8" background="1" saveData="1">
    <dbPr connection="Provider=Microsoft.Mashup.OleDb.1;Data Source=$Workbook$;Location=QubitData_06-07-2023_11-29-59;Extended Properties=&quot;&quot;" command="SELECT * FROM [QubitData_06-07-2023_11-29-59]"/>
  </connection>
  <connection id="7" xr16:uid="{FC556F02-C828-2544-A02C-C85122761E44}" keepAlive="1" name="Query - QubitData_07-06-2023_14-53-33" description="Connection to the 'QubitData_07-06-2023_14-53-33' query in the workbook." type="5" refreshedVersion="8" background="1" saveData="1">
    <dbPr connection="Provider=Microsoft.Mashup.OleDb.1;Data Source=$Workbook$;Location=QubitData_07-06-2023_14-53-33;Extended Properties=&quot;&quot;" command="SELECT * FROM [QubitData_07-06-2023_14-53-33]"/>
  </connection>
  <connection id="8" xr16:uid="{158BE359-D72D-F944-907D-704E372A7EC8}" keepAlive="1" name="Query - QubitData_09-01-2023_16-27-19" description="Connection to the 'QubitData_09-01-2023_16-27-19' query in the workbook." type="5" refreshedVersion="8" background="1" saveData="1">
    <dbPr connection="Provider=Microsoft.Mashup.OleDb.1;Data Source=$Workbook$;Location=QubitData_09-01-2023_16-27-19;Extended Properties=&quot;&quot;" command="SELECT * FROM [QubitData_09-01-2023_16-27-19]"/>
  </connection>
  <connection id="9" xr16:uid="{C67D72E5-8490-49A3-BC38-48191442D085}" keepAlive="1" name="Query - QubitData_09-07-2024_10-21-39" description="Connection to the 'QubitData_09-07-2024_10-21-39' query in the workbook." type="5" refreshedVersion="8" background="1" saveData="1">
    <dbPr connection="Provider=Microsoft.Mashup.OleDb.1;Data Source=$Workbook$;Location=QubitData_09-07-2024_10-21-39;Extended Properties=&quot;&quot;" command="SELECT * FROM [QubitData_09-07-2024_10-21-39]"/>
  </connection>
  <connection id="10" xr16:uid="{EEB35933-B997-404C-A37C-BA388421B65C}" keepAlive="1" name="Query - QubitData_09-11-2022_09-45-47" description="Connection to the 'QubitData_09-11-2022_09-45-47' query in the workbook." type="5" refreshedVersion="7" background="1" saveData="1">
    <dbPr connection="Provider=Microsoft.Mashup.OleDb.1;Data Source=$Workbook$;Location=QubitData_09-11-2022_09-45-47;Extended Properties=&quot;&quot;" command="SELECT * FROM [QubitData_09-11-2022_09-45-47]"/>
  </connection>
  <connection id="11" xr16:uid="{8A2FF6AE-59F9-E643-8BA2-A93CA6D35896}" keepAlive="1" name="Query - QubitData_10-01-2023_13-41-17" description="Connection to the 'QubitData_10-01-2023_13-41-17' query in the workbook." type="5" refreshedVersion="8" background="1" saveData="1">
    <dbPr connection="Provider=Microsoft.Mashup.OleDb.1;Data Source=$Workbook$;Location=QubitData_10-01-2023_13-41-17;Extended Properties=&quot;&quot;" command="SELECT * FROM [QubitData_10-01-2023_13-41-17]"/>
  </connection>
  <connection id="12" xr16:uid="{F059D1DE-5573-4427-804E-C2C438442A20}" keepAlive="1" name="Query - QubitData_10-07-2024_15-22-50" description="Connection to the 'QubitData_10-07-2024_15-22-50' query in the workbook." type="5" refreshedVersion="8" background="1" saveData="1">
    <dbPr connection="Provider=Microsoft.Mashup.OleDb.1;Data Source=$Workbook$;Location=QubitData_10-07-2024_15-22-50;Extended Properties=&quot;&quot;" command="SELECT * FROM [QubitData_10-07-2024_15-22-50]"/>
  </connection>
  <connection id="13" xr16:uid="{CCA25564-8C68-4083-BC74-E980294E4C15}" keepAlive="1" name="Query - QubitData_11-07-2024_14-17-23" description="Connection to the 'QubitData_11-07-2024_14-17-23' query in the workbook." type="5" refreshedVersion="0" background="1">
    <dbPr connection="Provider=Microsoft.Mashup.OleDb.1;Data Source=$Workbook$;Location=QubitData_11-07-2024_14-17-23;Extended Properties=&quot;&quot;" command="SELECT * FROM [QubitData_11-07-2024_14-17-23]"/>
  </connection>
  <connection id="14" xr16:uid="{057423BA-00E7-4833-BA05-7C132E11818B}" keepAlive="1" name="Query - QubitData_12-10-2022_09-31-51" description="Connection to the 'QubitData_12-10-2022_09-31-51' query in the workbook." type="5" refreshedVersion="7" background="1" saveData="1">
    <dbPr connection="Provider=Microsoft.Mashup.OleDb.1;Data Source=$Workbook$;Location=QubitData_12-10-2022_09-31-51;Extended Properties=&quot;&quot;" command="SELECT * FROM [QubitData_12-10-2022_09-31-51]"/>
  </connection>
  <connection id="15" xr16:uid="{6421E4C0-D3F7-8048-874F-B66C361F6A02}" keepAlive="1" name="Query - QubitData_13-06-2023_17-40-26" description="Connection to the 'QubitData_13-06-2023_17-40-26' query in the workbook." type="5" refreshedVersion="8" background="1" saveData="1">
    <dbPr connection="Provider=Microsoft.Mashup.OleDb.1;Data Source=$Workbook$;Location=QubitData_13-06-2023_17-40-26;Extended Properties=&quot;&quot;" command="SELECT * FROM [QubitData_13-06-2023_17-40-26]"/>
  </connection>
  <connection id="16" xr16:uid="{8E00D4C5-75DE-40E8-AD00-F61862382BCE}" keepAlive="1" name="Query - QubitData_13-10-2022_13-38-08" description="Connection to the 'QubitData_13-10-2022_13-38-08' query in the workbook." type="5" refreshedVersion="7" background="1" saveData="1">
    <dbPr connection="Provider=Microsoft.Mashup.OleDb.1;Data Source=$Workbook$;Location=QubitData_13-10-2022_13-38-08;Extended Properties=&quot;&quot;" command="SELECT * FROM [QubitData_13-10-2022_13-38-08]"/>
  </connection>
  <connection id="17" xr16:uid="{2179F8AD-E03B-422C-81EC-38619607487A}" keepAlive="1" name="Query - QubitData_18-07-2022_08-41-42" description="Connection to the 'QubitData_18-07-2022_08-41-42' query in the workbook." type="5" refreshedVersion="7" background="1" saveData="1">
    <dbPr connection="Provider=Microsoft.Mashup.OleDb.1;Data Source=$Workbook$;Location=QubitData_18-07-2022_08-41-42;Extended Properties=&quot;&quot;" command="SELECT * FROM [QubitData_18-07-2022_08-41-42]"/>
  </connection>
  <connection id="18" xr16:uid="{E91F0A83-CDBF-43CC-811C-7E1D4AB0139C}" keepAlive="1" name="Query - QubitData_19-05-2022_16-14-14" description="Connection to the 'QubitData_19-05-2022_16-14-14' query in the workbook." type="5" refreshedVersion="7" background="1" saveData="1">
    <dbPr connection="Provider=Microsoft.Mashup.OleDb.1;Data Source=$Workbook$;Location=QubitData_19-05-2022_16-14-14;Extended Properties=&quot;&quot;" command="SELECT * FROM [QubitData_19-05-2022_16-14-14]"/>
  </connection>
  <connection id="19" xr16:uid="{359EB1E7-06D4-4734-A3E1-23CDA7B92E0F}" keepAlive="1" name="Query - QubitData_19-07-2022_11-32-44" description="Connection to the 'QubitData_19-07-2022_11-32-44' query in the workbook." type="5" refreshedVersion="7" background="1" saveData="1">
    <dbPr connection="Provider=Microsoft.Mashup.OleDb.1;Data Source=$Workbook$;Location=QubitData_19-07-2022_11-32-44;Extended Properties=&quot;&quot;" command="SELECT * FROM [QubitData_19-07-2022_11-32-44]"/>
  </connection>
  <connection id="20" xr16:uid="{C97E578B-6F6E-5745-BC8A-1DEA28E8F59B}" keepAlive="1" name="Query - QubitData_29-06-2023_08-28-14" description="Connection to the 'QubitData_29-06-2023_08-28-14' query in the workbook." type="5" refreshedVersion="8" background="1" saveData="1">
    <dbPr connection="Provider=Microsoft.Mashup.OleDb.1;Data Source=$Workbook$;Location=QubitData_29-06-2023_08-28-14;Extended Properties=&quot;&quot;" command="SELECT * FROM [QubitData_29-06-2023_08-28-14]"/>
  </connection>
</connections>
</file>

<file path=xl/sharedStrings.xml><?xml version="1.0" encoding="utf-8"?>
<sst xmlns="http://schemas.openxmlformats.org/spreadsheetml/2006/main" count="231" uniqueCount="161">
  <si>
    <t>A</t>
  </si>
  <si>
    <t>B</t>
  </si>
  <si>
    <t>C</t>
  </si>
  <si>
    <t>D</t>
  </si>
  <si>
    <t>E</t>
  </si>
  <si>
    <t>F</t>
  </si>
  <si>
    <t>G</t>
  </si>
  <si>
    <t>H</t>
  </si>
  <si>
    <t>RNA</t>
  </si>
  <si>
    <t>mix, spin</t>
  </si>
  <si>
    <t>4˚/hold</t>
  </si>
  <si>
    <t>cDNA</t>
  </si>
  <si>
    <t xml:space="preserve">Library person: </t>
  </si>
  <si>
    <t>Library date:</t>
  </si>
  <si>
    <t>INDEX</t>
  </si>
  <si>
    <t xml:space="preserve">SOP Version: </t>
  </si>
  <si>
    <t>Preparation of working plate</t>
  </si>
  <si>
    <t xml:space="preserve">Incubate: </t>
  </si>
  <si>
    <t>µL</t>
  </si>
  <si>
    <t>Volume per reaction</t>
  </si>
  <si>
    <t>mix,spin</t>
  </si>
  <si>
    <t xml:space="preserve">Run the following programm: </t>
  </si>
  <si>
    <t>Plate:</t>
  </si>
  <si>
    <t xml:space="preserve">Indicate which Indexes you used: </t>
  </si>
  <si>
    <t>QC (Qubit, BA, pooling)</t>
  </si>
  <si>
    <t>Hannah Riegler</t>
  </si>
  <si>
    <t>Signature:</t>
  </si>
  <si>
    <t>BSF</t>
  </si>
  <si>
    <t>CeMM</t>
  </si>
  <si>
    <t xml:space="preserve">Identification number: </t>
  </si>
  <si>
    <t>Unit:</t>
  </si>
  <si>
    <t>Organization:</t>
  </si>
  <si>
    <t>Title:</t>
  </si>
  <si>
    <t>Author:</t>
  </si>
  <si>
    <t>Reviewer:</t>
  </si>
  <si>
    <t>Version:</t>
  </si>
  <si>
    <t>Review date:</t>
  </si>
  <si>
    <t>Comments:</t>
  </si>
  <si>
    <t>Library prep number:</t>
  </si>
  <si>
    <t>Pooling overview in µL</t>
  </si>
  <si>
    <t>Number of samples:</t>
  </si>
  <si>
    <t>Indexplate Set:</t>
  </si>
  <si>
    <t>Reverse transcription</t>
  </si>
  <si>
    <t>oligo-dT primer 10uM</t>
  </si>
  <si>
    <t>72˚/3min</t>
  </si>
  <si>
    <t>spin</t>
  </si>
  <si>
    <t>ice/5min</t>
  </si>
  <si>
    <t>5x protoscript buffer</t>
  </si>
  <si>
    <t>Template switching oligo 100uM</t>
  </si>
  <si>
    <t>Protoscript II (RT enzyme)</t>
  </si>
  <si>
    <t>betain 5M</t>
  </si>
  <si>
    <t>1M MgCl2</t>
  </si>
  <si>
    <t>100mM DTT</t>
  </si>
  <si>
    <t>RNAse inhibitor</t>
  </si>
  <si>
    <t>H2O</t>
  </si>
  <si>
    <t>42˚/90 min</t>
  </si>
  <si>
    <t>50˚/2min</t>
  </si>
  <si>
    <r>
      <t>42</t>
    </r>
    <r>
      <rPr>
        <i/>
        <sz val="11"/>
        <color theme="1"/>
        <rFont val="Calibri"/>
        <family val="2"/>
      </rPr>
      <t>˚/2min</t>
    </r>
  </si>
  <si>
    <t>70˚/15min</t>
  </si>
  <si>
    <t>cDNA amplification</t>
  </si>
  <si>
    <t>Q5 HotStart</t>
  </si>
  <si>
    <r>
      <t>98</t>
    </r>
    <r>
      <rPr>
        <i/>
        <sz val="11"/>
        <color theme="1"/>
        <rFont val="Calibri"/>
        <family val="2"/>
      </rPr>
      <t>˚/3min</t>
    </r>
  </si>
  <si>
    <t>98˚/20s</t>
  </si>
  <si>
    <t xml:space="preserve">  __ cycles</t>
  </si>
  <si>
    <r>
      <t>67</t>
    </r>
    <r>
      <rPr>
        <i/>
        <sz val="11"/>
        <color theme="1"/>
        <rFont val="Calibri"/>
        <family val="2"/>
      </rPr>
      <t>˚/15s</t>
    </r>
  </si>
  <si>
    <t>72˚/6min</t>
  </si>
  <si>
    <r>
      <t>72</t>
    </r>
    <r>
      <rPr>
        <i/>
        <sz val="11"/>
        <color theme="1"/>
        <rFont val="Calibri"/>
        <family val="2"/>
      </rPr>
      <t>˚/5min</t>
    </r>
  </si>
  <si>
    <t>Prepare a plate with 0.8 ng of cDNA in 4 µL</t>
  </si>
  <si>
    <t>TDE1 enzyme</t>
  </si>
  <si>
    <t>Tn5 dilution buffer</t>
  </si>
  <si>
    <t>5x Tagmentation buffer</t>
  </si>
  <si>
    <t>55°C/5min</t>
  </si>
  <si>
    <t>4°C/hold</t>
  </si>
  <si>
    <t>Add 2.5 µL of 0.2 % SDS to each sample. Mix, spin</t>
  </si>
  <si>
    <t>23˚/5min</t>
  </si>
  <si>
    <t>Endpoint PCR</t>
  </si>
  <si>
    <t>KAPA PCR MM</t>
  </si>
  <si>
    <r>
      <t>72</t>
    </r>
    <r>
      <rPr>
        <i/>
        <sz val="12"/>
        <color theme="1"/>
        <rFont val="Calibri"/>
        <family val="2"/>
      </rPr>
      <t>˚/3min</t>
    </r>
  </si>
  <si>
    <r>
      <t>95</t>
    </r>
    <r>
      <rPr>
        <i/>
        <sz val="12"/>
        <color theme="1"/>
        <rFont val="Calibri"/>
        <family val="2"/>
      </rPr>
      <t>˚/30s</t>
    </r>
  </si>
  <si>
    <t>95˚/10s</t>
  </si>
  <si>
    <t>12 cycles</t>
  </si>
  <si>
    <t>63˚/30s</t>
  </si>
  <si>
    <r>
      <t>72</t>
    </r>
    <r>
      <rPr>
        <i/>
        <sz val="12"/>
        <color theme="1"/>
        <rFont val="Calibri"/>
        <family val="2"/>
      </rPr>
      <t>˚/30s</t>
    </r>
  </si>
  <si>
    <r>
      <t>72</t>
    </r>
    <r>
      <rPr>
        <i/>
        <sz val="12"/>
        <color theme="1"/>
        <rFont val="Calibri"/>
        <family val="2"/>
      </rPr>
      <t>˚/5min</t>
    </r>
  </si>
  <si>
    <t>Checklist Smartseq 2 rows</t>
  </si>
  <si>
    <t>-</t>
  </si>
  <si>
    <t>BSF_LP_CH_000004</t>
  </si>
  <si>
    <t>CLEAN-UP (1X, elute in 25 µL, recover 20µL)</t>
  </si>
  <si>
    <t>Protoscript II LOT#:</t>
  </si>
  <si>
    <t>TDE1 LOT#:</t>
  </si>
  <si>
    <t>RIN</t>
  </si>
  <si>
    <t>Mix 5.7 µL (RT) with each sample and incubate:</t>
  </si>
  <si>
    <r>
      <t>H</t>
    </r>
    <r>
      <rPr>
        <b/>
        <vertAlign val="subscript"/>
        <sz val="12"/>
        <color theme="1"/>
        <rFont val="Calibri"/>
        <family val="2"/>
        <scheme val="minor"/>
      </rPr>
      <t>2</t>
    </r>
    <r>
      <rPr>
        <b/>
        <sz val="12"/>
        <color theme="1"/>
        <rFont val="Calibri"/>
        <family val="2"/>
        <scheme val="minor"/>
      </rPr>
      <t>O</t>
    </r>
  </si>
  <si>
    <t xml:space="preserve">Cell Priming: </t>
  </si>
  <si>
    <t>QC (Qubit, BA)</t>
  </si>
  <si>
    <t>CLEAN UP (1x) 25 µl beads, elute in 22 µL, recover 20 µL</t>
  </si>
  <si>
    <t>cDNA tagmentation</t>
  </si>
  <si>
    <r>
      <t>Dilute oligo-dT</t>
    </r>
    <r>
      <rPr>
        <sz val="8"/>
        <color theme="1"/>
        <rFont val="Calibri (Body)"/>
      </rPr>
      <t>30</t>
    </r>
    <r>
      <rPr>
        <sz val="12"/>
        <color theme="1"/>
        <rFont val="Calibri (Body)"/>
      </rPr>
      <t>VN primer to 10 µM.</t>
    </r>
    <r>
      <rPr>
        <sz val="8"/>
        <color theme="1"/>
        <rFont val="Calibri (Body)"/>
      </rPr>
      <t xml:space="preserve"> </t>
    </r>
  </si>
  <si>
    <t>Rnase inhibitor</t>
  </si>
  <si>
    <t>DO NOT VORTEX!</t>
  </si>
  <si>
    <t>mix without enzymes, put enzymes, mix again</t>
  </si>
  <si>
    <t>10 cycles</t>
  </si>
  <si>
    <t>If Input is more then one plate: Prepare an working plate in the following sheme:</t>
  </si>
  <si>
    <r>
      <t>H</t>
    </r>
    <r>
      <rPr>
        <b/>
        <vertAlign val="subscript"/>
        <sz val="9"/>
        <color theme="1"/>
        <rFont val="Calibri"/>
        <family val="2"/>
        <scheme val="minor"/>
      </rPr>
      <t>2</t>
    </r>
    <r>
      <rPr>
        <b/>
        <sz val="9"/>
        <color theme="1"/>
        <rFont val="Calibri"/>
        <family val="2"/>
        <scheme val="minor"/>
      </rPr>
      <t>O</t>
    </r>
  </si>
  <si>
    <t>Carina Suete</t>
  </si>
  <si>
    <t>Dilute IS PCR Primer to 10 µM, mix by pipetting, NO vortex</t>
  </si>
  <si>
    <t>Volume for up to 170 samples</t>
  </si>
  <si>
    <r>
      <t>H</t>
    </r>
    <r>
      <rPr>
        <b/>
        <vertAlign val="sub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O</t>
    </r>
  </si>
  <si>
    <r>
      <t xml:space="preserve">dNTPs </t>
    </r>
    <r>
      <rPr>
        <b/>
        <sz val="11"/>
        <color rgb="FFFF0000"/>
        <rFont val="Calibri"/>
        <family val="2"/>
        <scheme val="minor"/>
      </rPr>
      <t>(10mM)</t>
    </r>
  </si>
  <si>
    <r>
      <t xml:space="preserve">oligo-dT30VN </t>
    </r>
    <r>
      <rPr>
        <b/>
        <sz val="10"/>
        <color rgb="FFFF0000"/>
        <rFont val="Calibri"/>
        <family val="2"/>
        <scheme val="minor"/>
      </rPr>
      <t>100µM</t>
    </r>
  </si>
  <si>
    <r>
      <t xml:space="preserve">IS PCR primer </t>
    </r>
    <r>
      <rPr>
        <b/>
        <sz val="10"/>
        <color rgb="FFFF0000"/>
        <rFont val="Calibri"/>
        <family val="2"/>
        <scheme val="minor"/>
      </rPr>
      <t>100 µM</t>
    </r>
  </si>
  <si>
    <r>
      <t xml:space="preserve">IS PCR primer </t>
    </r>
    <r>
      <rPr>
        <b/>
        <sz val="10"/>
        <color rgb="FFFF0000"/>
        <rFont val="Calibri"/>
        <family val="2"/>
        <scheme val="minor"/>
      </rPr>
      <t>10 µM</t>
    </r>
  </si>
  <si>
    <t>Mix 6 µL MM with 4µL sample and incubate:</t>
  </si>
  <si>
    <t>sample_num</t>
  </si>
  <si>
    <t>plate_well</t>
  </si>
  <si>
    <t>library_name</t>
  </si>
  <si>
    <t>library_id</t>
  </si>
  <si>
    <t>cell_sorted _in_well</t>
  </si>
  <si>
    <t>requestor</t>
  </si>
  <si>
    <t>pool</t>
  </si>
  <si>
    <t>library_kits</t>
  </si>
  <si>
    <t>library_prep_type</t>
  </si>
  <si>
    <t>dilution_factor</t>
  </si>
  <si>
    <t>ul_h2o</t>
  </si>
  <si>
    <t>ul_cDNA</t>
  </si>
  <si>
    <t>input_ng</t>
  </si>
  <si>
    <t>index_well</t>
  </si>
  <si>
    <t>kit_i7</t>
  </si>
  <si>
    <t>kit_i5</t>
  </si>
  <si>
    <t>sequence_i7</t>
  </si>
  <si>
    <t>name_i7</t>
  </si>
  <si>
    <t>sequence_i5</t>
  </si>
  <si>
    <t>name_i5</t>
  </si>
  <si>
    <t>ba</t>
  </si>
  <si>
    <t>pooling_factor</t>
  </si>
  <si>
    <t>ul_pooling</t>
  </si>
  <si>
    <t>Library type</t>
  </si>
  <si>
    <t>Library kit</t>
  </si>
  <si>
    <t>BSF001</t>
  </si>
  <si>
    <t>BSF002</t>
  </si>
  <si>
    <t>Put the name into the prep_table:</t>
  </si>
  <si>
    <t>smartseq2_bulk_RNA</t>
  </si>
  <si>
    <t>smartseq2_single_cell_RNA</t>
  </si>
  <si>
    <t>column</t>
  </si>
  <si>
    <t>lib_conc_ng_ul</t>
  </si>
  <si>
    <t>sample number until plate merge</t>
  </si>
  <si>
    <t>Add a NC (4µl water) to a well and a positive control (50pg for single cell 500pg for ~200 cells) well</t>
  </si>
  <si>
    <t>Mix 4 µL sample with 2 µL MM (P)</t>
  </si>
  <si>
    <t>Total input</t>
  </si>
  <si>
    <t>PCR cycles</t>
  </si>
  <si>
    <t>500 cells</t>
  </si>
  <si>
    <t>1 ng</t>
  </si>
  <si>
    <t>100 cells</t>
  </si>
  <si>
    <t>1cell</t>
  </si>
  <si>
    <t>23-35</t>
  </si>
  <si>
    <r>
      <t>Mix</t>
    </r>
    <r>
      <rPr>
        <b/>
        <sz val="12"/>
        <color theme="1"/>
        <rFont val="Calibri"/>
        <family val="2"/>
        <scheme val="minor"/>
      </rPr>
      <t xml:space="preserve"> cDNA</t>
    </r>
    <r>
      <rPr>
        <sz val="12"/>
        <color theme="1"/>
        <rFont val="Calibri"/>
        <family val="2"/>
        <scheme val="minor"/>
      </rPr>
      <t xml:space="preserve"> with </t>
    </r>
    <r>
      <rPr>
        <b/>
        <sz val="12"/>
        <color theme="1"/>
        <rFont val="Calibri"/>
        <family val="2"/>
        <scheme val="minor"/>
      </rPr>
      <t>2.5 µL Index</t>
    </r>
    <r>
      <rPr>
        <sz val="12"/>
        <color theme="1"/>
        <rFont val="Calibri"/>
        <family val="2"/>
        <scheme val="minor"/>
      </rPr>
      <t xml:space="preserve"> and </t>
    </r>
    <r>
      <rPr>
        <b/>
        <sz val="12"/>
        <color theme="1"/>
        <rFont val="Calibri"/>
        <family val="2"/>
        <scheme val="minor"/>
      </rPr>
      <t>20 µL MM</t>
    </r>
    <r>
      <rPr>
        <sz val="12"/>
        <color theme="1"/>
        <rFont val="Calibri"/>
        <family val="2"/>
        <scheme val="minor"/>
      </rPr>
      <t>.</t>
    </r>
  </si>
  <si>
    <t>pcr_cycles</t>
  </si>
  <si>
    <t>rna_ng_per_ul_qubit</t>
  </si>
  <si>
    <t>cDNA_ng_per_ul_qubit</t>
  </si>
  <si>
    <t>cDNA_amp_cycles</t>
  </si>
  <si>
    <t>cdna_ba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</si>
</sst>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2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2"/>
      <color theme="1"/>
      <name val="Calibri"/>
      <family val="2"/>
    </font>
    <font>
      <b/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Arial"/>
      <family val="2"/>
    </font>
    <font>
      <i/>
      <sz val="11"/>
      <color theme="1"/>
      <name val="Calibri"/>
      <family val="2"/>
    </font>
    <font>
      <b/>
      <sz val="9"/>
      <color theme="1"/>
      <name val="Calibri"/>
      <family val="2"/>
      <scheme val="minor"/>
    </font>
    <font>
      <b/>
      <vertAlign val="subscript"/>
      <sz val="12"/>
      <color theme="1"/>
      <name val="Calibri"/>
      <family val="2"/>
      <scheme val="minor"/>
    </font>
    <font>
      <sz val="8"/>
      <color theme="1"/>
      <name val="Calibri (Body)"/>
    </font>
    <font>
      <sz val="12"/>
      <color theme="1"/>
      <name val="Calibri (Body)"/>
    </font>
    <font>
      <b/>
      <sz val="10"/>
      <color theme="1"/>
      <name val="Calibri"/>
      <family val="2"/>
      <scheme val="minor"/>
    </font>
    <font>
      <b/>
      <vertAlign val="subscript"/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000000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ABAB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0" fontId="6" fillId="0" borderId="0"/>
    <xf numFmtId="0" fontId="7" fillId="0" borderId="0"/>
    <xf numFmtId="0" fontId="8" fillId="0" borderId="0"/>
  </cellStyleXfs>
  <cellXfs count="174">
    <xf numFmtId="0" fontId="0" fillId="0" borderId="0" xfId="0"/>
    <xf numFmtId="0" fontId="3" fillId="0" borderId="1" xfId="0" applyFont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9" fillId="0" borderId="0" xfId="0" applyFont="1"/>
    <xf numFmtId="0" fontId="10" fillId="0" borderId="0" xfId="0" applyFont="1"/>
    <xf numFmtId="0" fontId="9" fillId="0" borderId="0" xfId="0" applyFont="1" applyAlignment="1">
      <alignment horizontal="right"/>
    </xf>
    <xf numFmtId="0" fontId="9" fillId="6" borderId="1" xfId="0" applyFont="1" applyFill="1" applyBorder="1" applyAlignment="1">
      <alignment horizontal="center" vertical="center"/>
    </xf>
    <xf numFmtId="0" fontId="9" fillId="0" borderId="0" xfId="0" applyFont="1" applyAlignment="1">
      <alignment wrapText="1"/>
    </xf>
    <xf numFmtId="0" fontId="12" fillId="0" borderId="0" xfId="0" applyFont="1"/>
    <xf numFmtId="0" fontId="11" fillId="0" borderId="0" xfId="0" applyFont="1"/>
    <xf numFmtId="0" fontId="9" fillId="0" borderId="3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right"/>
    </xf>
    <xf numFmtId="0" fontId="13" fillId="2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vertical="center"/>
    </xf>
    <xf numFmtId="0" fontId="10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vertical="center"/>
    </xf>
    <xf numFmtId="0" fontId="9" fillId="0" borderId="9" xfId="0" applyFont="1" applyBorder="1" applyAlignment="1">
      <alignment vertical="center"/>
    </xf>
    <xf numFmtId="0" fontId="9" fillId="0" borderId="10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9" fillId="0" borderId="8" xfId="0" applyFont="1" applyBorder="1" applyAlignment="1">
      <alignment vertical="center"/>
    </xf>
    <xf numFmtId="0" fontId="9" fillId="0" borderId="0" xfId="0" applyFont="1" applyAlignment="1">
      <alignment horizontal="left" vertical="center"/>
    </xf>
    <xf numFmtId="0" fontId="14" fillId="0" borderId="0" xfId="0" applyFont="1"/>
    <xf numFmtId="0" fontId="9" fillId="0" borderId="3" xfId="0" applyFont="1" applyBorder="1" applyAlignment="1">
      <alignment horizontal="left" vertical="center"/>
    </xf>
    <xf numFmtId="0" fontId="9" fillId="0" borderId="14" xfId="0" applyFont="1" applyBorder="1" applyAlignment="1">
      <alignment horizontal="right" vertical="center"/>
    </xf>
    <xf numFmtId="0" fontId="9" fillId="6" borderId="0" xfId="0" applyFont="1" applyFill="1"/>
    <xf numFmtId="0" fontId="11" fillId="0" borderId="0" xfId="0" applyFont="1" applyAlignment="1">
      <alignment horizontal="left" wrapText="1"/>
    </xf>
    <xf numFmtId="0" fontId="9" fillId="0" borderId="1" xfId="0" applyFont="1" applyBorder="1" applyAlignment="1">
      <alignment horizontal="center" vertical="center"/>
    </xf>
    <xf numFmtId="0" fontId="9" fillId="0" borderId="3" xfId="0" applyFont="1" applyBorder="1"/>
    <xf numFmtId="0" fontId="5" fillId="0" borderId="1" xfId="0" applyFont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0" fontId="9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vertical="center"/>
    </xf>
    <xf numFmtId="0" fontId="5" fillId="0" borderId="0" xfId="0" applyFont="1"/>
    <xf numFmtId="0" fontId="15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4" xfId="0" applyFont="1" applyBorder="1" applyAlignment="1">
      <alignment horizontal="left" vertical="center"/>
    </xf>
    <xf numFmtId="0" fontId="9" fillId="0" borderId="8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left"/>
    </xf>
    <xf numFmtId="0" fontId="1" fillId="0" borderId="0" xfId="0" applyFont="1"/>
    <xf numFmtId="0" fontId="13" fillId="2" borderId="0" xfId="0" applyFont="1" applyFill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9" xfId="0" applyFont="1" applyBorder="1" applyAlignment="1">
      <alignment vertical="center"/>
    </xf>
    <xf numFmtId="0" fontId="1" fillId="0" borderId="10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7" fillId="0" borderId="0" xfId="0" applyFont="1" applyAlignment="1">
      <alignment vertical="center"/>
    </xf>
    <xf numFmtId="0" fontId="24" fillId="0" borderId="1" xfId="0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0" fontId="24" fillId="0" borderId="14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26" fillId="0" borderId="1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/>
    </xf>
    <xf numFmtId="164" fontId="1" fillId="0" borderId="14" xfId="0" applyNumberFormat="1" applyFont="1" applyBorder="1" applyAlignment="1">
      <alignment horizontal="center" vertical="center"/>
    </xf>
    <xf numFmtId="2" fontId="9" fillId="0" borderId="1" xfId="0" applyNumberFormat="1" applyFont="1" applyBorder="1" applyAlignment="1">
      <alignment horizontal="right" vertical="center"/>
    </xf>
    <xf numFmtId="2" fontId="9" fillId="0" borderId="14" xfId="0" applyNumberFormat="1" applyFont="1" applyBorder="1" applyAlignment="1">
      <alignment horizontal="right" vertical="center"/>
    </xf>
    <xf numFmtId="164" fontId="9" fillId="0" borderId="1" xfId="0" applyNumberFormat="1" applyFont="1" applyBorder="1" applyAlignment="1">
      <alignment vertical="center"/>
    </xf>
    <xf numFmtId="164" fontId="9" fillId="0" borderId="4" xfId="0" applyNumberFormat="1" applyFont="1" applyBorder="1" applyAlignment="1">
      <alignment vertical="center"/>
    </xf>
    <xf numFmtId="164" fontId="9" fillId="0" borderId="8" xfId="0" applyNumberFormat="1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30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0" fontId="31" fillId="0" borderId="1" xfId="0" applyFont="1" applyBorder="1" applyAlignment="1">
      <alignment vertical="center"/>
    </xf>
    <xf numFmtId="0" fontId="14" fillId="0" borderId="2" xfId="0" applyFont="1" applyBorder="1" applyAlignment="1">
      <alignment vertical="center"/>
    </xf>
    <xf numFmtId="0" fontId="14" fillId="0" borderId="7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0" fontId="9" fillId="6" borderId="7" xfId="0" applyFont="1" applyFill="1" applyBorder="1"/>
    <xf numFmtId="0" fontId="10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0" fontId="1" fillId="0" borderId="1" xfId="0" applyFont="1" applyBorder="1"/>
    <xf numFmtId="0" fontId="1" fillId="0" borderId="4" xfId="0" applyFont="1" applyBorder="1" applyAlignment="1">
      <alignment vertical="center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left" vertical="center"/>
    </xf>
    <xf numFmtId="0" fontId="1" fillId="0" borderId="8" xfId="0" applyFont="1" applyBorder="1"/>
    <xf numFmtId="164" fontId="1" fillId="0" borderId="8" xfId="0" applyNumberFormat="1" applyFont="1" applyBorder="1" applyAlignment="1">
      <alignment vertical="center"/>
    </xf>
    <xf numFmtId="0" fontId="1" fillId="0" borderId="8" xfId="0" applyFont="1" applyBorder="1" applyAlignment="1">
      <alignment horizontal="left" vertical="center"/>
    </xf>
    <xf numFmtId="164" fontId="1" fillId="0" borderId="4" xfId="0" applyNumberFormat="1" applyFont="1" applyBorder="1" applyAlignment="1">
      <alignment vertical="center"/>
    </xf>
    <xf numFmtId="0" fontId="1" fillId="0" borderId="14" xfId="0" applyFont="1" applyBorder="1" applyAlignment="1">
      <alignment horizontal="left" vertical="center"/>
    </xf>
    <xf numFmtId="0" fontId="1" fillId="0" borderId="10" xfId="0" applyFont="1" applyBorder="1" applyAlignment="1">
      <alignment vertical="center"/>
    </xf>
    <xf numFmtId="0" fontId="1" fillId="0" borderId="16" xfId="0" applyFont="1" applyBorder="1" applyAlignment="1">
      <alignment horizontal="left" vertical="center"/>
    </xf>
    <xf numFmtId="0" fontId="20" fillId="0" borderId="8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5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0" fillId="8" borderId="5" xfId="0" applyFont="1" applyFill="1" applyBorder="1" applyAlignment="1">
      <alignment horizontal="center" vertical="center"/>
    </xf>
    <xf numFmtId="0" fontId="10" fillId="8" borderId="12" xfId="0" applyFont="1" applyFill="1" applyBorder="1" applyAlignment="1">
      <alignment horizontal="center" vertical="center"/>
    </xf>
    <xf numFmtId="0" fontId="10" fillId="8" borderId="6" xfId="0" applyFont="1" applyFill="1" applyBorder="1" applyAlignment="1">
      <alignment horizontal="center" vertical="center"/>
    </xf>
    <xf numFmtId="0" fontId="9" fillId="9" borderId="5" xfId="0" applyFont="1" applyFill="1" applyBorder="1" applyAlignment="1">
      <alignment horizontal="center" vertical="center"/>
    </xf>
    <xf numFmtId="0" fontId="9" fillId="9" borderId="12" xfId="0" applyFont="1" applyFill="1" applyBorder="1" applyAlignment="1">
      <alignment horizontal="center" vertical="center"/>
    </xf>
    <xf numFmtId="0" fontId="9" fillId="9" borderId="6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0" fillId="0" borderId="18" xfId="0" applyFont="1" applyBorder="1" applyAlignment="1">
      <alignment horizontal="center" vertical="center" wrapText="1"/>
    </xf>
    <xf numFmtId="0" fontId="20" fillId="0" borderId="19" xfId="0" applyFont="1" applyBorder="1" applyAlignment="1">
      <alignment horizontal="center" vertical="center" wrapText="1"/>
    </xf>
    <xf numFmtId="0" fontId="10" fillId="11" borderId="5" xfId="0" applyFont="1" applyFill="1" applyBorder="1" applyAlignment="1">
      <alignment horizontal="center" vertical="center"/>
    </xf>
    <xf numFmtId="0" fontId="10" fillId="11" borderId="12" xfId="0" applyFont="1" applyFill="1" applyBorder="1" applyAlignment="1">
      <alignment horizontal="center" vertical="center"/>
    </xf>
    <xf numFmtId="0" fontId="10" fillId="11" borderId="6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1" fontId="18" fillId="0" borderId="11" xfId="0" applyNumberFormat="1" applyFont="1" applyBorder="1" applyAlignment="1">
      <alignment horizontal="center" vertical="center" wrapText="1"/>
    </xf>
    <xf numFmtId="1" fontId="18" fillId="0" borderId="17" xfId="0" applyNumberFormat="1" applyFont="1" applyBorder="1" applyAlignment="1">
      <alignment horizontal="center" vertical="center" wrapText="1"/>
    </xf>
    <xf numFmtId="1" fontId="18" fillId="0" borderId="15" xfId="0" applyNumberFormat="1" applyFont="1" applyBorder="1" applyAlignment="1">
      <alignment horizontal="center" vertical="center" wrapText="1"/>
    </xf>
    <xf numFmtId="0" fontId="9" fillId="0" borderId="13" xfId="0" applyFont="1" applyBorder="1" applyAlignment="1">
      <alignment horizontal="center" wrapText="1"/>
    </xf>
    <xf numFmtId="0" fontId="9" fillId="0" borderId="0" xfId="0" applyFont="1" applyAlignment="1">
      <alignment horizontal="center" wrapText="1"/>
    </xf>
    <xf numFmtId="0" fontId="10" fillId="3" borderId="21" xfId="0" applyFont="1" applyFill="1" applyBorder="1" applyAlignment="1">
      <alignment horizontal="center" vertical="center"/>
    </xf>
    <xf numFmtId="0" fontId="10" fillId="3" borderId="22" xfId="0" applyFont="1" applyFill="1" applyBorder="1" applyAlignment="1">
      <alignment horizontal="center" vertical="center"/>
    </xf>
    <xf numFmtId="0" fontId="10" fillId="3" borderId="20" xfId="0" applyFont="1" applyFill="1" applyBorder="1" applyAlignment="1">
      <alignment horizontal="center" vertical="center"/>
    </xf>
    <xf numFmtId="0" fontId="9" fillId="7" borderId="5" xfId="0" applyFont="1" applyFill="1" applyBorder="1" applyAlignment="1">
      <alignment horizontal="center" vertical="center"/>
    </xf>
    <xf numFmtId="0" fontId="9" fillId="7" borderId="12" xfId="0" applyFont="1" applyFill="1" applyBorder="1" applyAlignment="1">
      <alignment horizontal="center" vertical="center"/>
    </xf>
    <xf numFmtId="0" fontId="9" fillId="7" borderId="6" xfId="0" applyFont="1" applyFill="1" applyBorder="1" applyAlignment="1">
      <alignment horizontal="center" vertical="center"/>
    </xf>
    <xf numFmtId="0" fontId="9" fillId="0" borderId="11" xfId="0" applyFont="1" applyBorder="1" applyAlignment="1">
      <alignment horizontal="left" vertical="center" wrapText="1"/>
    </xf>
    <xf numFmtId="0" fontId="9" fillId="0" borderId="17" xfId="0" applyFont="1" applyBorder="1" applyAlignment="1">
      <alignment horizontal="left" vertical="center" wrapText="1"/>
    </xf>
    <xf numFmtId="0" fontId="9" fillId="0" borderId="15" xfId="0" applyFont="1" applyBorder="1" applyAlignment="1">
      <alignment horizontal="left" vertical="center" wrapText="1"/>
    </xf>
    <xf numFmtId="0" fontId="10" fillId="10" borderId="5" xfId="0" applyFont="1" applyFill="1" applyBorder="1" applyAlignment="1">
      <alignment horizontal="center" vertical="center"/>
    </xf>
    <xf numFmtId="0" fontId="10" fillId="10" borderId="12" xfId="0" applyFont="1" applyFill="1" applyBorder="1" applyAlignment="1">
      <alignment horizontal="center" vertical="center"/>
    </xf>
    <xf numFmtId="0" fontId="10" fillId="10" borderId="6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left" vertical="center"/>
    </xf>
    <xf numFmtId="0" fontId="9" fillId="0" borderId="17" xfId="0" applyFont="1" applyBorder="1" applyAlignment="1">
      <alignment horizontal="left" vertical="center"/>
    </xf>
    <xf numFmtId="0" fontId="9" fillId="0" borderId="15" xfId="0" applyFont="1" applyBorder="1" applyAlignment="1">
      <alignment horizontal="left" vertical="center"/>
    </xf>
    <xf numFmtId="0" fontId="10" fillId="4" borderId="5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6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5" borderId="12" xfId="0" applyFont="1" applyFill="1" applyBorder="1" applyAlignment="1">
      <alignment horizontal="center" vertical="center"/>
    </xf>
    <xf numFmtId="0" fontId="10" fillId="5" borderId="6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9" xfId="0" applyFont="1" applyBorder="1" applyAlignment="1">
      <alignment horizontal="right" vertical="center"/>
    </xf>
    <xf numFmtId="0" fontId="16" fillId="0" borderId="11" xfId="0" applyFont="1" applyBorder="1" applyAlignment="1">
      <alignment horizontal="left" vertical="center"/>
    </xf>
    <xf numFmtId="0" fontId="16" fillId="0" borderId="17" xfId="0" applyFont="1" applyBorder="1" applyAlignment="1">
      <alignment horizontal="left" vertical="center"/>
    </xf>
    <xf numFmtId="0" fontId="16" fillId="0" borderId="15" xfId="0" applyFont="1" applyBorder="1" applyAlignment="1">
      <alignment horizontal="left" vertical="center"/>
    </xf>
    <xf numFmtId="0" fontId="17" fillId="0" borderId="11" xfId="0" applyFont="1" applyBorder="1" applyAlignment="1">
      <alignment horizontal="left" vertical="center"/>
    </xf>
    <xf numFmtId="0" fontId="11" fillId="0" borderId="17" xfId="0" applyFont="1" applyBorder="1" applyAlignment="1">
      <alignment horizontal="left" vertical="center"/>
    </xf>
    <xf numFmtId="0" fontId="11" fillId="0" borderId="15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9" fillId="6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9" fillId="6" borderId="11" xfId="0" applyFont="1" applyFill="1" applyBorder="1" applyAlignment="1">
      <alignment horizontal="center"/>
    </xf>
    <xf numFmtId="0" fontId="9" fillId="6" borderId="17" xfId="0" applyFont="1" applyFill="1" applyBorder="1" applyAlignment="1">
      <alignment horizontal="center"/>
    </xf>
    <xf numFmtId="0" fontId="9" fillId="6" borderId="15" xfId="0" applyFont="1" applyFill="1" applyBorder="1" applyAlignment="1">
      <alignment horizontal="center"/>
    </xf>
  </cellXfs>
  <cellStyles count="4">
    <cellStyle name="Normal" xfId="0" builtinId="0"/>
    <cellStyle name="Normal 2" xfId="1" xr:uid="{7B404F19-0144-4F3E-A063-4D55832E10EA}"/>
    <cellStyle name="Stand. 2" xfId="2" xr:uid="{5A6D8027-83B3-4CFC-B764-1D9734900A5E}"/>
    <cellStyle name="Standard 2" xfId="3" xr:uid="{10535F53-4074-4448-B3FE-F945A31FECF9}"/>
  </cellStyles>
  <dxfs count="6">
    <dxf>
      <fill>
        <patternFill>
          <bgColor rgb="FFFF6D6D"/>
        </patternFill>
      </fill>
    </dxf>
    <dxf>
      <fill>
        <patternFill>
          <bgColor rgb="FFF1AFF3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FFABAB"/>
      <color rgb="FFFF7C80"/>
      <color rgb="FFFF7D7D"/>
      <color rgb="FF808000"/>
      <color rgb="FFD60093"/>
      <color rgb="FF9900CC"/>
      <color rgb="FFCC00FF"/>
      <color rgb="FF339966"/>
      <color rgb="FFCC3300"/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48-5843-BC0C-0A6E5313BF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7971535"/>
        <c:axId val="1357963631"/>
      </c:scatterChart>
      <c:valAx>
        <c:axId val="1357971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7963631"/>
        <c:crosses val="autoZero"/>
        <c:crossBetween val="midCat"/>
      </c:valAx>
      <c:valAx>
        <c:axId val="1357963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7971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lockText="1" noThreeD="1"/>
</file>

<file path=xl/ctrlProps/ctrlProp24.xml><?xml version="1.0" encoding="utf-8"?>
<formControlPr xmlns="http://schemas.microsoft.com/office/spreadsheetml/2009/9/main" objectType="CheckBox" lockText="1" noThreeD="1"/>
</file>

<file path=xl/ctrlProps/ctrlProp25.xml><?xml version="1.0" encoding="utf-8"?>
<formControlPr xmlns="http://schemas.microsoft.com/office/spreadsheetml/2009/9/main" objectType="CheckBox" lockText="1" noThreeD="1"/>
</file>

<file path=xl/ctrlProps/ctrlProp26.xml><?xml version="1.0" encoding="utf-8"?>
<formControlPr xmlns="http://schemas.microsoft.com/office/spreadsheetml/2009/9/main" objectType="CheckBox" lockText="1" noThreeD="1"/>
</file>

<file path=xl/ctrlProps/ctrlProp27.xml><?xml version="1.0" encoding="utf-8"?>
<formControlPr xmlns="http://schemas.microsoft.com/office/spreadsheetml/2009/9/main" objectType="CheckBox" lockText="1" noThreeD="1"/>
</file>

<file path=xl/ctrlProps/ctrlProp28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695324</xdr:colOff>
      <xdr:row>97</xdr:row>
      <xdr:rowOff>142875</xdr:rowOff>
    </xdr:from>
    <xdr:to>
      <xdr:col>29</xdr:col>
      <xdr:colOff>85724</xdr:colOff>
      <xdr:row>116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92</xdr:row>
          <xdr:rowOff>47625</xdr:rowOff>
        </xdr:from>
        <xdr:to>
          <xdr:col>1</xdr:col>
          <xdr:colOff>76200</xdr:colOff>
          <xdr:row>92</xdr:row>
          <xdr:rowOff>304800</xdr:rowOff>
        </xdr:to>
        <xdr:sp macro="" textlink="">
          <xdr:nvSpPr>
            <xdr:cNvPr id="4101" name="Check Box 5" hidden="1">
              <a:extLst>
                <a:ext uri="{63B3BB69-23CF-44E3-9099-C40C66FF867C}">
                  <a14:compatExt spid="_x0000_s4101"/>
                </a:ext>
                <a:ext uri="{FF2B5EF4-FFF2-40B4-BE49-F238E27FC236}">
                  <a16:creationId xmlns:a16="http://schemas.microsoft.com/office/drawing/2014/main" id="{00000000-0008-0000-0100-000005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88</xdr:row>
          <xdr:rowOff>47625</xdr:rowOff>
        </xdr:from>
        <xdr:to>
          <xdr:col>1</xdr:col>
          <xdr:colOff>76200</xdr:colOff>
          <xdr:row>88</xdr:row>
          <xdr:rowOff>276225</xdr:rowOff>
        </xdr:to>
        <xdr:sp macro="" textlink="">
          <xdr:nvSpPr>
            <xdr:cNvPr id="4102" name="Check Box 6" hidden="1">
              <a:extLst>
                <a:ext uri="{63B3BB69-23CF-44E3-9099-C40C66FF867C}">
                  <a14:compatExt spid="_x0000_s4102"/>
                </a:ext>
                <a:ext uri="{FF2B5EF4-FFF2-40B4-BE49-F238E27FC236}">
                  <a16:creationId xmlns:a16="http://schemas.microsoft.com/office/drawing/2014/main" id="{00000000-0008-0000-0100-000006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77</xdr:row>
          <xdr:rowOff>47625</xdr:rowOff>
        </xdr:from>
        <xdr:to>
          <xdr:col>1</xdr:col>
          <xdr:colOff>76200</xdr:colOff>
          <xdr:row>77</xdr:row>
          <xdr:rowOff>304800</xdr:rowOff>
        </xdr:to>
        <xdr:sp macro="" textlink="">
          <xdr:nvSpPr>
            <xdr:cNvPr id="4105" name="Check Box 9" hidden="1">
              <a:extLst>
                <a:ext uri="{63B3BB69-23CF-44E3-9099-C40C66FF867C}">
                  <a14:compatExt spid="_x0000_s4105"/>
                </a:ext>
                <a:ext uri="{FF2B5EF4-FFF2-40B4-BE49-F238E27FC236}">
                  <a16:creationId xmlns:a16="http://schemas.microsoft.com/office/drawing/2014/main" id="{00000000-0008-0000-0100-000009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43</xdr:row>
          <xdr:rowOff>47625</xdr:rowOff>
        </xdr:from>
        <xdr:to>
          <xdr:col>1</xdr:col>
          <xdr:colOff>76200</xdr:colOff>
          <xdr:row>43</xdr:row>
          <xdr:rowOff>276225</xdr:rowOff>
        </xdr:to>
        <xdr:sp macro="" textlink="">
          <xdr:nvSpPr>
            <xdr:cNvPr id="4112" name="Check Box 16" hidden="1">
              <a:extLst>
                <a:ext uri="{63B3BB69-23CF-44E3-9099-C40C66FF867C}">
                  <a14:compatExt spid="_x0000_s4112"/>
                </a:ext>
                <a:ext uri="{FF2B5EF4-FFF2-40B4-BE49-F238E27FC236}">
                  <a16:creationId xmlns:a16="http://schemas.microsoft.com/office/drawing/2014/main" id="{00000000-0008-0000-0100-000010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30</xdr:row>
          <xdr:rowOff>47625</xdr:rowOff>
        </xdr:from>
        <xdr:to>
          <xdr:col>1</xdr:col>
          <xdr:colOff>76200</xdr:colOff>
          <xdr:row>30</xdr:row>
          <xdr:rowOff>276225</xdr:rowOff>
        </xdr:to>
        <xdr:sp macro="" textlink="">
          <xdr:nvSpPr>
            <xdr:cNvPr id="4116" name="Check Box 20" hidden="1">
              <a:extLst>
                <a:ext uri="{63B3BB69-23CF-44E3-9099-C40C66FF867C}">
                  <a14:compatExt spid="_x0000_s4116"/>
                </a:ext>
                <a:ext uri="{FF2B5EF4-FFF2-40B4-BE49-F238E27FC236}">
                  <a16:creationId xmlns:a16="http://schemas.microsoft.com/office/drawing/2014/main" id="{00000000-0008-0000-0100-000014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28</xdr:row>
          <xdr:rowOff>47625</xdr:rowOff>
        </xdr:from>
        <xdr:to>
          <xdr:col>1</xdr:col>
          <xdr:colOff>76200</xdr:colOff>
          <xdr:row>28</xdr:row>
          <xdr:rowOff>276225</xdr:rowOff>
        </xdr:to>
        <xdr:sp macro="" textlink="">
          <xdr:nvSpPr>
            <xdr:cNvPr id="4117" name="Check Box 21" hidden="1">
              <a:extLst>
                <a:ext uri="{63B3BB69-23CF-44E3-9099-C40C66FF867C}">
                  <a14:compatExt spid="_x0000_s4117"/>
                </a:ext>
                <a:ext uri="{FF2B5EF4-FFF2-40B4-BE49-F238E27FC236}">
                  <a16:creationId xmlns:a16="http://schemas.microsoft.com/office/drawing/2014/main" id="{00000000-0008-0000-0100-000015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24</xdr:row>
          <xdr:rowOff>47625</xdr:rowOff>
        </xdr:from>
        <xdr:to>
          <xdr:col>1</xdr:col>
          <xdr:colOff>76200</xdr:colOff>
          <xdr:row>24</xdr:row>
          <xdr:rowOff>276225</xdr:rowOff>
        </xdr:to>
        <xdr:sp macro="" textlink="">
          <xdr:nvSpPr>
            <xdr:cNvPr id="4118" name="Check Box 22" hidden="1">
              <a:extLst>
                <a:ext uri="{63B3BB69-23CF-44E3-9099-C40C66FF867C}">
                  <a14:compatExt spid="_x0000_s4118"/>
                </a:ext>
                <a:ext uri="{FF2B5EF4-FFF2-40B4-BE49-F238E27FC236}">
                  <a16:creationId xmlns:a16="http://schemas.microsoft.com/office/drawing/2014/main" id="{00000000-0008-0000-0100-000016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19</xdr:row>
          <xdr:rowOff>47625</xdr:rowOff>
        </xdr:from>
        <xdr:to>
          <xdr:col>1</xdr:col>
          <xdr:colOff>76200</xdr:colOff>
          <xdr:row>19</xdr:row>
          <xdr:rowOff>276225</xdr:rowOff>
        </xdr:to>
        <xdr:sp macro="" textlink="">
          <xdr:nvSpPr>
            <xdr:cNvPr id="4119" name="Check Box 23" hidden="1">
              <a:extLst>
                <a:ext uri="{63B3BB69-23CF-44E3-9099-C40C66FF867C}">
                  <a14:compatExt spid="_x0000_s4119"/>
                </a:ext>
                <a:ext uri="{FF2B5EF4-FFF2-40B4-BE49-F238E27FC236}">
                  <a16:creationId xmlns:a16="http://schemas.microsoft.com/office/drawing/2014/main" id="{00000000-0008-0000-0100-000017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49</xdr:row>
          <xdr:rowOff>47625</xdr:rowOff>
        </xdr:from>
        <xdr:to>
          <xdr:col>1</xdr:col>
          <xdr:colOff>76200</xdr:colOff>
          <xdr:row>49</xdr:row>
          <xdr:rowOff>276225</xdr:rowOff>
        </xdr:to>
        <xdr:sp macro="" textlink="">
          <xdr:nvSpPr>
            <xdr:cNvPr id="4121" name="Check Box 25" hidden="1">
              <a:extLst>
                <a:ext uri="{63B3BB69-23CF-44E3-9099-C40C66FF867C}">
                  <a14:compatExt spid="_x0000_s4121"/>
                </a:ext>
                <a:ext uri="{FF2B5EF4-FFF2-40B4-BE49-F238E27FC236}">
                  <a16:creationId xmlns:a16="http://schemas.microsoft.com/office/drawing/2014/main" id="{00000000-0008-0000-0100-000019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120</xdr:row>
          <xdr:rowOff>47625</xdr:rowOff>
        </xdr:from>
        <xdr:to>
          <xdr:col>1</xdr:col>
          <xdr:colOff>76200</xdr:colOff>
          <xdr:row>121</xdr:row>
          <xdr:rowOff>85725</xdr:rowOff>
        </xdr:to>
        <xdr:sp macro="" textlink="">
          <xdr:nvSpPr>
            <xdr:cNvPr id="4122" name="Check Box 26" hidden="1">
              <a:extLst>
                <a:ext uri="{63B3BB69-23CF-44E3-9099-C40C66FF867C}">
                  <a14:compatExt spid="_x0000_s4122"/>
                </a:ext>
                <a:ext uri="{FF2B5EF4-FFF2-40B4-BE49-F238E27FC236}">
                  <a16:creationId xmlns:a16="http://schemas.microsoft.com/office/drawing/2014/main" id="{00000000-0008-0000-0100-00001A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121</xdr:row>
          <xdr:rowOff>47625</xdr:rowOff>
        </xdr:from>
        <xdr:to>
          <xdr:col>1</xdr:col>
          <xdr:colOff>76200</xdr:colOff>
          <xdr:row>122</xdr:row>
          <xdr:rowOff>85725</xdr:rowOff>
        </xdr:to>
        <xdr:sp macro="" textlink="">
          <xdr:nvSpPr>
            <xdr:cNvPr id="4123" name="Check Box 27" hidden="1">
              <a:extLst>
                <a:ext uri="{63B3BB69-23CF-44E3-9099-C40C66FF867C}">
                  <a14:compatExt spid="_x0000_s4123"/>
                </a:ext>
                <a:ext uri="{FF2B5EF4-FFF2-40B4-BE49-F238E27FC236}">
                  <a16:creationId xmlns:a16="http://schemas.microsoft.com/office/drawing/2014/main" id="{00000000-0008-0000-0100-00001B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113</xdr:row>
          <xdr:rowOff>47625</xdr:rowOff>
        </xdr:from>
        <xdr:to>
          <xdr:col>1</xdr:col>
          <xdr:colOff>76200</xdr:colOff>
          <xdr:row>114</xdr:row>
          <xdr:rowOff>85725</xdr:rowOff>
        </xdr:to>
        <xdr:sp macro="" textlink="">
          <xdr:nvSpPr>
            <xdr:cNvPr id="4124" name="Check Box 28" hidden="1">
              <a:extLst>
                <a:ext uri="{63B3BB69-23CF-44E3-9099-C40C66FF867C}">
                  <a14:compatExt spid="_x0000_s4124"/>
                </a:ext>
                <a:ext uri="{FF2B5EF4-FFF2-40B4-BE49-F238E27FC236}">
                  <a16:creationId xmlns:a16="http://schemas.microsoft.com/office/drawing/2014/main" id="{00000000-0008-0000-0100-00001C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103</xdr:row>
          <xdr:rowOff>0</xdr:rowOff>
        </xdr:from>
        <xdr:to>
          <xdr:col>1</xdr:col>
          <xdr:colOff>114300</xdr:colOff>
          <xdr:row>104</xdr:row>
          <xdr:rowOff>66675</xdr:rowOff>
        </xdr:to>
        <xdr:sp macro="" textlink="">
          <xdr:nvSpPr>
            <xdr:cNvPr id="4125" name="Check Box 29" hidden="1">
              <a:extLst>
                <a:ext uri="{63B3BB69-23CF-44E3-9099-C40C66FF867C}">
                  <a14:compatExt spid="_x0000_s4125"/>
                </a:ext>
                <a:ext uri="{FF2B5EF4-FFF2-40B4-BE49-F238E27FC236}">
                  <a16:creationId xmlns:a16="http://schemas.microsoft.com/office/drawing/2014/main" id="{00000000-0008-0000-0100-00001D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80</xdr:row>
          <xdr:rowOff>314325</xdr:rowOff>
        </xdr:from>
        <xdr:to>
          <xdr:col>1</xdr:col>
          <xdr:colOff>76200</xdr:colOff>
          <xdr:row>82</xdr:row>
          <xdr:rowOff>38100</xdr:rowOff>
        </xdr:to>
        <xdr:sp macro="" textlink="">
          <xdr:nvSpPr>
            <xdr:cNvPr id="4127" name="Check Box 31" hidden="1">
              <a:extLst>
                <a:ext uri="{63B3BB69-23CF-44E3-9099-C40C66FF867C}">
                  <a14:compatExt spid="_x0000_s4127"/>
                </a:ext>
                <a:ext uri="{FF2B5EF4-FFF2-40B4-BE49-F238E27FC236}">
                  <a16:creationId xmlns:a16="http://schemas.microsoft.com/office/drawing/2014/main" id="{00000000-0008-0000-0100-00001F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80</xdr:row>
          <xdr:rowOff>47625</xdr:rowOff>
        </xdr:from>
        <xdr:to>
          <xdr:col>1</xdr:col>
          <xdr:colOff>76200</xdr:colOff>
          <xdr:row>81</xdr:row>
          <xdr:rowOff>85725</xdr:rowOff>
        </xdr:to>
        <xdr:sp macro="" textlink="">
          <xdr:nvSpPr>
            <xdr:cNvPr id="4128" name="Check Box 32" hidden="1">
              <a:extLst>
                <a:ext uri="{63B3BB69-23CF-44E3-9099-C40C66FF867C}">
                  <a14:compatExt spid="_x0000_s4128"/>
                </a:ext>
                <a:ext uri="{FF2B5EF4-FFF2-40B4-BE49-F238E27FC236}">
                  <a16:creationId xmlns:a16="http://schemas.microsoft.com/office/drawing/2014/main" id="{00000000-0008-0000-0100-000020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</xdr:col>
      <xdr:colOff>349249</xdr:colOff>
      <xdr:row>135</xdr:row>
      <xdr:rowOff>30163</xdr:rowOff>
    </xdr:from>
    <xdr:to>
      <xdr:col>5</xdr:col>
      <xdr:colOff>50799</xdr:colOff>
      <xdr:row>136</xdr:row>
      <xdr:rowOff>185738</xdr:rowOff>
    </xdr:to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49" y="39063613"/>
          <a:ext cx="2400300" cy="485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89</xdr:row>
          <xdr:rowOff>304800</xdr:rowOff>
        </xdr:from>
        <xdr:to>
          <xdr:col>1</xdr:col>
          <xdr:colOff>85725</xdr:colOff>
          <xdr:row>91</xdr:row>
          <xdr:rowOff>0</xdr:rowOff>
        </xdr:to>
        <xdr:sp macro="" textlink="">
          <xdr:nvSpPr>
            <xdr:cNvPr id="4139" name="Check Box 43" hidden="1">
              <a:extLst>
                <a:ext uri="{63B3BB69-23CF-44E3-9099-C40C66FF867C}">
                  <a14:compatExt spid="_x0000_s4139"/>
                </a:ext>
                <a:ext uri="{FF2B5EF4-FFF2-40B4-BE49-F238E27FC236}">
                  <a16:creationId xmlns:a16="http://schemas.microsoft.com/office/drawing/2014/main" id="{00000000-0008-0000-0100-00002B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90</xdr:row>
          <xdr:rowOff>304800</xdr:rowOff>
        </xdr:from>
        <xdr:to>
          <xdr:col>1</xdr:col>
          <xdr:colOff>85725</xdr:colOff>
          <xdr:row>92</xdr:row>
          <xdr:rowOff>0</xdr:rowOff>
        </xdr:to>
        <xdr:sp macro="" textlink="">
          <xdr:nvSpPr>
            <xdr:cNvPr id="4140" name="Check Box 44" hidden="1">
              <a:extLst>
                <a:ext uri="{63B3BB69-23CF-44E3-9099-C40C66FF867C}">
                  <a14:compatExt spid="_x0000_s4140"/>
                </a:ext>
                <a:ext uri="{FF2B5EF4-FFF2-40B4-BE49-F238E27FC236}">
                  <a16:creationId xmlns:a16="http://schemas.microsoft.com/office/drawing/2014/main" id="{00000000-0008-0000-0100-00002C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95</xdr:row>
          <xdr:rowOff>0</xdr:rowOff>
        </xdr:from>
        <xdr:to>
          <xdr:col>1</xdr:col>
          <xdr:colOff>76200</xdr:colOff>
          <xdr:row>96</xdr:row>
          <xdr:rowOff>76200</xdr:rowOff>
        </xdr:to>
        <xdr:sp macro="" textlink="">
          <xdr:nvSpPr>
            <xdr:cNvPr id="4141" name="Check Box 45" hidden="1">
              <a:extLst>
                <a:ext uri="{63B3BB69-23CF-44E3-9099-C40C66FF867C}">
                  <a14:compatExt spid="_x0000_s4141"/>
                </a:ext>
                <a:ext uri="{FF2B5EF4-FFF2-40B4-BE49-F238E27FC236}">
                  <a16:creationId xmlns:a16="http://schemas.microsoft.com/office/drawing/2014/main" id="{00000000-0008-0000-0100-00002D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65</xdr:row>
          <xdr:rowOff>47625</xdr:rowOff>
        </xdr:from>
        <xdr:to>
          <xdr:col>1</xdr:col>
          <xdr:colOff>76200</xdr:colOff>
          <xdr:row>65</xdr:row>
          <xdr:rowOff>276225</xdr:rowOff>
        </xdr:to>
        <xdr:sp macro="" textlink="">
          <xdr:nvSpPr>
            <xdr:cNvPr id="4142" name="Check Box 46" hidden="1">
              <a:extLst>
                <a:ext uri="{63B3BB69-23CF-44E3-9099-C40C66FF867C}">
                  <a14:compatExt spid="_x0000_s4142"/>
                </a:ext>
                <a:ext uri="{FF2B5EF4-FFF2-40B4-BE49-F238E27FC236}">
                  <a16:creationId xmlns:a16="http://schemas.microsoft.com/office/drawing/2014/main" id="{00000000-0008-0000-0100-00002E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71</xdr:row>
          <xdr:rowOff>47625</xdr:rowOff>
        </xdr:from>
        <xdr:to>
          <xdr:col>1</xdr:col>
          <xdr:colOff>76200</xdr:colOff>
          <xdr:row>71</xdr:row>
          <xdr:rowOff>276225</xdr:rowOff>
        </xdr:to>
        <xdr:sp macro="" textlink="">
          <xdr:nvSpPr>
            <xdr:cNvPr id="4143" name="Check Box 47" hidden="1">
              <a:extLst>
                <a:ext uri="{63B3BB69-23CF-44E3-9099-C40C66FF867C}">
                  <a14:compatExt spid="_x0000_s4143"/>
                </a:ext>
                <a:ext uri="{FF2B5EF4-FFF2-40B4-BE49-F238E27FC236}">
                  <a16:creationId xmlns:a16="http://schemas.microsoft.com/office/drawing/2014/main" id="{00000000-0008-0000-0100-00002F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78</xdr:row>
          <xdr:rowOff>0</xdr:rowOff>
        </xdr:from>
        <xdr:to>
          <xdr:col>1</xdr:col>
          <xdr:colOff>76200</xdr:colOff>
          <xdr:row>79</xdr:row>
          <xdr:rowOff>38100</xdr:rowOff>
        </xdr:to>
        <xdr:sp macro="" textlink="">
          <xdr:nvSpPr>
            <xdr:cNvPr id="4144" name="Check Box 48" hidden="1">
              <a:extLst>
                <a:ext uri="{63B3BB69-23CF-44E3-9099-C40C66FF867C}">
                  <a14:compatExt spid="_x0000_s4144"/>
                </a:ext>
                <a:ext uri="{FF2B5EF4-FFF2-40B4-BE49-F238E27FC236}">
                  <a16:creationId xmlns:a16="http://schemas.microsoft.com/office/drawing/2014/main" id="{00000000-0008-0000-0100-000030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12</xdr:row>
          <xdr:rowOff>323850</xdr:rowOff>
        </xdr:from>
        <xdr:to>
          <xdr:col>1</xdr:col>
          <xdr:colOff>76200</xdr:colOff>
          <xdr:row>14</xdr:row>
          <xdr:rowOff>28575</xdr:rowOff>
        </xdr:to>
        <xdr:sp macro="" textlink="">
          <xdr:nvSpPr>
            <xdr:cNvPr id="4145" name="Check Box 49" hidden="1">
              <a:extLst>
                <a:ext uri="{63B3BB69-23CF-44E3-9099-C40C66FF867C}">
                  <a14:compatExt spid="_x0000_s4145"/>
                </a:ext>
                <a:ext uri="{FF2B5EF4-FFF2-40B4-BE49-F238E27FC236}">
                  <a16:creationId xmlns:a16="http://schemas.microsoft.com/office/drawing/2014/main" id="{00000000-0008-0000-0100-00003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60</xdr:row>
          <xdr:rowOff>47625</xdr:rowOff>
        </xdr:from>
        <xdr:to>
          <xdr:col>1</xdr:col>
          <xdr:colOff>76200</xdr:colOff>
          <xdr:row>60</xdr:row>
          <xdr:rowOff>276225</xdr:rowOff>
        </xdr:to>
        <xdr:sp macro="" textlink="">
          <xdr:nvSpPr>
            <xdr:cNvPr id="4146" name="Check Box 50" hidden="1">
              <a:extLst>
                <a:ext uri="{63B3BB69-23CF-44E3-9099-C40C66FF867C}">
                  <a14:compatExt spid="_x0000_s4146"/>
                </a:ext>
                <a:ext uri="{FF2B5EF4-FFF2-40B4-BE49-F238E27FC236}">
                  <a16:creationId xmlns:a16="http://schemas.microsoft.com/office/drawing/2014/main" id="{00000000-0008-0000-0100-000032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131</xdr:row>
          <xdr:rowOff>228600</xdr:rowOff>
        </xdr:from>
        <xdr:to>
          <xdr:col>1</xdr:col>
          <xdr:colOff>66675</xdr:colOff>
          <xdr:row>133</xdr:row>
          <xdr:rowOff>9525</xdr:rowOff>
        </xdr:to>
        <xdr:sp macro="" textlink="">
          <xdr:nvSpPr>
            <xdr:cNvPr id="4147" name="Check Box 51" hidden="1">
              <a:extLst>
                <a:ext uri="{63B3BB69-23CF-44E3-9099-C40C66FF867C}">
                  <a14:compatExt spid="_x0000_s4147"/>
                </a:ext>
                <a:ext uri="{FF2B5EF4-FFF2-40B4-BE49-F238E27FC236}">
                  <a16:creationId xmlns:a16="http://schemas.microsoft.com/office/drawing/2014/main" id="{00000000-0008-0000-0100-000033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11</xdr:row>
          <xdr:rowOff>314325</xdr:rowOff>
        </xdr:from>
        <xdr:to>
          <xdr:col>1</xdr:col>
          <xdr:colOff>66675</xdr:colOff>
          <xdr:row>13</xdr:row>
          <xdr:rowOff>0</xdr:rowOff>
        </xdr:to>
        <xdr:sp macro="" textlink="">
          <xdr:nvSpPr>
            <xdr:cNvPr id="4148" name="Check Box 52" hidden="1">
              <a:extLst>
                <a:ext uri="{63B3BB69-23CF-44E3-9099-C40C66FF867C}">
                  <a14:compatExt spid="_x0000_s4148"/>
                </a:ext>
                <a:ext uri="{FF2B5EF4-FFF2-40B4-BE49-F238E27FC236}">
                  <a16:creationId xmlns:a16="http://schemas.microsoft.com/office/drawing/2014/main" id="{00000000-0008-0000-0100-000034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22</xdr:row>
          <xdr:rowOff>47625</xdr:rowOff>
        </xdr:from>
        <xdr:to>
          <xdr:col>1</xdr:col>
          <xdr:colOff>76200</xdr:colOff>
          <xdr:row>22</xdr:row>
          <xdr:rowOff>276225</xdr:rowOff>
        </xdr:to>
        <xdr:sp macro="" textlink="">
          <xdr:nvSpPr>
            <xdr:cNvPr id="4151" name="Check Box 55" hidden="1">
              <a:extLst>
                <a:ext uri="{63B3BB69-23CF-44E3-9099-C40C66FF867C}">
                  <a14:compatExt spid="_x0000_s4151"/>
                </a:ext>
                <a:ext uri="{FF2B5EF4-FFF2-40B4-BE49-F238E27FC236}">
                  <a16:creationId xmlns:a16="http://schemas.microsoft.com/office/drawing/2014/main" id="{00000000-0008-0000-0100-000037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95</xdr:row>
          <xdr:rowOff>0</xdr:rowOff>
        </xdr:from>
        <xdr:to>
          <xdr:col>1</xdr:col>
          <xdr:colOff>66675</xdr:colOff>
          <xdr:row>96</xdr:row>
          <xdr:rowOff>85725</xdr:rowOff>
        </xdr:to>
        <xdr:sp macro="" textlink="">
          <xdr:nvSpPr>
            <xdr:cNvPr id="4152" name="Check Box 56" hidden="1">
              <a:extLst>
                <a:ext uri="{63B3BB69-23CF-44E3-9099-C40C66FF867C}">
                  <a14:compatExt spid="_x0000_s4152"/>
                </a:ext>
                <a:ext uri="{FF2B5EF4-FFF2-40B4-BE49-F238E27FC236}">
                  <a16:creationId xmlns:a16="http://schemas.microsoft.com/office/drawing/2014/main" id="{00000000-0008-0000-0100-000038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96</xdr:row>
          <xdr:rowOff>0</xdr:rowOff>
        </xdr:from>
        <xdr:to>
          <xdr:col>1</xdr:col>
          <xdr:colOff>66675</xdr:colOff>
          <xdr:row>97</xdr:row>
          <xdr:rowOff>85725</xdr:rowOff>
        </xdr:to>
        <xdr:sp macro="" textlink="">
          <xdr:nvSpPr>
            <xdr:cNvPr id="4153" name="Check Box 57" hidden="1">
              <a:extLst>
                <a:ext uri="{63B3BB69-23CF-44E3-9099-C40C66FF867C}">
                  <a14:compatExt spid="_x0000_s4153"/>
                </a:ext>
                <a:ext uri="{FF2B5EF4-FFF2-40B4-BE49-F238E27FC236}">
                  <a16:creationId xmlns:a16="http://schemas.microsoft.com/office/drawing/2014/main" id="{00000000-0008-0000-0100-000039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26" Type="http://schemas.openxmlformats.org/officeDocument/2006/relationships/ctrlProp" Target="../ctrlProps/ctrlProp23.xml"/><Relationship Id="rId3" Type="http://schemas.openxmlformats.org/officeDocument/2006/relationships/vmlDrawing" Target="../drawings/vmlDrawing1.vml"/><Relationship Id="rId21" Type="http://schemas.openxmlformats.org/officeDocument/2006/relationships/ctrlProp" Target="../ctrlProps/ctrlProp18.x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5" Type="http://schemas.openxmlformats.org/officeDocument/2006/relationships/ctrlProp" Target="../ctrlProps/ctrlProp22.xml"/><Relationship Id="rId2" Type="http://schemas.openxmlformats.org/officeDocument/2006/relationships/drawing" Target="../drawings/drawing2.xml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29" Type="http://schemas.openxmlformats.org/officeDocument/2006/relationships/ctrlProp" Target="../ctrlProps/ctrlProp26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24" Type="http://schemas.openxmlformats.org/officeDocument/2006/relationships/ctrlProp" Target="../ctrlProps/ctrlProp21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23" Type="http://schemas.openxmlformats.org/officeDocument/2006/relationships/ctrlProp" Target="../ctrlProps/ctrlProp20.xml"/><Relationship Id="rId28" Type="http://schemas.openxmlformats.org/officeDocument/2006/relationships/ctrlProp" Target="../ctrlProps/ctrlProp25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31" Type="http://schemas.openxmlformats.org/officeDocument/2006/relationships/ctrlProp" Target="../ctrlProps/ctrlProp28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Relationship Id="rId22" Type="http://schemas.openxmlformats.org/officeDocument/2006/relationships/ctrlProp" Target="../ctrlProps/ctrlProp19.xml"/><Relationship Id="rId27" Type="http://schemas.openxmlformats.org/officeDocument/2006/relationships/ctrlProp" Target="../ctrlProps/ctrlProp24.xml"/><Relationship Id="rId30" Type="http://schemas.openxmlformats.org/officeDocument/2006/relationships/ctrlProp" Target="../ctrlProps/ctrlProp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8851C-3DEB-A547-BF76-A50AAFDF4154}">
  <sheetPr codeName="Sheet1"/>
  <dimension ref="A1:AD97"/>
  <sheetViews>
    <sheetView tabSelected="1" workbookViewId="0">
      <selection activeCell="J8" sqref="A1:XFD1048576"/>
    </sheetView>
  </sheetViews>
  <sheetFormatPr defaultColWidth="9.140625" defaultRowHeight="15"/>
  <cols>
    <col min="1" max="1" width="12.42578125" customWidth="1"/>
    <col min="2" max="2" width="12.42578125" style="78" customWidth="1"/>
    <col min="3" max="31" width="12.42578125" customWidth="1"/>
    <col min="32" max="32" width="14.42578125" customWidth="1"/>
    <col min="33" max="33" width="7.85546875" customWidth="1"/>
    <col min="34" max="34" width="12.42578125" bestFit="1" customWidth="1"/>
    <col min="35" max="37" width="7.85546875" customWidth="1"/>
  </cols>
  <sheetData>
    <row r="1" spans="1:30" ht="30">
      <c r="A1" s="1" t="s">
        <v>113</v>
      </c>
      <c r="B1" s="1" t="s">
        <v>114</v>
      </c>
      <c r="C1" s="1" t="s">
        <v>115</v>
      </c>
      <c r="D1" s="1" t="s">
        <v>116</v>
      </c>
      <c r="E1" s="1" t="s">
        <v>118</v>
      </c>
      <c r="F1" s="1" t="s">
        <v>119</v>
      </c>
      <c r="G1" s="1" t="s">
        <v>120</v>
      </c>
      <c r="H1" s="1" t="s">
        <v>121</v>
      </c>
      <c r="I1" s="1" t="s">
        <v>117</v>
      </c>
      <c r="J1" s="1" t="s">
        <v>157</v>
      </c>
      <c r="K1" s="1" t="s">
        <v>90</v>
      </c>
      <c r="L1" s="1" t="s">
        <v>159</v>
      </c>
      <c r="M1" s="1" t="s">
        <v>158</v>
      </c>
      <c r="N1" s="1" t="s">
        <v>160</v>
      </c>
      <c r="O1" s="1" t="s">
        <v>122</v>
      </c>
      <c r="P1" s="1" t="s">
        <v>123</v>
      </c>
      <c r="Q1" s="1" t="s">
        <v>124</v>
      </c>
      <c r="R1" s="1" t="s">
        <v>125</v>
      </c>
      <c r="S1" s="1" t="s">
        <v>156</v>
      </c>
      <c r="T1" s="1" t="s">
        <v>126</v>
      </c>
      <c r="U1" s="1" t="s">
        <v>127</v>
      </c>
      <c r="V1" s="1" t="s">
        <v>128</v>
      </c>
      <c r="W1" s="1" t="s">
        <v>129</v>
      </c>
      <c r="X1" s="1" t="s">
        <v>130</v>
      </c>
      <c r="Y1" s="1" t="s">
        <v>131</v>
      </c>
      <c r="Z1" s="1" t="s">
        <v>132</v>
      </c>
      <c r="AA1" s="1" t="s">
        <v>144</v>
      </c>
      <c r="AB1" s="1" t="s">
        <v>133</v>
      </c>
      <c r="AC1" s="1" t="s">
        <v>134</v>
      </c>
      <c r="AD1" s="1" t="s">
        <v>135</v>
      </c>
    </row>
    <row r="2" spans="1:30">
      <c r="A2" s="78">
        <v>1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>
        <f>M2/0.2</f>
        <v>0</v>
      </c>
      <c r="P2" s="78">
        <f>O2-Q2</f>
        <v>-1</v>
      </c>
      <c r="Q2" s="78">
        <v>1</v>
      </c>
      <c r="R2" s="78" t="e">
        <f>M2/O2*4</f>
        <v>#DIV/0!</v>
      </c>
      <c r="S2" s="78"/>
      <c r="T2" s="78"/>
      <c r="U2" s="78"/>
      <c r="V2" s="78"/>
      <c r="W2" s="78"/>
      <c r="X2" s="78"/>
      <c r="Y2" s="78"/>
      <c r="Z2" s="78"/>
      <c r="AA2" s="78"/>
      <c r="AB2" s="78"/>
      <c r="AC2" s="78" t="e">
        <f t="shared" ref="AC2:AC33" si="0">(MAX($AA$2:$AA$97))/AA2</f>
        <v>#DIV/0!</v>
      </c>
      <c r="AD2" s="78" t="e">
        <f>AC2*1</f>
        <v>#DIV/0!</v>
      </c>
    </row>
    <row r="3" spans="1:30">
      <c r="A3" s="78">
        <v>2</v>
      </c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>
        <f t="shared" ref="O3:O66" si="1">M3/0.2</f>
        <v>0</v>
      </c>
      <c r="P3" s="78">
        <f t="shared" ref="P3:P66" si="2">O3-Q3</f>
        <v>-1</v>
      </c>
      <c r="Q3" s="78">
        <v>1</v>
      </c>
      <c r="R3" s="78" t="e">
        <f t="shared" ref="R3:R66" si="3">M3/O3*4</f>
        <v>#DIV/0!</v>
      </c>
      <c r="S3" s="78"/>
      <c r="T3" s="78"/>
      <c r="U3" s="78"/>
      <c r="V3" s="78"/>
      <c r="W3" s="78"/>
      <c r="X3" s="78"/>
      <c r="Y3" s="78"/>
      <c r="Z3" s="78"/>
      <c r="AA3" s="78"/>
      <c r="AB3" s="78"/>
      <c r="AC3" s="78" t="e">
        <f t="shared" si="0"/>
        <v>#DIV/0!</v>
      </c>
      <c r="AD3" s="78" t="e">
        <f t="shared" ref="AD3:AD66" si="4">AC3*1</f>
        <v>#DIV/0!</v>
      </c>
    </row>
    <row r="4" spans="1:30">
      <c r="A4" s="78">
        <v>3</v>
      </c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78"/>
      <c r="O4" s="78">
        <f t="shared" si="1"/>
        <v>0</v>
      </c>
      <c r="P4" s="78">
        <f t="shared" si="2"/>
        <v>-1</v>
      </c>
      <c r="Q4" s="78">
        <v>1</v>
      </c>
      <c r="R4" s="78" t="e">
        <f t="shared" si="3"/>
        <v>#DIV/0!</v>
      </c>
      <c r="S4" s="78"/>
      <c r="T4" s="78"/>
      <c r="U4" s="78"/>
      <c r="V4" s="78"/>
      <c r="W4" s="78"/>
      <c r="X4" s="78"/>
      <c r="Y4" s="78"/>
      <c r="Z4" s="78"/>
      <c r="AA4" s="78"/>
      <c r="AB4" s="78"/>
      <c r="AC4" s="78" t="e">
        <f t="shared" si="0"/>
        <v>#DIV/0!</v>
      </c>
      <c r="AD4" s="78" t="e">
        <f t="shared" si="4"/>
        <v>#DIV/0!</v>
      </c>
    </row>
    <row r="5" spans="1:30">
      <c r="A5" s="78">
        <v>4</v>
      </c>
      <c r="C5" s="78"/>
      <c r="D5" s="78"/>
      <c r="E5" s="78"/>
      <c r="F5" s="78"/>
      <c r="G5" s="78"/>
      <c r="H5" s="78"/>
      <c r="I5" s="78"/>
      <c r="J5" s="78"/>
      <c r="K5" s="78"/>
      <c r="L5" s="78"/>
      <c r="M5" s="78"/>
      <c r="N5" s="78"/>
      <c r="O5" s="78">
        <f t="shared" si="1"/>
        <v>0</v>
      </c>
      <c r="P5" s="78">
        <f t="shared" si="2"/>
        <v>-1</v>
      </c>
      <c r="Q5" s="78">
        <v>1</v>
      </c>
      <c r="R5" s="78" t="e">
        <f t="shared" si="3"/>
        <v>#DIV/0!</v>
      </c>
      <c r="S5" s="78"/>
      <c r="T5" s="78"/>
      <c r="U5" s="78"/>
      <c r="V5" s="78"/>
      <c r="W5" s="78"/>
      <c r="X5" s="78"/>
      <c r="Y5" s="78"/>
      <c r="Z5" s="78"/>
      <c r="AA5" s="78"/>
      <c r="AB5" s="78"/>
      <c r="AC5" s="78" t="e">
        <f t="shared" si="0"/>
        <v>#DIV/0!</v>
      </c>
      <c r="AD5" s="78" t="e">
        <f t="shared" si="4"/>
        <v>#DIV/0!</v>
      </c>
    </row>
    <row r="6" spans="1:30">
      <c r="A6" s="78">
        <v>5</v>
      </c>
      <c r="C6" s="78"/>
      <c r="D6" s="78"/>
      <c r="E6" s="78"/>
      <c r="F6" s="78"/>
      <c r="G6" s="78"/>
      <c r="H6" s="78"/>
      <c r="I6" s="78"/>
      <c r="J6" s="78"/>
      <c r="K6" s="78"/>
      <c r="L6" s="78"/>
      <c r="M6" s="78"/>
      <c r="N6" s="78"/>
      <c r="O6" s="78">
        <f t="shared" si="1"/>
        <v>0</v>
      </c>
      <c r="P6" s="78">
        <f t="shared" si="2"/>
        <v>-1</v>
      </c>
      <c r="Q6" s="78">
        <v>1</v>
      </c>
      <c r="R6" s="78" t="e">
        <f t="shared" si="3"/>
        <v>#DIV/0!</v>
      </c>
      <c r="S6" s="78"/>
      <c r="T6" s="78"/>
      <c r="U6" s="78"/>
      <c r="V6" s="78"/>
      <c r="W6" s="78"/>
      <c r="X6" s="78"/>
      <c r="Y6" s="78"/>
      <c r="Z6" s="78"/>
      <c r="AA6" s="78"/>
      <c r="AB6" s="78"/>
      <c r="AC6" s="78" t="e">
        <f t="shared" si="0"/>
        <v>#DIV/0!</v>
      </c>
      <c r="AD6" s="78" t="e">
        <f t="shared" si="4"/>
        <v>#DIV/0!</v>
      </c>
    </row>
    <row r="7" spans="1:30">
      <c r="A7" s="78">
        <v>6</v>
      </c>
      <c r="C7" s="78"/>
      <c r="D7" s="78"/>
      <c r="E7" s="78"/>
      <c r="F7" s="78"/>
      <c r="G7" s="78"/>
      <c r="H7" s="78"/>
      <c r="I7" s="78"/>
      <c r="J7" s="78"/>
      <c r="K7" s="78"/>
      <c r="L7" s="78"/>
      <c r="M7" s="78"/>
      <c r="N7" s="78"/>
      <c r="O7" s="78">
        <f t="shared" si="1"/>
        <v>0</v>
      </c>
      <c r="P7" s="78">
        <f t="shared" si="2"/>
        <v>-1</v>
      </c>
      <c r="Q7" s="78">
        <v>1</v>
      </c>
      <c r="R7" s="78" t="e">
        <f t="shared" si="3"/>
        <v>#DIV/0!</v>
      </c>
      <c r="S7" s="78"/>
      <c r="T7" s="78"/>
      <c r="U7" s="78"/>
      <c r="V7" s="78"/>
      <c r="W7" s="78"/>
      <c r="X7" s="78"/>
      <c r="Y7" s="78"/>
      <c r="Z7" s="78"/>
      <c r="AA7" s="78"/>
      <c r="AB7" s="78"/>
      <c r="AC7" s="78" t="e">
        <f t="shared" si="0"/>
        <v>#DIV/0!</v>
      </c>
      <c r="AD7" s="78" t="e">
        <f t="shared" si="4"/>
        <v>#DIV/0!</v>
      </c>
    </row>
    <row r="8" spans="1:30">
      <c r="A8" s="78">
        <v>7</v>
      </c>
      <c r="C8" s="78"/>
      <c r="D8" s="78"/>
      <c r="E8" s="78"/>
      <c r="F8" s="78"/>
      <c r="G8" s="78"/>
      <c r="H8" s="78"/>
      <c r="I8" s="78"/>
      <c r="J8" s="78"/>
      <c r="K8" s="78"/>
      <c r="L8" s="78"/>
      <c r="M8" s="78"/>
      <c r="N8" s="78"/>
      <c r="O8" s="78">
        <f t="shared" si="1"/>
        <v>0</v>
      </c>
      <c r="P8" s="78">
        <f t="shared" si="2"/>
        <v>-1</v>
      </c>
      <c r="Q8" s="78">
        <v>1</v>
      </c>
      <c r="R8" s="78" t="e">
        <f t="shared" si="3"/>
        <v>#DIV/0!</v>
      </c>
      <c r="S8" s="78"/>
      <c r="T8" s="78"/>
      <c r="U8" s="78"/>
      <c r="V8" s="78"/>
      <c r="W8" s="78"/>
      <c r="X8" s="78"/>
      <c r="Y8" s="78"/>
      <c r="Z8" s="78"/>
      <c r="AA8" s="78"/>
      <c r="AB8" s="78"/>
      <c r="AC8" s="78" t="e">
        <f t="shared" si="0"/>
        <v>#DIV/0!</v>
      </c>
      <c r="AD8" s="78" t="e">
        <f t="shared" si="4"/>
        <v>#DIV/0!</v>
      </c>
    </row>
    <row r="9" spans="1:30">
      <c r="A9" s="78">
        <v>8</v>
      </c>
      <c r="C9" s="78"/>
      <c r="D9" s="78"/>
      <c r="E9" s="78"/>
      <c r="F9" s="78"/>
      <c r="G9" s="78"/>
      <c r="H9" s="78"/>
      <c r="I9" s="78"/>
      <c r="J9" s="78"/>
      <c r="K9" s="78"/>
      <c r="L9" s="78"/>
      <c r="M9" s="78"/>
      <c r="N9" s="78"/>
      <c r="O9" s="78">
        <f t="shared" si="1"/>
        <v>0</v>
      </c>
      <c r="P9" s="78">
        <f t="shared" si="2"/>
        <v>-1</v>
      </c>
      <c r="Q9" s="78">
        <v>1</v>
      </c>
      <c r="R9" s="78" t="e">
        <f t="shared" si="3"/>
        <v>#DIV/0!</v>
      </c>
      <c r="S9" s="78"/>
      <c r="T9" s="78"/>
      <c r="U9" s="78"/>
      <c r="V9" s="78"/>
      <c r="W9" s="78"/>
      <c r="X9" s="78"/>
      <c r="Y9" s="78"/>
      <c r="Z9" s="78"/>
      <c r="AA9" s="78"/>
      <c r="AB9" s="78"/>
      <c r="AC9" s="78" t="e">
        <f t="shared" si="0"/>
        <v>#DIV/0!</v>
      </c>
      <c r="AD9" s="78" t="e">
        <f t="shared" si="4"/>
        <v>#DIV/0!</v>
      </c>
    </row>
    <row r="10" spans="1:30">
      <c r="A10" s="78">
        <v>9</v>
      </c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8">
        <f t="shared" si="1"/>
        <v>0</v>
      </c>
      <c r="P10" s="78">
        <f t="shared" si="2"/>
        <v>-1</v>
      </c>
      <c r="Q10" s="78">
        <v>1</v>
      </c>
      <c r="R10" s="78" t="e">
        <f t="shared" si="3"/>
        <v>#DIV/0!</v>
      </c>
      <c r="S10" s="78"/>
      <c r="T10" s="78"/>
      <c r="U10" s="78"/>
      <c r="V10" s="78"/>
      <c r="W10" s="78"/>
      <c r="X10" s="78"/>
      <c r="Y10" s="78"/>
      <c r="Z10" s="78"/>
      <c r="AA10" s="78"/>
      <c r="AB10" s="78"/>
      <c r="AC10" s="78" t="e">
        <f t="shared" si="0"/>
        <v>#DIV/0!</v>
      </c>
      <c r="AD10" s="78" t="e">
        <f t="shared" si="4"/>
        <v>#DIV/0!</v>
      </c>
    </row>
    <row r="11" spans="1:30">
      <c r="A11" s="78">
        <v>10</v>
      </c>
      <c r="C11" s="78"/>
      <c r="D11" s="78"/>
      <c r="E11" s="78"/>
      <c r="F11" s="78"/>
      <c r="G11" s="78"/>
      <c r="H11" s="78"/>
      <c r="I11" s="78"/>
      <c r="J11" s="78"/>
      <c r="K11" s="78"/>
      <c r="L11" s="78"/>
      <c r="M11" s="78"/>
      <c r="N11" s="78"/>
      <c r="O11" s="78">
        <f t="shared" si="1"/>
        <v>0</v>
      </c>
      <c r="P11" s="78">
        <f t="shared" si="2"/>
        <v>-1</v>
      </c>
      <c r="Q11" s="78">
        <v>1</v>
      </c>
      <c r="R11" s="78" t="e">
        <f t="shared" si="3"/>
        <v>#DIV/0!</v>
      </c>
      <c r="S11" s="78"/>
      <c r="T11" s="78"/>
      <c r="U11" s="78"/>
      <c r="V11" s="78"/>
      <c r="W11" s="78"/>
      <c r="X11" s="78"/>
      <c r="Y11" s="78"/>
      <c r="Z11" s="78"/>
      <c r="AA11" s="78"/>
      <c r="AB11" s="78"/>
      <c r="AC11" s="78" t="e">
        <f t="shared" si="0"/>
        <v>#DIV/0!</v>
      </c>
      <c r="AD11" s="78" t="e">
        <f t="shared" si="4"/>
        <v>#DIV/0!</v>
      </c>
    </row>
    <row r="12" spans="1:30">
      <c r="A12" s="78">
        <v>11</v>
      </c>
      <c r="C12" s="78"/>
      <c r="D12" s="78"/>
      <c r="E12" s="78"/>
      <c r="F12" s="78"/>
      <c r="G12" s="78"/>
      <c r="H12" s="78"/>
      <c r="I12" s="78"/>
      <c r="J12" s="78"/>
      <c r="K12" s="78"/>
      <c r="L12" s="78"/>
      <c r="M12" s="78"/>
      <c r="N12" s="78"/>
      <c r="O12" s="78">
        <f t="shared" si="1"/>
        <v>0</v>
      </c>
      <c r="P12" s="78">
        <f t="shared" si="2"/>
        <v>-1</v>
      </c>
      <c r="Q12" s="78">
        <v>1</v>
      </c>
      <c r="R12" s="78" t="e">
        <f t="shared" si="3"/>
        <v>#DIV/0!</v>
      </c>
      <c r="S12" s="78"/>
      <c r="T12" s="78"/>
      <c r="U12" s="78"/>
      <c r="V12" s="78"/>
      <c r="W12" s="78"/>
      <c r="X12" s="78"/>
      <c r="Y12" s="78"/>
      <c r="Z12" s="78"/>
      <c r="AA12" s="78"/>
      <c r="AB12" s="78"/>
      <c r="AC12" s="78" t="e">
        <f t="shared" si="0"/>
        <v>#DIV/0!</v>
      </c>
      <c r="AD12" s="78" t="e">
        <f t="shared" si="4"/>
        <v>#DIV/0!</v>
      </c>
    </row>
    <row r="13" spans="1:30">
      <c r="A13" s="78">
        <v>12</v>
      </c>
      <c r="C13" s="78"/>
      <c r="D13" s="78"/>
      <c r="E13" s="78"/>
      <c r="F13" s="78"/>
      <c r="G13" s="78"/>
      <c r="H13" s="78"/>
      <c r="I13" s="78"/>
      <c r="J13" s="78"/>
      <c r="K13" s="78"/>
      <c r="L13" s="78"/>
      <c r="M13" s="78"/>
      <c r="N13" s="78"/>
      <c r="O13" s="78">
        <f t="shared" si="1"/>
        <v>0</v>
      </c>
      <c r="P13" s="78">
        <f t="shared" si="2"/>
        <v>-1</v>
      </c>
      <c r="Q13" s="78">
        <v>1</v>
      </c>
      <c r="R13" s="78" t="e">
        <f t="shared" si="3"/>
        <v>#DIV/0!</v>
      </c>
      <c r="S13" s="78"/>
      <c r="T13" s="78"/>
      <c r="U13" s="78"/>
      <c r="V13" s="78"/>
      <c r="W13" s="78"/>
      <c r="X13" s="78"/>
      <c r="Y13" s="78"/>
      <c r="Z13" s="78"/>
      <c r="AA13" s="78"/>
      <c r="AB13" s="78"/>
      <c r="AC13" s="78" t="e">
        <f t="shared" si="0"/>
        <v>#DIV/0!</v>
      </c>
      <c r="AD13" s="78" t="e">
        <f t="shared" si="4"/>
        <v>#DIV/0!</v>
      </c>
    </row>
    <row r="14" spans="1:30">
      <c r="A14" s="78">
        <v>13</v>
      </c>
      <c r="C14" s="78"/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>
        <f t="shared" si="1"/>
        <v>0</v>
      </c>
      <c r="P14" s="78">
        <f t="shared" si="2"/>
        <v>-1</v>
      </c>
      <c r="Q14" s="78">
        <v>1</v>
      </c>
      <c r="R14" s="78" t="e">
        <f t="shared" si="3"/>
        <v>#DIV/0!</v>
      </c>
      <c r="S14" s="78"/>
      <c r="T14" s="78"/>
      <c r="U14" s="78"/>
      <c r="V14" s="78"/>
      <c r="W14" s="78"/>
      <c r="X14" s="78"/>
      <c r="Y14" s="78"/>
      <c r="Z14" s="78"/>
      <c r="AA14" s="78"/>
      <c r="AB14" s="78"/>
      <c r="AC14" s="78" t="e">
        <f t="shared" si="0"/>
        <v>#DIV/0!</v>
      </c>
      <c r="AD14" s="78" t="e">
        <f t="shared" si="4"/>
        <v>#DIV/0!</v>
      </c>
    </row>
    <row r="15" spans="1:30">
      <c r="A15" s="78">
        <v>14</v>
      </c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8">
        <f t="shared" si="1"/>
        <v>0</v>
      </c>
      <c r="P15" s="78">
        <f t="shared" si="2"/>
        <v>-1</v>
      </c>
      <c r="Q15" s="78">
        <v>1</v>
      </c>
      <c r="R15" s="78" t="e">
        <f t="shared" si="3"/>
        <v>#DIV/0!</v>
      </c>
      <c r="S15" s="78"/>
      <c r="T15" s="78"/>
      <c r="U15" s="78"/>
      <c r="V15" s="78"/>
      <c r="W15" s="78"/>
      <c r="X15" s="78"/>
      <c r="Y15" s="78"/>
      <c r="Z15" s="78"/>
      <c r="AA15" s="78"/>
      <c r="AB15" s="78"/>
      <c r="AC15" s="78" t="e">
        <f t="shared" si="0"/>
        <v>#DIV/0!</v>
      </c>
      <c r="AD15" s="78" t="e">
        <f t="shared" si="4"/>
        <v>#DIV/0!</v>
      </c>
    </row>
    <row r="16" spans="1:30">
      <c r="A16" s="78">
        <v>15</v>
      </c>
      <c r="C16" s="78"/>
      <c r="D16" s="78"/>
      <c r="E16" s="78"/>
      <c r="F16" s="78"/>
      <c r="G16" s="78"/>
      <c r="H16" s="78"/>
      <c r="I16" s="78"/>
      <c r="J16" s="78"/>
      <c r="K16" s="78"/>
      <c r="L16" s="78"/>
      <c r="M16" s="78"/>
      <c r="N16" s="78"/>
      <c r="O16" s="78">
        <f t="shared" si="1"/>
        <v>0</v>
      </c>
      <c r="P16" s="78">
        <f t="shared" si="2"/>
        <v>-1</v>
      </c>
      <c r="Q16" s="78">
        <v>1</v>
      </c>
      <c r="R16" s="78" t="e">
        <f t="shared" si="3"/>
        <v>#DIV/0!</v>
      </c>
      <c r="S16" s="78"/>
      <c r="T16" s="78"/>
      <c r="U16" s="78"/>
      <c r="V16" s="78"/>
      <c r="W16" s="78"/>
      <c r="X16" s="78"/>
      <c r="Y16" s="78"/>
      <c r="Z16" s="78"/>
      <c r="AA16" s="78"/>
      <c r="AB16" s="78"/>
      <c r="AC16" s="78" t="e">
        <f t="shared" si="0"/>
        <v>#DIV/0!</v>
      </c>
      <c r="AD16" s="78" t="e">
        <f t="shared" si="4"/>
        <v>#DIV/0!</v>
      </c>
    </row>
    <row r="17" spans="1:30">
      <c r="A17" s="78">
        <v>16</v>
      </c>
      <c r="C17" s="78"/>
      <c r="D17" s="78"/>
      <c r="E17" s="78"/>
      <c r="F17" s="78"/>
      <c r="G17" s="78"/>
      <c r="H17" s="78"/>
      <c r="I17" s="78"/>
      <c r="J17" s="78"/>
      <c r="K17" s="78"/>
      <c r="L17" s="78"/>
      <c r="M17" s="78"/>
      <c r="N17" s="78"/>
      <c r="O17" s="78">
        <f t="shared" si="1"/>
        <v>0</v>
      </c>
      <c r="P17" s="78">
        <f t="shared" si="2"/>
        <v>-1</v>
      </c>
      <c r="Q17" s="78">
        <v>1</v>
      </c>
      <c r="R17" s="78" t="e">
        <f t="shared" si="3"/>
        <v>#DIV/0!</v>
      </c>
      <c r="S17" s="78"/>
      <c r="T17" s="78"/>
      <c r="U17" s="78"/>
      <c r="V17" s="78"/>
      <c r="W17" s="78"/>
      <c r="X17" s="78"/>
      <c r="Y17" s="78"/>
      <c r="Z17" s="78"/>
      <c r="AA17" s="78"/>
      <c r="AB17" s="78"/>
      <c r="AC17" s="78" t="e">
        <f t="shared" si="0"/>
        <v>#DIV/0!</v>
      </c>
      <c r="AD17" s="78" t="e">
        <f t="shared" si="4"/>
        <v>#DIV/0!</v>
      </c>
    </row>
    <row r="18" spans="1:30">
      <c r="A18" s="78">
        <v>17</v>
      </c>
      <c r="C18" s="78"/>
      <c r="D18" s="78"/>
      <c r="E18" s="78"/>
      <c r="F18" s="78"/>
      <c r="G18" s="78"/>
      <c r="H18" s="78"/>
      <c r="I18" s="78"/>
      <c r="J18" s="78"/>
      <c r="K18" s="78"/>
      <c r="L18" s="78"/>
      <c r="M18" s="78"/>
      <c r="N18" s="78"/>
      <c r="O18" s="78">
        <f t="shared" si="1"/>
        <v>0</v>
      </c>
      <c r="P18" s="78">
        <f t="shared" si="2"/>
        <v>-1</v>
      </c>
      <c r="Q18" s="78">
        <v>1</v>
      </c>
      <c r="R18" s="78" t="e">
        <f t="shared" si="3"/>
        <v>#DIV/0!</v>
      </c>
      <c r="S18" s="78"/>
      <c r="T18" s="78"/>
      <c r="U18" s="78"/>
      <c r="V18" s="78"/>
      <c r="W18" s="78"/>
      <c r="X18" s="78"/>
      <c r="Y18" s="78"/>
      <c r="Z18" s="78"/>
      <c r="AA18" s="78"/>
      <c r="AB18" s="78"/>
      <c r="AC18" s="78" t="e">
        <f t="shared" si="0"/>
        <v>#DIV/0!</v>
      </c>
      <c r="AD18" s="78" t="e">
        <f t="shared" si="4"/>
        <v>#DIV/0!</v>
      </c>
    </row>
    <row r="19" spans="1:30">
      <c r="A19" s="78">
        <v>18</v>
      </c>
      <c r="C19" s="78"/>
      <c r="D19" s="78"/>
      <c r="E19" s="78"/>
      <c r="F19" s="78"/>
      <c r="G19" s="78"/>
      <c r="H19" s="78"/>
      <c r="I19" s="78"/>
      <c r="J19" s="78"/>
      <c r="K19" s="78"/>
      <c r="L19" s="78"/>
      <c r="M19" s="78"/>
      <c r="N19" s="78"/>
      <c r="O19" s="78">
        <f t="shared" si="1"/>
        <v>0</v>
      </c>
      <c r="P19" s="78">
        <f t="shared" si="2"/>
        <v>-1</v>
      </c>
      <c r="Q19" s="78">
        <v>1</v>
      </c>
      <c r="R19" s="78" t="e">
        <f t="shared" si="3"/>
        <v>#DIV/0!</v>
      </c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 t="e">
        <f t="shared" si="0"/>
        <v>#DIV/0!</v>
      </c>
      <c r="AD19" s="78" t="e">
        <f t="shared" si="4"/>
        <v>#DIV/0!</v>
      </c>
    </row>
    <row r="20" spans="1:30">
      <c r="A20" s="78">
        <v>19</v>
      </c>
      <c r="C20" s="78"/>
      <c r="D20" s="78"/>
      <c r="E20" s="78"/>
      <c r="F20" s="78"/>
      <c r="G20" s="78"/>
      <c r="H20" s="78"/>
      <c r="I20" s="78"/>
      <c r="J20" s="78"/>
      <c r="K20" s="78"/>
      <c r="L20" s="78"/>
      <c r="M20" s="78"/>
      <c r="N20" s="78"/>
      <c r="O20" s="78">
        <f t="shared" si="1"/>
        <v>0</v>
      </c>
      <c r="P20" s="78">
        <f t="shared" si="2"/>
        <v>-1</v>
      </c>
      <c r="Q20" s="78">
        <v>1</v>
      </c>
      <c r="R20" s="78" t="e">
        <f t="shared" si="3"/>
        <v>#DIV/0!</v>
      </c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 t="e">
        <f t="shared" si="0"/>
        <v>#DIV/0!</v>
      </c>
      <c r="AD20" s="78" t="e">
        <f t="shared" si="4"/>
        <v>#DIV/0!</v>
      </c>
    </row>
    <row r="21" spans="1:30">
      <c r="A21" s="78">
        <v>20</v>
      </c>
      <c r="C21" s="78"/>
      <c r="D21" s="78"/>
      <c r="E21" s="78"/>
      <c r="F21" s="78"/>
      <c r="G21" s="78"/>
      <c r="H21" s="78"/>
      <c r="I21" s="78"/>
      <c r="J21" s="78"/>
      <c r="K21" s="78"/>
      <c r="L21" s="78"/>
      <c r="M21" s="78"/>
      <c r="N21" s="78"/>
      <c r="O21" s="78">
        <f t="shared" si="1"/>
        <v>0</v>
      </c>
      <c r="P21" s="78">
        <f t="shared" si="2"/>
        <v>-1</v>
      </c>
      <c r="Q21" s="78">
        <v>1</v>
      </c>
      <c r="R21" s="78" t="e">
        <f t="shared" si="3"/>
        <v>#DIV/0!</v>
      </c>
      <c r="S21" s="78"/>
      <c r="T21" s="78"/>
      <c r="U21" s="78"/>
      <c r="V21" s="78"/>
      <c r="W21" s="78"/>
      <c r="X21" s="78"/>
      <c r="Y21" s="78"/>
      <c r="Z21" s="78"/>
      <c r="AA21" s="78"/>
      <c r="AB21" s="78"/>
      <c r="AC21" s="78" t="e">
        <f t="shared" si="0"/>
        <v>#DIV/0!</v>
      </c>
      <c r="AD21" s="78" t="e">
        <f t="shared" si="4"/>
        <v>#DIV/0!</v>
      </c>
    </row>
    <row r="22" spans="1:30">
      <c r="A22" s="78">
        <v>21</v>
      </c>
      <c r="C22" s="78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>
        <f t="shared" si="1"/>
        <v>0</v>
      </c>
      <c r="P22" s="78">
        <f t="shared" si="2"/>
        <v>-1</v>
      </c>
      <c r="Q22" s="78">
        <v>1</v>
      </c>
      <c r="R22" s="78" t="e">
        <f t="shared" si="3"/>
        <v>#DIV/0!</v>
      </c>
      <c r="S22" s="78"/>
      <c r="T22" s="78"/>
      <c r="U22" s="78"/>
      <c r="V22" s="78"/>
      <c r="W22" s="78"/>
      <c r="X22" s="78"/>
      <c r="Y22" s="78"/>
      <c r="Z22" s="78"/>
      <c r="AA22" s="78"/>
      <c r="AB22" s="78"/>
      <c r="AC22" s="78" t="e">
        <f t="shared" si="0"/>
        <v>#DIV/0!</v>
      </c>
      <c r="AD22" s="78" t="e">
        <f t="shared" si="4"/>
        <v>#DIV/0!</v>
      </c>
    </row>
    <row r="23" spans="1:30">
      <c r="A23" s="78">
        <v>22</v>
      </c>
      <c r="C23" s="78"/>
      <c r="D23" s="78"/>
      <c r="E23" s="78"/>
      <c r="F23" s="78"/>
      <c r="G23" s="78"/>
      <c r="H23" s="78"/>
      <c r="I23" s="78"/>
      <c r="J23" s="78"/>
      <c r="K23" s="78"/>
      <c r="L23" s="78"/>
      <c r="M23" s="78"/>
      <c r="N23" s="78"/>
      <c r="O23" s="78">
        <f t="shared" si="1"/>
        <v>0</v>
      </c>
      <c r="P23" s="78">
        <f t="shared" si="2"/>
        <v>-1</v>
      </c>
      <c r="Q23" s="78">
        <v>1</v>
      </c>
      <c r="R23" s="78" t="e">
        <f t="shared" si="3"/>
        <v>#DIV/0!</v>
      </c>
      <c r="S23" s="78"/>
      <c r="T23" s="78"/>
      <c r="U23" s="78"/>
      <c r="V23" s="78"/>
      <c r="W23" s="78"/>
      <c r="X23" s="78"/>
      <c r="Y23" s="78"/>
      <c r="Z23" s="78"/>
      <c r="AA23" s="78"/>
      <c r="AB23" s="78"/>
      <c r="AC23" s="78" t="e">
        <f t="shared" si="0"/>
        <v>#DIV/0!</v>
      </c>
      <c r="AD23" s="78" t="e">
        <f t="shared" si="4"/>
        <v>#DIV/0!</v>
      </c>
    </row>
    <row r="24" spans="1:30">
      <c r="A24" s="78">
        <v>23</v>
      </c>
      <c r="C24" s="78"/>
      <c r="D24" s="78"/>
      <c r="E24" s="78"/>
      <c r="F24" s="78"/>
      <c r="G24" s="78"/>
      <c r="H24" s="78"/>
      <c r="I24" s="78"/>
      <c r="J24" s="78"/>
      <c r="K24" s="78"/>
      <c r="L24" s="78"/>
      <c r="M24" s="78"/>
      <c r="N24" s="78"/>
      <c r="O24" s="78">
        <f t="shared" si="1"/>
        <v>0</v>
      </c>
      <c r="P24" s="78">
        <f t="shared" si="2"/>
        <v>-1</v>
      </c>
      <c r="Q24" s="78">
        <v>1</v>
      </c>
      <c r="R24" s="78" t="e">
        <f t="shared" si="3"/>
        <v>#DIV/0!</v>
      </c>
      <c r="S24" s="78"/>
      <c r="T24" s="78"/>
      <c r="U24" s="78"/>
      <c r="V24" s="78"/>
      <c r="W24" s="78"/>
      <c r="X24" s="78"/>
      <c r="Y24" s="78"/>
      <c r="Z24" s="78"/>
      <c r="AA24" s="78"/>
      <c r="AB24" s="78"/>
      <c r="AC24" s="78" t="e">
        <f t="shared" si="0"/>
        <v>#DIV/0!</v>
      </c>
      <c r="AD24" s="78" t="e">
        <f t="shared" si="4"/>
        <v>#DIV/0!</v>
      </c>
    </row>
    <row r="25" spans="1:30">
      <c r="A25" s="78">
        <v>24</v>
      </c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>
        <f t="shared" si="1"/>
        <v>0</v>
      </c>
      <c r="P25" s="78">
        <f t="shared" si="2"/>
        <v>-1</v>
      </c>
      <c r="Q25" s="78">
        <v>1</v>
      </c>
      <c r="R25" s="78" t="e">
        <f t="shared" si="3"/>
        <v>#DIV/0!</v>
      </c>
      <c r="S25" s="78"/>
      <c r="T25" s="78"/>
      <c r="U25" s="78"/>
      <c r="V25" s="78"/>
      <c r="W25" s="78"/>
      <c r="X25" s="78"/>
      <c r="Y25" s="78"/>
      <c r="Z25" s="78"/>
      <c r="AA25" s="78"/>
      <c r="AB25" s="78"/>
      <c r="AC25" s="78" t="e">
        <f t="shared" si="0"/>
        <v>#DIV/0!</v>
      </c>
      <c r="AD25" s="78" t="e">
        <f t="shared" si="4"/>
        <v>#DIV/0!</v>
      </c>
    </row>
    <row r="26" spans="1:30">
      <c r="A26" s="78">
        <v>25</v>
      </c>
      <c r="C26" s="78"/>
      <c r="D26" s="78"/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78">
        <f t="shared" si="1"/>
        <v>0</v>
      </c>
      <c r="P26" s="78">
        <f t="shared" si="2"/>
        <v>-1</v>
      </c>
      <c r="Q26" s="78">
        <v>1</v>
      </c>
      <c r="R26" s="78" t="e">
        <f t="shared" si="3"/>
        <v>#DIV/0!</v>
      </c>
      <c r="S26" s="78"/>
      <c r="T26" s="78"/>
      <c r="U26" s="78"/>
      <c r="V26" s="78"/>
      <c r="W26" s="78"/>
      <c r="X26" s="78"/>
      <c r="Y26" s="78"/>
      <c r="Z26" s="78"/>
      <c r="AA26" s="78"/>
      <c r="AB26" s="78"/>
      <c r="AC26" s="78" t="e">
        <f t="shared" si="0"/>
        <v>#DIV/0!</v>
      </c>
      <c r="AD26" s="78" t="e">
        <f t="shared" si="4"/>
        <v>#DIV/0!</v>
      </c>
    </row>
    <row r="27" spans="1:30">
      <c r="A27" s="78">
        <v>26</v>
      </c>
      <c r="C27" s="78"/>
      <c r="D27" s="78"/>
      <c r="E27" s="78"/>
      <c r="F27" s="78"/>
      <c r="G27" s="78"/>
      <c r="H27" s="78"/>
      <c r="I27" s="78"/>
      <c r="J27" s="78"/>
      <c r="K27" s="78"/>
      <c r="L27" s="78"/>
      <c r="M27" s="78"/>
      <c r="N27" s="78"/>
      <c r="O27" s="78">
        <f t="shared" si="1"/>
        <v>0</v>
      </c>
      <c r="P27" s="78">
        <f t="shared" si="2"/>
        <v>-1</v>
      </c>
      <c r="Q27" s="78">
        <v>1</v>
      </c>
      <c r="R27" s="78" t="e">
        <f t="shared" si="3"/>
        <v>#DIV/0!</v>
      </c>
      <c r="S27" s="78"/>
      <c r="T27" s="78"/>
      <c r="U27" s="78"/>
      <c r="V27" s="78"/>
      <c r="W27" s="78"/>
      <c r="X27" s="78"/>
      <c r="Y27" s="78"/>
      <c r="Z27" s="78"/>
      <c r="AA27" s="78"/>
      <c r="AB27" s="78"/>
      <c r="AC27" s="78" t="e">
        <f t="shared" si="0"/>
        <v>#DIV/0!</v>
      </c>
      <c r="AD27" s="78" t="e">
        <f t="shared" si="4"/>
        <v>#DIV/0!</v>
      </c>
    </row>
    <row r="28" spans="1:30">
      <c r="A28" s="78">
        <v>27</v>
      </c>
      <c r="C28" s="78"/>
      <c r="D28" s="78"/>
      <c r="E28" s="78"/>
      <c r="F28" s="78"/>
      <c r="G28" s="78"/>
      <c r="H28" s="78"/>
      <c r="I28" s="78"/>
      <c r="J28" s="78"/>
      <c r="K28" s="78"/>
      <c r="L28" s="78"/>
      <c r="M28" s="78"/>
      <c r="N28" s="78"/>
      <c r="O28" s="78">
        <f t="shared" si="1"/>
        <v>0</v>
      </c>
      <c r="P28" s="78">
        <f t="shared" si="2"/>
        <v>-1</v>
      </c>
      <c r="Q28" s="78">
        <v>1</v>
      </c>
      <c r="R28" s="78" t="e">
        <f t="shared" si="3"/>
        <v>#DIV/0!</v>
      </c>
      <c r="S28" s="78"/>
      <c r="T28" s="78"/>
      <c r="U28" s="78"/>
      <c r="V28" s="78"/>
      <c r="W28" s="78"/>
      <c r="X28" s="78"/>
      <c r="Y28" s="78"/>
      <c r="Z28" s="78"/>
      <c r="AA28" s="78"/>
      <c r="AB28" s="78"/>
      <c r="AC28" s="78" t="e">
        <f t="shared" si="0"/>
        <v>#DIV/0!</v>
      </c>
      <c r="AD28" s="78" t="e">
        <f t="shared" si="4"/>
        <v>#DIV/0!</v>
      </c>
    </row>
    <row r="29" spans="1:30">
      <c r="A29" s="78">
        <v>28</v>
      </c>
      <c r="C29" s="78"/>
      <c r="D29" s="78"/>
      <c r="E29" s="78"/>
      <c r="F29" s="78"/>
      <c r="G29" s="78"/>
      <c r="H29" s="78"/>
      <c r="I29" s="78"/>
      <c r="J29" s="78"/>
      <c r="K29" s="78"/>
      <c r="L29" s="78"/>
      <c r="M29" s="78"/>
      <c r="N29" s="78"/>
      <c r="O29" s="78">
        <f t="shared" si="1"/>
        <v>0</v>
      </c>
      <c r="P29" s="78">
        <f t="shared" si="2"/>
        <v>-1</v>
      </c>
      <c r="Q29" s="78">
        <v>1</v>
      </c>
      <c r="R29" s="78" t="e">
        <f t="shared" si="3"/>
        <v>#DIV/0!</v>
      </c>
      <c r="S29" s="78"/>
      <c r="T29" s="78"/>
      <c r="U29" s="78"/>
      <c r="V29" s="78"/>
      <c r="W29" s="78"/>
      <c r="X29" s="78"/>
      <c r="Y29" s="78"/>
      <c r="Z29" s="78"/>
      <c r="AA29" s="78"/>
      <c r="AB29" s="78"/>
      <c r="AC29" s="78" t="e">
        <f t="shared" si="0"/>
        <v>#DIV/0!</v>
      </c>
      <c r="AD29" s="78" t="e">
        <f t="shared" si="4"/>
        <v>#DIV/0!</v>
      </c>
    </row>
    <row r="30" spans="1:30">
      <c r="A30" s="78">
        <v>29</v>
      </c>
      <c r="C30" s="78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>
        <f t="shared" si="1"/>
        <v>0</v>
      </c>
      <c r="P30" s="78">
        <f t="shared" si="2"/>
        <v>-1</v>
      </c>
      <c r="Q30" s="78">
        <v>1</v>
      </c>
      <c r="R30" s="78" t="e">
        <f t="shared" si="3"/>
        <v>#DIV/0!</v>
      </c>
      <c r="S30" s="78"/>
      <c r="T30" s="78"/>
      <c r="U30" s="78"/>
      <c r="V30" s="78"/>
      <c r="W30" s="78"/>
      <c r="X30" s="78"/>
      <c r="Y30" s="78"/>
      <c r="Z30" s="78"/>
      <c r="AA30" s="78"/>
      <c r="AB30" s="78"/>
      <c r="AC30" s="78" t="e">
        <f t="shared" si="0"/>
        <v>#DIV/0!</v>
      </c>
      <c r="AD30" s="78" t="e">
        <f t="shared" si="4"/>
        <v>#DIV/0!</v>
      </c>
    </row>
    <row r="31" spans="1:30">
      <c r="A31" s="78">
        <v>30</v>
      </c>
      <c r="C31" s="78"/>
      <c r="D31" s="78"/>
      <c r="E31" s="78"/>
      <c r="F31" s="78"/>
      <c r="G31" s="78"/>
      <c r="H31" s="78"/>
      <c r="I31" s="78"/>
      <c r="J31" s="78"/>
      <c r="K31" s="78"/>
      <c r="L31" s="78"/>
      <c r="M31" s="78"/>
      <c r="N31" s="78"/>
      <c r="O31" s="78">
        <f t="shared" si="1"/>
        <v>0</v>
      </c>
      <c r="P31" s="78">
        <f t="shared" si="2"/>
        <v>-1</v>
      </c>
      <c r="Q31" s="78">
        <v>1</v>
      </c>
      <c r="R31" s="78" t="e">
        <f t="shared" si="3"/>
        <v>#DIV/0!</v>
      </c>
      <c r="S31" s="78"/>
      <c r="T31" s="78"/>
      <c r="U31" s="78"/>
      <c r="V31" s="78"/>
      <c r="W31" s="78"/>
      <c r="X31" s="78"/>
      <c r="Y31" s="78"/>
      <c r="Z31" s="78"/>
      <c r="AA31" s="78"/>
      <c r="AB31" s="78"/>
      <c r="AC31" s="78" t="e">
        <f t="shared" si="0"/>
        <v>#DIV/0!</v>
      </c>
      <c r="AD31" s="78" t="e">
        <f t="shared" si="4"/>
        <v>#DIV/0!</v>
      </c>
    </row>
    <row r="32" spans="1:30">
      <c r="A32" s="78">
        <v>31</v>
      </c>
      <c r="C32" s="78"/>
      <c r="D32" s="78"/>
      <c r="E32" s="78"/>
      <c r="F32" s="78"/>
      <c r="G32" s="78"/>
      <c r="H32" s="78"/>
      <c r="I32" s="78"/>
      <c r="J32" s="78"/>
      <c r="K32" s="78"/>
      <c r="L32" s="78"/>
      <c r="M32" s="78"/>
      <c r="N32" s="78"/>
      <c r="O32" s="78">
        <f t="shared" si="1"/>
        <v>0</v>
      </c>
      <c r="P32" s="78">
        <f t="shared" si="2"/>
        <v>-1</v>
      </c>
      <c r="Q32" s="78">
        <v>1</v>
      </c>
      <c r="R32" s="78" t="e">
        <f t="shared" si="3"/>
        <v>#DIV/0!</v>
      </c>
      <c r="S32" s="78"/>
      <c r="T32" s="78"/>
      <c r="U32" s="78"/>
      <c r="V32" s="78"/>
      <c r="W32" s="78"/>
      <c r="X32" s="78"/>
      <c r="Y32" s="78"/>
      <c r="Z32" s="78"/>
      <c r="AA32" s="78"/>
      <c r="AB32" s="78"/>
      <c r="AC32" s="78" t="e">
        <f t="shared" si="0"/>
        <v>#DIV/0!</v>
      </c>
      <c r="AD32" s="78" t="e">
        <f t="shared" si="4"/>
        <v>#DIV/0!</v>
      </c>
    </row>
    <row r="33" spans="1:30">
      <c r="A33" s="78">
        <v>32</v>
      </c>
      <c r="C33" s="78"/>
      <c r="D33" s="78"/>
      <c r="E33" s="78"/>
      <c r="F33" s="78"/>
      <c r="G33" s="78"/>
      <c r="H33" s="78"/>
      <c r="I33" s="78"/>
      <c r="J33" s="78"/>
      <c r="K33" s="78"/>
      <c r="L33" s="78"/>
      <c r="M33" s="78"/>
      <c r="N33" s="78"/>
      <c r="O33" s="78">
        <f t="shared" si="1"/>
        <v>0</v>
      </c>
      <c r="P33" s="78">
        <f t="shared" si="2"/>
        <v>-1</v>
      </c>
      <c r="Q33" s="78">
        <v>1</v>
      </c>
      <c r="R33" s="78" t="e">
        <f t="shared" si="3"/>
        <v>#DIV/0!</v>
      </c>
      <c r="S33" s="78"/>
      <c r="T33" s="78"/>
      <c r="U33" s="78"/>
      <c r="V33" s="78"/>
      <c r="W33" s="78"/>
      <c r="X33" s="78"/>
      <c r="Y33" s="78"/>
      <c r="Z33" s="78"/>
      <c r="AA33" s="78"/>
      <c r="AB33" s="78"/>
      <c r="AC33" s="78" t="e">
        <f t="shared" si="0"/>
        <v>#DIV/0!</v>
      </c>
      <c r="AD33" s="78" t="e">
        <f t="shared" si="4"/>
        <v>#DIV/0!</v>
      </c>
    </row>
    <row r="34" spans="1:30">
      <c r="A34" s="78">
        <v>33</v>
      </c>
      <c r="C34" s="78"/>
      <c r="D34" s="78"/>
      <c r="E34" s="78"/>
      <c r="F34" s="78"/>
      <c r="G34" s="78"/>
      <c r="H34" s="78"/>
      <c r="I34" s="78"/>
      <c r="J34" s="78"/>
      <c r="K34" s="78"/>
      <c r="L34" s="78"/>
      <c r="M34" s="78"/>
      <c r="N34" s="78"/>
      <c r="O34" s="78">
        <f t="shared" si="1"/>
        <v>0</v>
      </c>
      <c r="P34" s="78">
        <f t="shared" si="2"/>
        <v>-1</v>
      </c>
      <c r="Q34" s="78">
        <v>1</v>
      </c>
      <c r="R34" s="78" t="e">
        <f t="shared" si="3"/>
        <v>#DIV/0!</v>
      </c>
      <c r="S34" s="78"/>
      <c r="T34" s="78"/>
      <c r="U34" s="78"/>
      <c r="V34" s="78"/>
      <c r="W34" s="78"/>
      <c r="X34" s="78"/>
      <c r="Y34" s="78"/>
      <c r="Z34" s="78"/>
      <c r="AA34" s="78"/>
      <c r="AB34" s="78"/>
      <c r="AC34" s="78" t="e">
        <f t="shared" ref="AC34:AC65" si="5">(MAX($AA$2:$AA$97))/AA34</f>
        <v>#DIV/0!</v>
      </c>
      <c r="AD34" s="78" t="e">
        <f t="shared" si="4"/>
        <v>#DIV/0!</v>
      </c>
    </row>
    <row r="35" spans="1:30">
      <c r="A35" s="78">
        <v>34</v>
      </c>
      <c r="C35" s="78"/>
      <c r="D35" s="78"/>
      <c r="E35" s="78"/>
      <c r="F35" s="78"/>
      <c r="G35" s="78"/>
      <c r="H35" s="78"/>
      <c r="I35" s="78"/>
      <c r="J35" s="78"/>
      <c r="K35" s="78"/>
      <c r="L35" s="78"/>
      <c r="M35" s="78"/>
      <c r="N35" s="78"/>
      <c r="O35" s="78">
        <f t="shared" si="1"/>
        <v>0</v>
      </c>
      <c r="P35" s="78">
        <f t="shared" si="2"/>
        <v>-1</v>
      </c>
      <c r="Q35" s="78">
        <v>1</v>
      </c>
      <c r="R35" s="78" t="e">
        <f t="shared" si="3"/>
        <v>#DIV/0!</v>
      </c>
      <c r="S35" s="78"/>
      <c r="T35" s="78"/>
      <c r="U35" s="78"/>
      <c r="V35" s="78"/>
      <c r="W35" s="78"/>
      <c r="X35" s="78"/>
      <c r="Y35" s="78"/>
      <c r="Z35" s="78"/>
      <c r="AA35" s="78"/>
      <c r="AB35" s="78"/>
      <c r="AC35" s="78" t="e">
        <f t="shared" si="5"/>
        <v>#DIV/0!</v>
      </c>
      <c r="AD35" s="78" t="e">
        <f t="shared" si="4"/>
        <v>#DIV/0!</v>
      </c>
    </row>
    <row r="36" spans="1:30">
      <c r="A36" s="78">
        <v>35</v>
      </c>
      <c r="C36" s="78"/>
      <c r="D36" s="78"/>
      <c r="E36" s="78"/>
      <c r="F36" s="78"/>
      <c r="G36" s="78"/>
      <c r="H36" s="78"/>
      <c r="I36" s="78"/>
      <c r="J36" s="78"/>
      <c r="K36" s="78"/>
      <c r="L36" s="78"/>
      <c r="M36" s="78"/>
      <c r="N36" s="78"/>
      <c r="O36" s="78">
        <f t="shared" si="1"/>
        <v>0</v>
      </c>
      <c r="P36" s="78">
        <f t="shared" si="2"/>
        <v>-1</v>
      </c>
      <c r="Q36" s="78">
        <v>1</v>
      </c>
      <c r="R36" s="78" t="e">
        <f t="shared" si="3"/>
        <v>#DIV/0!</v>
      </c>
      <c r="S36" s="78"/>
      <c r="T36" s="78"/>
      <c r="U36" s="78"/>
      <c r="V36" s="78"/>
      <c r="W36" s="78"/>
      <c r="X36" s="78"/>
      <c r="Y36" s="78"/>
      <c r="Z36" s="78"/>
      <c r="AA36" s="78"/>
      <c r="AB36" s="78"/>
      <c r="AC36" s="78" t="e">
        <f t="shared" si="5"/>
        <v>#DIV/0!</v>
      </c>
      <c r="AD36" s="78" t="e">
        <f t="shared" si="4"/>
        <v>#DIV/0!</v>
      </c>
    </row>
    <row r="37" spans="1:30">
      <c r="A37" s="78">
        <v>36</v>
      </c>
      <c r="C37" s="78"/>
      <c r="D37" s="78"/>
      <c r="E37" s="78"/>
      <c r="F37" s="78"/>
      <c r="G37" s="78"/>
      <c r="H37" s="78"/>
      <c r="I37" s="78"/>
      <c r="J37" s="78"/>
      <c r="K37" s="78"/>
      <c r="L37" s="78"/>
      <c r="M37" s="78"/>
      <c r="N37" s="78"/>
      <c r="O37" s="78">
        <f t="shared" si="1"/>
        <v>0</v>
      </c>
      <c r="P37" s="78">
        <f t="shared" si="2"/>
        <v>-1</v>
      </c>
      <c r="Q37" s="78">
        <v>1</v>
      </c>
      <c r="R37" s="78" t="e">
        <f t="shared" si="3"/>
        <v>#DIV/0!</v>
      </c>
      <c r="S37" s="78"/>
      <c r="T37" s="78"/>
      <c r="U37" s="78"/>
      <c r="V37" s="78"/>
      <c r="W37" s="78"/>
      <c r="X37" s="78"/>
      <c r="Y37" s="78"/>
      <c r="Z37" s="78"/>
      <c r="AA37" s="78"/>
      <c r="AB37" s="78"/>
      <c r="AC37" s="78" t="e">
        <f t="shared" si="5"/>
        <v>#DIV/0!</v>
      </c>
      <c r="AD37" s="78" t="e">
        <f t="shared" si="4"/>
        <v>#DIV/0!</v>
      </c>
    </row>
    <row r="38" spans="1:30">
      <c r="A38" s="78">
        <v>37</v>
      </c>
      <c r="C38" s="78"/>
      <c r="D38" s="78"/>
      <c r="E38" s="78"/>
      <c r="F38" s="78"/>
      <c r="G38" s="78"/>
      <c r="H38" s="78"/>
      <c r="I38" s="78"/>
      <c r="J38" s="78"/>
      <c r="K38" s="78"/>
      <c r="L38" s="78"/>
      <c r="M38" s="78"/>
      <c r="N38" s="78"/>
      <c r="O38" s="78">
        <f t="shared" si="1"/>
        <v>0</v>
      </c>
      <c r="P38" s="78">
        <f t="shared" si="2"/>
        <v>-1</v>
      </c>
      <c r="Q38" s="78">
        <v>1</v>
      </c>
      <c r="R38" s="78" t="e">
        <f t="shared" si="3"/>
        <v>#DIV/0!</v>
      </c>
      <c r="S38" s="78"/>
      <c r="T38" s="78"/>
      <c r="U38" s="78"/>
      <c r="V38" s="78"/>
      <c r="W38" s="78"/>
      <c r="X38" s="78"/>
      <c r="Y38" s="78"/>
      <c r="Z38" s="78"/>
      <c r="AA38" s="78"/>
      <c r="AB38" s="78"/>
      <c r="AC38" s="78" t="e">
        <f t="shared" si="5"/>
        <v>#DIV/0!</v>
      </c>
      <c r="AD38" s="78" t="e">
        <f t="shared" si="4"/>
        <v>#DIV/0!</v>
      </c>
    </row>
    <row r="39" spans="1:30">
      <c r="A39" s="78">
        <v>38</v>
      </c>
      <c r="C39" s="78"/>
      <c r="D39" s="78"/>
      <c r="E39" s="78"/>
      <c r="F39" s="78"/>
      <c r="G39" s="78"/>
      <c r="H39" s="78"/>
      <c r="I39" s="78"/>
      <c r="J39" s="78"/>
      <c r="K39" s="78"/>
      <c r="L39" s="78"/>
      <c r="M39" s="78"/>
      <c r="N39" s="78"/>
      <c r="O39" s="78">
        <f t="shared" si="1"/>
        <v>0</v>
      </c>
      <c r="P39" s="78">
        <f t="shared" si="2"/>
        <v>-1</v>
      </c>
      <c r="Q39" s="78">
        <v>1</v>
      </c>
      <c r="R39" s="78" t="e">
        <f t="shared" si="3"/>
        <v>#DIV/0!</v>
      </c>
      <c r="S39" s="78"/>
      <c r="T39" s="78"/>
      <c r="U39" s="78"/>
      <c r="V39" s="78"/>
      <c r="W39" s="78"/>
      <c r="X39" s="78"/>
      <c r="Y39" s="78"/>
      <c r="Z39" s="78"/>
      <c r="AA39" s="78"/>
      <c r="AB39" s="78"/>
      <c r="AC39" s="78" t="e">
        <f t="shared" si="5"/>
        <v>#DIV/0!</v>
      </c>
      <c r="AD39" s="78" t="e">
        <f t="shared" si="4"/>
        <v>#DIV/0!</v>
      </c>
    </row>
    <row r="40" spans="1:30">
      <c r="A40" s="78">
        <v>39</v>
      </c>
      <c r="C40" s="78"/>
      <c r="D40" s="78"/>
      <c r="E40" s="78"/>
      <c r="F40" s="78"/>
      <c r="G40" s="78"/>
      <c r="H40" s="78"/>
      <c r="I40" s="78"/>
      <c r="J40" s="78"/>
      <c r="K40" s="78"/>
      <c r="L40" s="78"/>
      <c r="M40" s="78"/>
      <c r="N40" s="78"/>
      <c r="O40" s="78">
        <f t="shared" si="1"/>
        <v>0</v>
      </c>
      <c r="P40" s="78">
        <f t="shared" si="2"/>
        <v>-1</v>
      </c>
      <c r="Q40" s="78">
        <v>1</v>
      </c>
      <c r="R40" s="78" t="e">
        <f t="shared" si="3"/>
        <v>#DIV/0!</v>
      </c>
      <c r="S40" s="78"/>
      <c r="T40" s="78"/>
      <c r="U40" s="78"/>
      <c r="V40" s="78"/>
      <c r="W40" s="78"/>
      <c r="X40" s="78"/>
      <c r="Y40" s="78"/>
      <c r="Z40" s="78"/>
      <c r="AA40" s="78"/>
      <c r="AB40" s="78"/>
      <c r="AC40" s="78" t="e">
        <f t="shared" si="5"/>
        <v>#DIV/0!</v>
      </c>
      <c r="AD40" s="78" t="e">
        <f t="shared" si="4"/>
        <v>#DIV/0!</v>
      </c>
    </row>
    <row r="41" spans="1:30">
      <c r="A41" s="78">
        <v>40</v>
      </c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  <c r="O41" s="78">
        <f t="shared" si="1"/>
        <v>0</v>
      </c>
      <c r="P41" s="78">
        <f t="shared" si="2"/>
        <v>-1</v>
      </c>
      <c r="Q41" s="78">
        <v>1</v>
      </c>
      <c r="R41" s="78" t="e">
        <f t="shared" si="3"/>
        <v>#DIV/0!</v>
      </c>
      <c r="S41" s="78"/>
      <c r="T41" s="78"/>
      <c r="U41" s="78"/>
      <c r="V41" s="78"/>
      <c r="W41" s="78"/>
      <c r="X41" s="78"/>
      <c r="Y41" s="78"/>
      <c r="Z41" s="78"/>
      <c r="AA41" s="78"/>
      <c r="AB41" s="78"/>
      <c r="AC41" s="78" t="e">
        <f t="shared" si="5"/>
        <v>#DIV/0!</v>
      </c>
      <c r="AD41" s="78" t="e">
        <f t="shared" si="4"/>
        <v>#DIV/0!</v>
      </c>
    </row>
    <row r="42" spans="1:30">
      <c r="A42" s="78">
        <v>41</v>
      </c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78">
        <f t="shared" si="1"/>
        <v>0</v>
      </c>
      <c r="P42" s="78">
        <f t="shared" si="2"/>
        <v>-1</v>
      </c>
      <c r="Q42" s="78">
        <v>1</v>
      </c>
      <c r="R42" s="78" t="e">
        <f t="shared" si="3"/>
        <v>#DIV/0!</v>
      </c>
      <c r="S42" s="78"/>
      <c r="T42" s="78"/>
      <c r="U42" s="78"/>
      <c r="V42" s="78"/>
      <c r="W42" s="78"/>
      <c r="X42" s="78"/>
      <c r="Y42" s="78"/>
      <c r="Z42" s="78"/>
      <c r="AA42" s="78"/>
      <c r="AB42" s="78"/>
      <c r="AC42" s="78" t="e">
        <f t="shared" si="5"/>
        <v>#DIV/0!</v>
      </c>
      <c r="AD42" s="78" t="e">
        <f t="shared" si="4"/>
        <v>#DIV/0!</v>
      </c>
    </row>
    <row r="43" spans="1:30">
      <c r="A43" s="78">
        <v>42</v>
      </c>
      <c r="C43" s="78"/>
      <c r="D43" s="78"/>
      <c r="E43" s="78"/>
      <c r="F43" s="78"/>
      <c r="G43" s="78"/>
      <c r="H43" s="78"/>
      <c r="I43" s="78"/>
      <c r="J43" s="78"/>
      <c r="K43" s="78"/>
      <c r="L43" s="78"/>
      <c r="M43" s="78"/>
      <c r="N43" s="78"/>
      <c r="O43" s="78">
        <f t="shared" si="1"/>
        <v>0</v>
      </c>
      <c r="P43" s="78">
        <f t="shared" si="2"/>
        <v>-1</v>
      </c>
      <c r="Q43" s="78">
        <v>1</v>
      </c>
      <c r="R43" s="78" t="e">
        <f t="shared" si="3"/>
        <v>#DIV/0!</v>
      </c>
      <c r="S43" s="78"/>
      <c r="T43" s="78"/>
      <c r="U43" s="78"/>
      <c r="V43" s="78"/>
      <c r="W43" s="78"/>
      <c r="X43" s="78"/>
      <c r="Y43" s="78"/>
      <c r="Z43" s="78"/>
      <c r="AA43" s="78"/>
      <c r="AB43" s="78"/>
      <c r="AC43" s="78" t="e">
        <f t="shared" si="5"/>
        <v>#DIV/0!</v>
      </c>
      <c r="AD43" s="78" t="e">
        <f t="shared" si="4"/>
        <v>#DIV/0!</v>
      </c>
    </row>
    <row r="44" spans="1:30">
      <c r="A44" s="78">
        <v>43</v>
      </c>
      <c r="C44" s="78"/>
      <c r="D44" s="78"/>
      <c r="E44" s="78"/>
      <c r="F44" s="78"/>
      <c r="G44" s="78"/>
      <c r="H44" s="78"/>
      <c r="I44" s="78"/>
      <c r="J44" s="78"/>
      <c r="K44" s="78"/>
      <c r="L44" s="78"/>
      <c r="M44" s="78"/>
      <c r="N44" s="78"/>
      <c r="O44" s="78">
        <f t="shared" si="1"/>
        <v>0</v>
      </c>
      <c r="P44" s="78">
        <f t="shared" si="2"/>
        <v>-1</v>
      </c>
      <c r="Q44" s="78">
        <v>1</v>
      </c>
      <c r="R44" s="78" t="e">
        <f t="shared" si="3"/>
        <v>#DIV/0!</v>
      </c>
      <c r="S44" s="78"/>
      <c r="T44" s="78"/>
      <c r="U44" s="78"/>
      <c r="V44" s="78"/>
      <c r="W44" s="78"/>
      <c r="X44" s="78"/>
      <c r="Y44" s="78"/>
      <c r="Z44" s="78"/>
      <c r="AA44" s="78"/>
      <c r="AB44" s="78"/>
      <c r="AC44" s="78" t="e">
        <f t="shared" si="5"/>
        <v>#DIV/0!</v>
      </c>
      <c r="AD44" s="78" t="e">
        <f t="shared" si="4"/>
        <v>#DIV/0!</v>
      </c>
    </row>
    <row r="45" spans="1:30">
      <c r="A45" s="78">
        <v>44</v>
      </c>
      <c r="C45" s="78"/>
      <c r="D45" s="78"/>
      <c r="E45" s="78"/>
      <c r="F45" s="78"/>
      <c r="G45" s="78"/>
      <c r="H45" s="78"/>
      <c r="I45" s="78"/>
      <c r="J45" s="78"/>
      <c r="K45" s="78"/>
      <c r="L45" s="78"/>
      <c r="M45" s="78"/>
      <c r="N45" s="78"/>
      <c r="O45" s="78">
        <f t="shared" si="1"/>
        <v>0</v>
      </c>
      <c r="P45" s="78">
        <f t="shared" si="2"/>
        <v>-1</v>
      </c>
      <c r="Q45" s="78">
        <v>1</v>
      </c>
      <c r="R45" s="78" t="e">
        <f t="shared" si="3"/>
        <v>#DIV/0!</v>
      </c>
      <c r="S45" s="78"/>
      <c r="T45" s="78"/>
      <c r="U45" s="78"/>
      <c r="V45" s="78"/>
      <c r="W45" s="78"/>
      <c r="X45" s="78"/>
      <c r="Y45" s="78"/>
      <c r="Z45" s="78"/>
      <c r="AA45" s="78"/>
      <c r="AB45" s="78"/>
      <c r="AC45" s="78" t="e">
        <f t="shared" si="5"/>
        <v>#DIV/0!</v>
      </c>
      <c r="AD45" s="78" t="e">
        <f t="shared" si="4"/>
        <v>#DIV/0!</v>
      </c>
    </row>
    <row r="46" spans="1:30">
      <c r="A46" s="78">
        <v>45</v>
      </c>
      <c r="C46" s="78"/>
      <c r="D46" s="78"/>
      <c r="E46" s="78"/>
      <c r="F46" s="78"/>
      <c r="G46" s="78"/>
      <c r="H46" s="78"/>
      <c r="I46" s="78"/>
      <c r="J46" s="78"/>
      <c r="K46" s="78"/>
      <c r="L46" s="78"/>
      <c r="M46" s="78"/>
      <c r="N46" s="78"/>
      <c r="O46" s="78">
        <f t="shared" si="1"/>
        <v>0</v>
      </c>
      <c r="P46" s="78">
        <f t="shared" si="2"/>
        <v>-1</v>
      </c>
      <c r="Q46" s="78">
        <v>1</v>
      </c>
      <c r="R46" s="78" t="e">
        <f t="shared" si="3"/>
        <v>#DIV/0!</v>
      </c>
      <c r="S46" s="78"/>
      <c r="T46" s="78"/>
      <c r="U46" s="78"/>
      <c r="V46" s="78"/>
      <c r="W46" s="78"/>
      <c r="X46" s="78"/>
      <c r="Y46" s="78"/>
      <c r="Z46" s="78"/>
      <c r="AA46" s="78"/>
      <c r="AB46" s="78"/>
      <c r="AC46" s="78" t="e">
        <f t="shared" si="5"/>
        <v>#DIV/0!</v>
      </c>
      <c r="AD46" s="78" t="e">
        <f t="shared" si="4"/>
        <v>#DIV/0!</v>
      </c>
    </row>
    <row r="47" spans="1:30">
      <c r="A47" s="78">
        <v>46</v>
      </c>
      <c r="C47" s="78"/>
      <c r="D47" s="78"/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78">
        <f t="shared" si="1"/>
        <v>0</v>
      </c>
      <c r="P47" s="78">
        <f t="shared" si="2"/>
        <v>-1</v>
      </c>
      <c r="Q47" s="78">
        <v>1</v>
      </c>
      <c r="R47" s="78" t="e">
        <f t="shared" si="3"/>
        <v>#DIV/0!</v>
      </c>
      <c r="S47" s="78"/>
      <c r="T47" s="78"/>
      <c r="U47" s="78"/>
      <c r="V47" s="78"/>
      <c r="W47" s="78"/>
      <c r="X47" s="78"/>
      <c r="Y47" s="78"/>
      <c r="Z47" s="78"/>
      <c r="AA47" s="78"/>
      <c r="AB47" s="78"/>
      <c r="AC47" s="78" t="e">
        <f t="shared" si="5"/>
        <v>#DIV/0!</v>
      </c>
      <c r="AD47" s="78" t="e">
        <f t="shared" si="4"/>
        <v>#DIV/0!</v>
      </c>
    </row>
    <row r="48" spans="1:30">
      <c r="A48" s="78">
        <v>47</v>
      </c>
      <c r="C48" s="78"/>
      <c r="D48" s="78"/>
      <c r="E48" s="78"/>
      <c r="F48" s="78"/>
      <c r="G48" s="78"/>
      <c r="H48" s="78"/>
      <c r="I48" s="78"/>
      <c r="J48" s="78"/>
      <c r="K48" s="78"/>
      <c r="L48" s="78"/>
      <c r="M48" s="78"/>
      <c r="N48" s="78"/>
      <c r="O48" s="78">
        <f t="shared" si="1"/>
        <v>0</v>
      </c>
      <c r="P48" s="78">
        <f t="shared" si="2"/>
        <v>-1</v>
      </c>
      <c r="Q48" s="78">
        <v>1</v>
      </c>
      <c r="R48" s="78" t="e">
        <f t="shared" si="3"/>
        <v>#DIV/0!</v>
      </c>
      <c r="S48" s="78"/>
      <c r="T48" s="78"/>
      <c r="U48" s="78"/>
      <c r="V48" s="78"/>
      <c r="W48" s="78"/>
      <c r="X48" s="78"/>
      <c r="Y48" s="78"/>
      <c r="Z48" s="78"/>
      <c r="AA48" s="78"/>
      <c r="AB48" s="78"/>
      <c r="AC48" s="78" t="e">
        <f t="shared" si="5"/>
        <v>#DIV/0!</v>
      </c>
      <c r="AD48" s="78" t="e">
        <f t="shared" si="4"/>
        <v>#DIV/0!</v>
      </c>
    </row>
    <row r="49" spans="1:30">
      <c r="A49" s="78">
        <v>48</v>
      </c>
      <c r="C49" s="78"/>
      <c r="D49" s="78"/>
      <c r="E49" s="78"/>
      <c r="F49" s="78"/>
      <c r="G49" s="78"/>
      <c r="H49" s="78"/>
      <c r="I49" s="78"/>
      <c r="J49" s="78"/>
      <c r="K49" s="78"/>
      <c r="L49" s="78"/>
      <c r="M49" s="78"/>
      <c r="N49" s="78"/>
      <c r="O49" s="78">
        <f t="shared" si="1"/>
        <v>0</v>
      </c>
      <c r="P49" s="78">
        <f t="shared" si="2"/>
        <v>-1</v>
      </c>
      <c r="Q49" s="78">
        <v>1</v>
      </c>
      <c r="R49" s="78" t="e">
        <f t="shared" si="3"/>
        <v>#DIV/0!</v>
      </c>
      <c r="S49" s="78"/>
      <c r="T49" s="78"/>
      <c r="U49" s="78"/>
      <c r="V49" s="78"/>
      <c r="W49" s="78"/>
      <c r="X49" s="78"/>
      <c r="Y49" s="78"/>
      <c r="Z49" s="78"/>
      <c r="AA49" s="78"/>
      <c r="AB49" s="78"/>
      <c r="AC49" s="78" t="e">
        <f t="shared" si="5"/>
        <v>#DIV/0!</v>
      </c>
      <c r="AD49" s="78" t="e">
        <f t="shared" si="4"/>
        <v>#DIV/0!</v>
      </c>
    </row>
    <row r="50" spans="1:30">
      <c r="A50" s="78">
        <v>49</v>
      </c>
      <c r="C50" s="78"/>
      <c r="D50" s="78"/>
      <c r="E50" s="78"/>
      <c r="F50" s="78"/>
      <c r="G50" s="78"/>
      <c r="H50" s="78"/>
      <c r="I50" s="78"/>
      <c r="J50" s="78"/>
      <c r="K50" s="78"/>
      <c r="L50" s="78"/>
      <c r="M50" s="78"/>
      <c r="N50" s="78"/>
      <c r="O50" s="78">
        <f t="shared" si="1"/>
        <v>0</v>
      </c>
      <c r="P50" s="78">
        <f t="shared" si="2"/>
        <v>-1</v>
      </c>
      <c r="Q50" s="78">
        <v>1</v>
      </c>
      <c r="R50" s="78" t="e">
        <f t="shared" si="3"/>
        <v>#DIV/0!</v>
      </c>
      <c r="S50" s="78"/>
      <c r="T50" s="78"/>
      <c r="U50" s="78"/>
      <c r="V50" s="78"/>
      <c r="W50" s="78"/>
      <c r="X50" s="78"/>
      <c r="Y50" s="78"/>
      <c r="Z50" s="78"/>
      <c r="AA50" s="78"/>
      <c r="AB50" s="78"/>
      <c r="AC50" s="78" t="e">
        <f t="shared" si="5"/>
        <v>#DIV/0!</v>
      </c>
      <c r="AD50" s="78" t="e">
        <f t="shared" si="4"/>
        <v>#DIV/0!</v>
      </c>
    </row>
    <row r="51" spans="1:30">
      <c r="A51" s="78">
        <v>50</v>
      </c>
      <c r="C51" s="78"/>
      <c r="D51" s="78"/>
      <c r="E51" s="78"/>
      <c r="F51" s="78"/>
      <c r="G51" s="78"/>
      <c r="H51" s="78"/>
      <c r="I51" s="78"/>
      <c r="J51" s="78"/>
      <c r="K51" s="78"/>
      <c r="L51" s="78"/>
      <c r="M51" s="78"/>
      <c r="N51" s="78"/>
      <c r="O51" s="78">
        <f t="shared" si="1"/>
        <v>0</v>
      </c>
      <c r="P51" s="78">
        <f t="shared" si="2"/>
        <v>-1</v>
      </c>
      <c r="Q51" s="78">
        <v>1</v>
      </c>
      <c r="R51" s="78" t="e">
        <f t="shared" si="3"/>
        <v>#DIV/0!</v>
      </c>
      <c r="S51" s="78"/>
      <c r="T51" s="78"/>
      <c r="U51" s="78"/>
      <c r="V51" s="78"/>
      <c r="W51" s="78"/>
      <c r="X51" s="78"/>
      <c r="Y51" s="78"/>
      <c r="Z51" s="78"/>
      <c r="AA51" s="78"/>
      <c r="AB51" s="78"/>
      <c r="AC51" s="78" t="e">
        <f t="shared" si="5"/>
        <v>#DIV/0!</v>
      </c>
      <c r="AD51" s="78" t="e">
        <f t="shared" si="4"/>
        <v>#DIV/0!</v>
      </c>
    </row>
    <row r="52" spans="1:30">
      <c r="A52" s="78">
        <v>51</v>
      </c>
      <c r="C52" s="78"/>
      <c r="D52" s="78"/>
      <c r="E52" s="78"/>
      <c r="F52" s="78"/>
      <c r="G52" s="78"/>
      <c r="H52" s="78"/>
      <c r="I52" s="78"/>
      <c r="J52" s="78"/>
      <c r="K52" s="78"/>
      <c r="L52" s="78"/>
      <c r="M52" s="78"/>
      <c r="N52" s="78"/>
      <c r="O52" s="78">
        <f t="shared" si="1"/>
        <v>0</v>
      </c>
      <c r="P52" s="78">
        <f t="shared" si="2"/>
        <v>-1</v>
      </c>
      <c r="Q52" s="78">
        <v>1</v>
      </c>
      <c r="R52" s="78" t="e">
        <f t="shared" si="3"/>
        <v>#DIV/0!</v>
      </c>
      <c r="S52" s="78"/>
      <c r="T52" s="78"/>
      <c r="U52" s="78"/>
      <c r="V52" s="78"/>
      <c r="W52" s="78"/>
      <c r="X52" s="78"/>
      <c r="Y52" s="78"/>
      <c r="Z52" s="78"/>
      <c r="AA52" s="78"/>
      <c r="AB52" s="78"/>
      <c r="AC52" s="78" t="e">
        <f t="shared" si="5"/>
        <v>#DIV/0!</v>
      </c>
      <c r="AD52" s="78" t="e">
        <f t="shared" si="4"/>
        <v>#DIV/0!</v>
      </c>
    </row>
    <row r="53" spans="1:30">
      <c r="A53" s="78">
        <v>52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8"/>
      <c r="N53" s="78"/>
      <c r="O53" s="78">
        <f t="shared" si="1"/>
        <v>0</v>
      </c>
      <c r="P53" s="78">
        <f t="shared" si="2"/>
        <v>-1</v>
      </c>
      <c r="Q53" s="78">
        <v>1</v>
      </c>
      <c r="R53" s="78" t="e">
        <f t="shared" si="3"/>
        <v>#DIV/0!</v>
      </c>
      <c r="S53" s="78"/>
      <c r="T53" s="78"/>
      <c r="U53" s="78"/>
      <c r="V53" s="78"/>
      <c r="W53" s="78"/>
      <c r="X53" s="78"/>
      <c r="Y53" s="78"/>
      <c r="Z53" s="78"/>
      <c r="AA53" s="78"/>
      <c r="AB53" s="78"/>
      <c r="AC53" s="78" t="e">
        <f t="shared" si="5"/>
        <v>#DIV/0!</v>
      </c>
      <c r="AD53" s="78" t="e">
        <f t="shared" si="4"/>
        <v>#DIV/0!</v>
      </c>
    </row>
    <row r="54" spans="1:30">
      <c r="A54" s="78">
        <v>53</v>
      </c>
      <c r="C54" s="78"/>
      <c r="D54" s="78"/>
      <c r="E54" s="78"/>
      <c r="F54" s="78"/>
      <c r="G54" s="78"/>
      <c r="H54" s="78"/>
      <c r="I54" s="78"/>
      <c r="J54" s="78"/>
      <c r="K54" s="78"/>
      <c r="L54" s="78"/>
      <c r="M54" s="78"/>
      <c r="N54" s="78"/>
      <c r="O54" s="78">
        <f t="shared" si="1"/>
        <v>0</v>
      </c>
      <c r="P54" s="78">
        <f t="shared" si="2"/>
        <v>-1</v>
      </c>
      <c r="Q54" s="78">
        <v>1</v>
      </c>
      <c r="R54" s="78" t="e">
        <f t="shared" si="3"/>
        <v>#DIV/0!</v>
      </c>
      <c r="S54" s="78"/>
      <c r="T54" s="78"/>
      <c r="U54" s="78"/>
      <c r="V54" s="78"/>
      <c r="W54" s="78"/>
      <c r="X54" s="78"/>
      <c r="Y54" s="78"/>
      <c r="Z54" s="78"/>
      <c r="AA54" s="78"/>
      <c r="AB54" s="78"/>
      <c r="AC54" s="78" t="e">
        <f t="shared" si="5"/>
        <v>#DIV/0!</v>
      </c>
      <c r="AD54" s="78" t="e">
        <f t="shared" si="4"/>
        <v>#DIV/0!</v>
      </c>
    </row>
    <row r="55" spans="1:30">
      <c r="A55" s="78">
        <v>54</v>
      </c>
      <c r="C55" s="78"/>
      <c r="D55" s="78"/>
      <c r="E55" s="78"/>
      <c r="F55" s="78"/>
      <c r="G55" s="78"/>
      <c r="H55" s="78"/>
      <c r="I55" s="78"/>
      <c r="J55" s="78"/>
      <c r="K55" s="78"/>
      <c r="L55" s="78"/>
      <c r="M55" s="78"/>
      <c r="N55" s="78"/>
      <c r="O55" s="78">
        <f t="shared" si="1"/>
        <v>0</v>
      </c>
      <c r="P55" s="78">
        <f t="shared" si="2"/>
        <v>-1</v>
      </c>
      <c r="Q55" s="78">
        <v>1</v>
      </c>
      <c r="R55" s="78" t="e">
        <f t="shared" si="3"/>
        <v>#DIV/0!</v>
      </c>
      <c r="S55" s="78"/>
      <c r="T55" s="78"/>
      <c r="U55" s="78"/>
      <c r="V55" s="78"/>
      <c r="W55" s="78"/>
      <c r="X55" s="78"/>
      <c r="Y55" s="78"/>
      <c r="Z55" s="78"/>
      <c r="AA55" s="78"/>
      <c r="AB55" s="78"/>
      <c r="AC55" s="78" t="e">
        <f t="shared" si="5"/>
        <v>#DIV/0!</v>
      </c>
      <c r="AD55" s="78" t="e">
        <f t="shared" si="4"/>
        <v>#DIV/0!</v>
      </c>
    </row>
    <row r="56" spans="1:30">
      <c r="A56" s="78">
        <v>55</v>
      </c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8"/>
      <c r="N56" s="78"/>
      <c r="O56" s="78">
        <f t="shared" si="1"/>
        <v>0</v>
      </c>
      <c r="P56" s="78">
        <f t="shared" si="2"/>
        <v>-1</v>
      </c>
      <c r="Q56" s="78">
        <v>1</v>
      </c>
      <c r="R56" s="78" t="e">
        <f t="shared" si="3"/>
        <v>#DIV/0!</v>
      </c>
      <c r="S56" s="78"/>
      <c r="T56" s="78"/>
      <c r="U56" s="78"/>
      <c r="V56" s="78"/>
      <c r="W56" s="78"/>
      <c r="X56" s="78"/>
      <c r="Y56" s="78"/>
      <c r="Z56" s="78"/>
      <c r="AA56" s="78"/>
      <c r="AB56" s="78"/>
      <c r="AC56" s="78" t="e">
        <f t="shared" si="5"/>
        <v>#DIV/0!</v>
      </c>
      <c r="AD56" s="78" t="e">
        <f t="shared" si="4"/>
        <v>#DIV/0!</v>
      </c>
    </row>
    <row r="57" spans="1:30">
      <c r="A57" s="78">
        <v>56</v>
      </c>
      <c r="C57" s="78"/>
      <c r="D57" s="78"/>
      <c r="E57" s="78"/>
      <c r="F57" s="78"/>
      <c r="G57" s="78"/>
      <c r="H57" s="78"/>
      <c r="I57" s="78"/>
      <c r="J57" s="78"/>
      <c r="K57" s="78"/>
      <c r="L57" s="78"/>
      <c r="M57" s="78"/>
      <c r="N57" s="78"/>
      <c r="O57" s="78">
        <f t="shared" si="1"/>
        <v>0</v>
      </c>
      <c r="P57" s="78">
        <f t="shared" si="2"/>
        <v>-1</v>
      </c>
      <c r="Q57" s="78">
        <v>1</v>
      </c>
      <c r="R57" s="78" t="e">
        <f t="shared" si="3"/>
        <v>#DIV/0!</v>
      </c>
      <c r="S57" s="78"/>
      <c r="T57" s="78"/>
      <c r="U57" s="78"/>
      <c r="V57" s="78"/>
      <c r="W57" s="78"/>
      <c r="X57" s="78"/>
      <c r="Y57" s="78"/>
      <c r="Z57" s="78"/>
      <c r="AA57" s="78"/>
      <c r="AB57" s="78"/>
      <c r="AC57" s="78" t="e">
        <f t="shared" si="5"/>
        <v>#DIV/0!</v>
      </c>
      <c r="AD57" s="78" t="e">
        <f t="shared" si="4"/>
        <v>#DIV/0!</v>
      </c>
    </row>
    <row r="58" spans="1:30">
      <c r="A58" s="78">
        <v>57</v>
      </c>
      <c r="C58" s="78"/>
      <c r="D58" s="78"/>
      <c r="E58" s="78"/>
      <c r="F58" s="78"/>
      <c r="G58" s="78"/>
      <c r="H58" s="78"/>
      <c r="I58" s="78"/>
      <c r="J58" s="78"/>
      <c r="K58" s="78"/>
      <c r="L58" s="78"/>
      <c r="M58" s="78"/>
      <c r="N58" s="78"/>
      <c r="O58" s="78">
        <f t="shared" si="1"/>
        <v>0</v>
      </c>
      <c r="P58" s="78">
        <f t="shared" si="2"/>
        <v>-1</v>
      </c>
      <c r="Q58" s="78">
        <v>1</v>
      </c>
      <c r="R58" s="78" t="e">
        <f t="shared" si="3"/>
        <v>#DIV/0!</v>
      </c>
      <c r="S58" s="78"/>
      <c r="T58" s="78"/>
      <c r="U58" s="78"/>
      <c r="V58" s="78"/>
      <c r="W58" s="78"/>
      <c r="X58" s="78"/>
      <c r="Y58" s="78"/>
      <c r="Z58" s="78"/>
      <c r="AA58" s="78"/>
      <c r="AB58" s="78"/>
      <c r="AC58" s="78" t="e">
        <f t="shared" si="5"/>
        <v>#DIV/0!</v>
      </c>
      <c r="AD58" s="78" t="e">
        <f t="shared" si="4"/>
        <v>#DIV/0!</v>
      </c>
    </row>
    <row r="59" spans="1:30">
      <c r="A59" s="78">
        <v>58</v>
      </c>
      <c r="C59" s="78"/>
      <c r="D59" s="78"/>
      <c r="E59" s="78"/>
      <c r="F59" s="78"/>
      <c r="G59" s="78"/>
      <c r="H59" s="78"/>
      <c r="I59" s="78"/>
      <c r="J59" s="78"/>
      <c r="K59" s="78"/>
      <c r="L59" s="78"/>
      <c r="M59" s="78"/>
      <c r="N59" s="78"/>
      <c r="O59" s="78">
        <f t="shared" si="1"/>
        <v>0</v>
      </c>
      <c r="P59" s="78">
        <f t="shared" si="2"/>
        <v>-1</v>
      </c>
      <c r="Q59" s="78">
        <v>1</v>
      </c>
      <c r="R59" s="78" t="e">
        <f t="shared" si="3"/>
        <v>#DIV/0!</v>
      </c>
      <c r="S59" s="78"/>
      <c r="T59" s="78"/>
      <c r="U59" s="78"/>
      <c r="V59" s="78"/>
      <c r="W59" s="78"/>
      <c r="X59" s="78"/>
      <c r="Y59" s="78"/>
      <c r="Z59" s="78"/>
      <c r="AA59" s="78"/>
      <c r="AB59" s="78"/>
      <c r="AC59" s="78" t="e">
        <f t="shared" si="5"/>
        <v>#DIV/0!</v>
      </c>
      <c r="AD59" s="78" t="e">
        <f t="shared" si="4"/>
        <v>#DIV/0!</v>
      </c>
    </row>
    <row r="60" spans="1:30">
      <c r="A60" s="78">
        <v>59</v>
      </c>
      <c r="C60" s="78"/>
      <c r="D60" s="78"/>
      <c r="E60" s="78"/>
      <c r="F60" s="78"/>
      <c r="G60" s="78"/>
      <c r="H60" s="78"/>
      <c r="I60" s="78"/>
      <c r="J60" s="78"/>
      <c r="K60" s="78"/>
      <c r="L60" s="78"/>
      <c r="M60" s="78"/>
      <c r="N60" s="78"/>
      <c r="O60" s="78">
        <f t="shared" si="1"/>
        <v>0</v>
      </c>
      <c r="P60" s="78">
        <f t="shared" si="2"/>
        <v>-1</v>
      </c>
      <c r="Q60" s="78">
        <v>1</v>
      </c>
      <c r="R60" s="78" t="e">
        <f t="shared" si="3"/>
        <v>#DIV/0!</v>
      </c>
      <c r="S60" s="78"/>
      <c r="T60" s="78"/>
      <c r="U60" s="78"/>
      <c r="V60" s="78"/>
      <c r="W60" s="78"/>
      <c r="X60" s="78"/>
      <c r="Y60" s="78"/>
      <c r="Z60" s="78"/>
      <c r="AA60" s="78"/>
      <c r="AB60" s="78"/>
      <c r="AC60" s="78" t="e">
        <f t="shared" si="5"/>
        <v>#DIV/0!</v>
      </c>
      <c r="AD60" s="78" t="e">
        <f t="shared" si="4"/>
        <v>#DIV/0!</v>
      </c>
    </row>
    <row r="61" spans="1:30">
      <c r="A61" s="78">
        <v>60</v>
      </c>
      <c r="C61" s="78"/>
      <c r="D61" s="78"/>
      <c r="E61" s="78"/>
      <c r="F61" s="78"/>
      <c r="G61" s="78"/>
      <c r="H61" s="78"/>
      <c r="I61" s="78"/>
      <c r="J61" s="78"/>
      <c r="K61" s="78"/>
      <c r="L61" s="78"/>
      <c r="M61" s="78"/>
      <c r="N61" s="78"/>
      <c r="O61" s="78">
        <f t="shared" si="1"/>
        <v>0</v>
      </c>
      <c r="P61" s="78">
        <f t="shared" si="2"/>
        <v>-1</v>
      </c>
      <c r="Q61" s="78">
        <v>1</v>
      </c>
      <c r="R61" s="78" t="e">
        <f t="shared" si="3"/>
        <v>#DIV/0!</v>
      </c>
      <c r="S61" s="78"/>
      <c r="T61" s="78"/>
      <c r="U61" s="78"/>
      <c r="V61" s="78"/>
      <c r="W61" s="78"/>
      <c r="X61" s="78"/>
      <c r="Y61" s="78"/>
      <c r="Z61" s="78"/>
      <c r="AA61" s="78"/>
      <c r="AB61" s="78"/>
      <c r="AC61" s="78" t="e">
        <f t="shared" si="5"/>
        <v>#DIV/0!</v>
      </c>
      <c r="AD61" s="78" t="e">
        <f t="shared" si="4"/>
        <v>#DIV/0!</v>
      </c>
    </row>
    <row r="62" spans="1:30">
      <c r="A62" s="78">
        <v>61</v>
      </c>
      <c r="C62" s="78"/>
      <c r="D62" s="78"/>
      <c r="E62" s="78"/>
      <c r="F62" s="78"/>
      <c r="G62" s="78"/>
      <c r="H62" s="78"/>
      <c r="I62" s="78"/>
      <c r="J62" s="78"/>
      <c r="K62" s="78"/>
      <c r="L62" s="78"/>
      <c r="M62" s="78"/>
      <c r="N62" s="78"/>
      <c r="O62" s="78">
        <f t="shared" si="1"/>
        <v>0</v>
      </c>
      <c r="P62" s="78">
        <f t="shared" si="2"/>
        <v>-1</v>
      </c>
      <c r="Q62" s="78">
        <v>1</v>
      </c>
      <c r="R62" s="78" t="e">
        <f t="shared" si="3"/>
        <v>#DIV/0!</v>
      </c>
      <c r="S62" s="78"/>
      <c r="T62" s="78"/>
      <c r="U62" s="78"/>
      <c r="V62" s="78"/>
      <c r="W62" s="78"/>
      <c r="X62" s="78"/>
      <c r="Y62" s="78"/>
      <c r="Z62" s="78"/>
      <c r="AA62" s="78"/>
      <c r="AB62" s="78"/>
      <c r="AC62" s="78" t="e">
        <f t="shared" si="5"/>
        <v>#DIV/0!</v>
      </c>
      <c r="AD62" s="78" t="e">
        <f t="shared" si="4"/>
        <v>#DIV/0!</v>
      </c>
    </row>
    <row r="63" spans="1:30">
      <c r="A63" s="78">
        <v>62</v>
      </c>
      <c r="C63" s="78"/>
      <c r="D63" s="78"/>
      <c r="E63" s="78"/>
      <c r="F63" s="78"/>
      <c r="G63" s="78"/>
      <c r="H63" s="78"/>
      <c r="I63" s="78"/>
      <c r="J63" s="78"/>
      <c r="K63" s="78"/>
      <c r="L63" s="78"/>
      <c r="M63" s="78"/>
      <c r="N63" s="78"/>
      <c r="O63" s="78">
        <f t="shared" si="1"/>
        <v>0</v>
      </c>
      <c r="P63" s="78">
        <f t="shared" si="2"/>
        <v>-1</v>
      </c>
      <c r="Q63" s="78">
        <v>1</v>
      </c>
      <c r="R63" s="78" t="e">
        <f t="shared" si="3"/>
        <v>#DIV/0!</v>
      </c>
      <c r="S63" s="78"/>
      <c r="T63" s="78"/>
      <c r="U63" s="78"/>
      <c r="V63" s="78"/>
      <c r="W63" s="78"/>
      <c r="X63" s="78"/>
      <c r="Y63" s="78"/>
      <c r="Z63" s="78"/>
      <c r="AA63" s="78"/>
      <c r="AB63" s="78"/>
      <c r="AC63" s="78" t="e">
        <f t="shared" si="5"/>
        <v>#DIV/0!</v>
      </c>
      <c r="AD63" s="78" t="e">
        <f t="shared" si="4"/>
        <v>#DIV/0!</v>
      </c>
    </row>
    <row r="64" spans="1:30">
      <c r="A64" s="78">
        <v>63</v>
      </c>
      <c r="C64" s="78"/>
      <c r="D64" s="78"/>
      <c r="E64" s="78"/>
      <c r="F64" s="78"/>
      <c r="G64" s="78"/>
      <c r="H64" s="78"/>
      <c r="I64" s="78"/>
      <c r="J64" s="78"/>
      <c r="K64" s="78"/>
      <c r="L64" s="78"/>
      <c r="M64" s="78"/>
      <c r="N64" s="78"/>
      <c r="O64" s="78">
        <f t="shared" si="1"/>
        <v>0</v>
      </c>
      <c r="P64" s="78">
        <f t="shared" si="2"/>
        <v>-1</v>
      </c>
      <c r="Q64" s="78">
        <v>1</v>
      </c>
      <c r="R64" s="78" t="e">
        <f t="shared" si="3"/>
        <v>#DIV/0!</v>
      </c>
      <c r="S64" s="78"/>
      <c r="T64" s="78"/>
      <c r="U64" s="78"/>
      <c r="V64" s="78"/>
      <c r="W64" s="78"/>
      <c r="X64" s="78"/>
      <c r="Y64" s="78"/>
      <c r="Z64" s="78"/>
      <c r="AA64" s="78"/>
      <c r="AB64" s="78"/>
      <c r="AC64" s="78" t="e">
        <f t="shared" si="5"/>
        <v>#DIV/0!</v>
      </c>
      <c r="AD64" s="78" t="e">
        <f t="shared" si="4"/>
        <v>#DIV/0!</v>
      </c>
    </row>
    <row r="65" spans="1:30">
      <c r="A65" s="78">
        <v>64</v>
      </c>
      <c r="C65" s="78"/>
      <c r="D65" s="78"/>
      <c r="E65" s="78"/>
      <c r="F65" s="78"/>
      <c r="G65" s="78"/>
      <c r="H65" s="78"/>
      <c r="I65" s="78"/>
      <c r="J65" s="78"/>
      <c r="K65" s="78"/>
      <c r="L65" s="78"/>
      <c r="M65" s="78"/>
      <c r="N65" s="78"/>
      <c r="O65" s="78">
        <f t="shared" si="1"/>
        <v>0</v>
      </c>
      <c r="P65" s="78">
        <f t="shared" si="2"/>
        <v>-1</v>
      </c>
      <c r="Q65" s="78">
        <v>1</v>
      </c>
      <c r="R65" s="78" t="e">
        <f t="shared" si="3"/>
        <v>#DIV/0!</v>
      </c>
      <c r="S65" s="78"/>
      <c r="T65" s="78"/>
      <c r="U65" s="78"/>
      <c r="V65" s="78"/>
      <c r="W65" s="78"/>
      <c r="X65" s="78"/>
      <c r="Y65" s="78"/>
      <c r="Z65" s="78"/>
      <c r="AA65" s="78"/>
      <c r="AB65" s="78"/>
      <c r="AC65" s="78" t="e">
        <f t="shared" si="5"/>
        <v>#DIV/0!</v>
      </c>
      <c r="AD65" s="78" t="e">
        <f t="shared" si="4"/>
        <v>#DIV/0!</v>
      </c>
    </row>
    <row r="66" spans="1:30">
      <c r="A66" s="78">
        <v>65</v>
      </c>
      <c r="C66" s="78"/>
      <c r="D66" s="78"/>
      <c r="E66" s="78"/>
      <c r="F66" s="78"/>
      <c r="G66" s="78"/>
      <c r="H66" s="78"/>
      <c r="I66" s="78"/>
      <c r="J66" s="78"/>
      <c r="K66" s="78"/>
      <c r="L66" s="78"/>
      <c r="M66" s="78"/>
      <c r="N66" s="78"/>
      <c r="O66" s="78">
        <f t="shared" si="1"/>
        <v>0</v>
      </c>
      <c r="P66" s="78">
        <f t="shared" si="2"/>
        <v>-1</v>
      </c>
      <c r="Q66" s="78">
        <v>1</v>
      </c>
      <c r="R66" s="78" t="e">
        <f t="shared" si="3"/>
        <v>#DIV/0!</v>
      </c>
      <c r="S66" s="78"/>
      <c r="T66" s="78"/>
      <c r="U66" s="78"/>
      <c r="V66" s="78"/>
      <c r="W66" s="78"/>
      <c r="X66" s="78"/>
      <c r="Y66" s="78"/>
      <c r="Z66" s="78"/>
      <c r="AA66" s="78"/>
      <c r="AB66" s="78"/>
      <c r="AC66" s="78" t="e">
        <f t="shared" ref="AC66:AC97" si="6">(MAX($AA$2:$AA$97))/AA66</f>
        <v>#DIV/0!</v>
      </c>
      <c r="AD66" s="78" t="e">
        <f t="shared" si="4"/>
        <v>#DIV/0!</v>
      </c>
    </row>
    <row r="67" spans="1:30">
      <c r="A67" s="78">
        <v>66</v>
      </c>
      <c r="C67" s="78"/>
      <c r="D67" s="78"/>
      <c r="E67" s="78"/>
      <c r="F67" s="78"/>
      <c r="G67" s="78"/>
      <c r="H67" s="78"/>
      <c r="I67" s="78"/>
      <c r="J67" s="78"/>
      <c r="K67" s="78"/>
      <c r="L67" s="78"/>
      <c r="M67" s="78"/>
      <c r="N67" s="78"/>
      <c r="O67" s="78">
        <f t="shared" ref="O67:O97" si="7">M67/0.2</f>
        <v>0</v>
      </c>
      <c r="P67" s="78">
        <f t="shared" ref="P67:P97" si="8">O67-Q67</f>
        <v>-1</v>
      </c>
      <c r="Q67" s="78">
        <v>1</v>
      </c>
      <c r="R67" s="78" t="e">
        <f t="shared" ref="R67:R97" si="9">M67/O67*4</f>
        <v>#DIV/0!</v>
      </c>
      <c r="S67" s="78"/>
      <c r="T67" s="78"/>
      <c r="U67" s="78"/>
      <c r="V67" s="78"/>
      <c r="W67" s="78"/>
      <c r="X67" s="78"/>
      <c r="Y67" s="78"/>
      <c r="Z67" s="78"/>
      <c r="AA67" s="78"/>
      <c r="AB67" s="78"/>
      <c r="AC67" s="78" t="e">
        <f t="shared" si="6"/>
        <v>#DIV/0!</v>
      </c>
      <c r="AD67" s="78" t="e">
        <f t="shared" ref="AD67:AD97" si="10">AC67*1</f>
        <v>#DIV/0!</v>
      </c>
    </row>
    <row r="68" spans="1:30">
      <c r="A68" s="78">
        <v>67</v>
      </c>
      <c r="C68" s="78"/>
      <c r="D68" s="78"/>
      <c r="E68" s="78"/>
      <c r="F68" s="78"/>
      <c r="G68" s="78"/>
      <c r="H68" s="78"/>
      <c r="I68" s="78"/>
      <c r="J68" s="78"/>
      <c r="K68" s="78"/>
      <c r="L68" s="78"/>
      <c r="M68" s="78"/>
      <c r="N68" s="78"/>
      <c r="O68" s="78">
        <f t="shared" si="7"/>
        <v>0</v>
      </c>
      <c r="P68" s="78">
        <f t="shared" si="8"/>
        <v>-1</v>
      </c>
      <c r="Q68" s="78">
        <v>1</v>
      </c>
      <c r="R68" s="78" t="e">
        <f t="shared" si="9"/>
        <v>#DIV/0!</v>
      </c>
      <c r="S68" s="78"/>
      <c r="T68" s="78"/>
      <c r="U68" s="78"/>
      <c r="V68" s="78"/>
      <c r="W68" s="78"/>
      <c r="X68" s="78"/>
      <c r="Y68" s="78"/>
      <c r="Z68" s="78"/>
      <c r="AA68" s="78"/>
      <c r="AB68" s="78"/>
      <c r="AC68" s="78" t="e">
        <f t="shared" si="6"/>
        <v>#DIV/0!</v>
      </c>
      <c r="AD68" s="78" t="e">
        <f t="shared" si="10"/>
        <v>#DIV/0!</v>
      </c>
    </row>
    <row r="69" spans="1:30">
      <c r="A69" s="78">
        <v>68</v>
      </c>
      <c r="C69" s="78"/>
      <c r="D69" s="78"/>
      <c r="E69" s="78"/>
      <c r="F69" s="78"/>
      <c r="G69" s="78"/>
      <c r="H69" s="78"/>
      <c r="I69" s="78"/>
      <c r="J69" s="78"/>
      <c r="K69" s="78"/>
      <c r="L69" s="78"/>
      <c r="M69" s="78"/>
      <c r="N69" s="78"/>
      <c r="O69" s="78">
        <f t="shared" si="7"/>
        <v>0</v>
      </c>
      <c r="P69" s="78">
        <f t="shared" si="8"/>
        <v>-1</v>
      </c>
      <c r="Q69" s="78">
        <v>1</v>
      </c>
      <c r="R69" s="78" t="e">
        <f t="shared" si="9"/>
        <v>#DIV/0!</v>
      </c>
      <c r="S69" s="78"/>
      <c r="T69" s="78"/>
      <c r="U69" s="78"/>
      <c r="V69" s="78"/>
      <c r="W69" s="78"/>
      <c r="X69" s="78"/>
      <c r="Y69" s="78"/>
      <c r="Z69" s="78"/>
      <c r="AA69" s="78"/>
      <c r="AB69" s="78"/>
      <c r="AC69" s="78" t="e">
        <f t="shared" si="6"/>
        <v>#DIV/0!</v>
      </c>
      <c r="AD69" s="78" t="e">
        <f t="shared" si="10"/>
        <v>#DIV/0!</v>
      </c>
    </row>
    <row r="70" spans="1:30">
      <c r="A70" s="78">
        <v>69</v>
      </c>
      <c r="C70" s="78"/>
      <c r="D70" s="78"/>
      <c r="E70" s="78"/>
      <c r="F70" s="78"/>
      <c r="G70" s="78"/>
      <c r="H70" s="78"/>
      <c r="I70" s="78"/>
      <c r="J70" s="78"/>
      <c r="K70" s="78"/>
      <c r="L70" s="78"/>
      <c r="M70" s="78"/>
      <c r="N70" s="78"/>
      <c r="O70" s="78">
        <f t="shared" si="7"/>
        <v>0</v>
      </c>
      <c r="P70" s="78">
        <f t="shared" si="8"/>
        <v>-1</v>
      </c>
      <c r="Q70" s="78">
        <v>1</v>
      </c>
      <c r="R70" s="78" t="e">
        <f t="shared" si="9"/>
        <v>#DIV/0!</v>
      </c>
      <c r="S70" s="78"/>
      <c r="T70" s="78"/>
      <c r="U70" s="78"/>
      <c r="V70" s="78"/>
      <c r="W70" s="78"/>
      <c r="X70" s="78"/>
      <c r="Y70" s="78"/>
      <c r="Z70" s="78"/>
      <c r="AA70" s="78"/>
      <c r="AB70" s="78"/>
      <c r="AC70" s="78" t="e">
        <f t="shared" si="6"/>
        <v>#DIV/0!</v>
      </c>
      <c r="AD70" s="78" t="e">
        <f t="shared" si="10"/>
        <v>#DIV/0!</v>
      </c>
    </row>
    <row r="71" spans="1:30">
      <c r="A71" s="78">
        <v>70</v>
      </c>
      <c r="C71" s="78"/>
      <c r="D71" s="78"/>
      <c r="E71" s="78"/>
      <c r="F71" s="78"/>
      <c r="G71" s="78"/>
      <c r="H71" s="78"/>
      <c r="I71" s="78"/>
      <c r="J71" s="78"/>
      <c r="K71" s="78"/>
      <c r="L71" s="78"/>
      <c r="M71" s="78"/>
      <c r="N71" s="78"/>
      <c r="O71" s="78">
        <f t="shared" si="7"/>
        <v>0</v>
      </c>
      <c r="P71" s="78">
        <f t="shared" si="8"/>
        <v>-1</v>
      </c>
      <c r="Q71" s="78">
        <v>1</v>
      </c>
      <c r="R71" s="78" t="e">
        <f t="shared" si="9"/>
        <v>#DIV/0!</v>
      </c>
      <c r="S71" s="78"/>
      <c r="T71" s="78"/>
      <c r="U71" s="78"/>
      <c r="V71" s="78"/>
      <c r="W71" s="78"/>
      <c r="X71" s="78"/>
      <c r="Y71" s="78"/>
      <c r="Z71" s="78"/>
      <c r="AA71" s="78"/>
      <c r="AB71" s="78"/>
      <c r="AC71" s="78" t="e">
        <f t="shared" si="6"/>
        <v>#DIV/0!</v>
      </c>
      <c r="AD71" s="78" t="e">
        <f t="shared" si="10"/>
        <v>#DIV/0!</v>
      </c>
    </row>
    <row r="72" spans="1:30">
      <c r="A72" s="78">
        <v>71</v>
      </c>
      <c r="C72" s="78"/>
      <c r="D72" s="78"/>
      <c r="E72" s="78"/>
      <c r="F72" s="78"/>
      <c r="G72" s="78"/>
      <c r="H72" s="78"/>
      <c r="I72" s="78"/>
      <c r="J72" s="78"/>
      <c r="K72" s="78"/>
      <c r="L72" s="78"/>
      <c r="M72" s="78"/>
      <c r="N72" s="78"/>
      <c r="O72" s="78">
        <f t="shared" si="7"/>
        <v>0</v>
      </c>
      <c r="P72" s="78">
        <f t="shared" si="8"/>
        <v>-1</v>
      </c>
      <c r="Q72" s="78">
        <v>1</v>
      </c>
      <c r="R72" s="78" t="e">
        <f t="shared" si="9"/>
        <v>#DIV/0!</v>
      </c>
      <c r="S72" s="78"/>
      <c r="T72" s="78"/>
      <c r="U72" s="78"/>
      <c r="V72" s="78"/>
      <c r="W72" s="78"/>
      <c r="X72" s="78"/>
      <c r="Y72" s="78"/>
      <c r="Z72" s="78"/>
      <c r="AA72" s="78"/>
      <c r="AB72" s="78"/>
      <c r="AC72" s="78" t="e">
        <f t="shared" si="6"/>
        <v>#DIV/0!</v>
      </c>
      <c r="AD72" s="78" t="e">
        <f t="shared" si="10"/>
        <v>#DIV/0!</v>
      </c>
    </row>
    <row r="73" spans="1:30">
      <c r="A73" s="78">
        <v>72</v>
      </c>
      <c r="C73" s="78"/>
      <c r="D73" s="78"/>
      <c r="E73" s="78"/>
      <c r="F73" s="78"/>
      <c r="G73" s="78"/>
      <c r="H73" s="78"/>
      <c r="I73" s="78"/>
      <c r="J73" s="78"/>
      <c r="K73" s="78"/>
      <c r="L73" s="78"/>
      <c r="M73" s="78"/>
      <c r="N73" s="78"/>
      <c r="O73" s="78">
        <f t="shared" si="7"/>
        <v>0</v>
      </c>
      <c r="P73" s="78">
        <f t="shared" si="8"/>
        <v>-1</v>
      </c>
      <c r="Q73" s="78">
        <v>1</v>
      </c>
      <c r="R73" s="78" t="e">
        <f t="shared" si="9"/>
        <v>#DIV/0!</v>
      </c>
      <c r="S73" s="78"/>
      <c r="T73" s="78"/>
      <c r="U73" s="78"/>
      <c r="V73" s="78"/>
      <c r="W73" s="78"/>
      <c r="X73" s="78"/>
      <c r="Y73" s="78"/>
      <c r="Z73" s="78"/>
      <c r="AA73" s="78"/>
      <c r="AB73" s="78"/>
      <c r="AC73" s="78" t="e">
        <f t="shared" si="6"/>
        <v>#DIV/0!</v>
      </c>
      <c r="AD73" s="78" t="e">
        <f t="shared" si="10"/>
        <v>#DIV/0!</v>
      </c>
    </row>
    <row r="74" spans="1:30">
      <c r="A74" s="78">
        <v>73</v>
      </c>
      <c r="C74" s="78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78">
        <f t="shared" si="7"/>
        <v>0</v>
      </c>
      <c r="P74" s="78">
        <f t="shared" si="8"/>
        <v>-1</v>
      </c>
      <c r="Q74" s="78">
        <v>1</v>
      </c>
      <c r="R74" s="78" t="e">
        <f t="shared" si="9"/>
        <v>#DIV/0!</v>
      </c>
      <c r="S74" s="78"/>
      <c r="T74" s="78"/>
      <c r="U74" s="78"/>
      <c r="V74" s="78"/>
      <c r="W74" s="78"/>
      <c r="X74" s="78"/>
      <c r="Y74" s="78"/>
      <c r="Z74" s="78"/>
      <c r="AA74" s="78"/>
      <c r="AB74" s="78"/>
      <c r="AC74" s="78" t="e">
        <f t="shared" si="6"/>
        <v>#DIV/0!</v>
      </c>
      <c r="AD74" s="78" t="e">
        <f t="shared" si="10"/>
        <v>#DIV/0!</v>
      </c>
    </row>
    <row r="75" spans="1:30">
      <c r="A75" s="78">
        <v>74</v>
      </c>
      <c r="C75" s="78"/>
      <c r="D75" s="78"/>
      <c r="E75" s="78"/>
      <c r="F75" s="78"/>
      <c r="G75" s="78"/>
      <c r="H75" s="78"/>
      <c r="I75" s="78"/>
      <c r="J75" s="78"/>
      <c r="K75" s="78"/>
      <c r="L75" s="78"/>
      <c r="M75" s="78"/>
      <c r="N75" s="78"/>
      <c r="O75" s="78">
        <f t="shared" si="7"/>
        <v>0</v>
      </c>
      <c r="P75" s="78">
        <f t="shared" si="8"/>
        <v>-1</v>
      </c>
      <c r="Q75" s="78">
        <v>1</v>
      </c>
      <c r="R75" s="78" t="e">
        <f t="shared" si="9"/>
        <v>#DIV/0!</v>
      </c>
      <c r="S75" s="78"/>
      <c r="T75" s="78"/>
      <c r="U75" s="78"/>
      <c r="V75" s="78"/>
      <c r="W75" s="78"/>
      <c r="X75" s="78"/>
      <c r="Y75" s="78"/>
      <c r="Z75" s="78"/>
      <c r="AA75" s="78"/>
      <c r="AB75" s="78"/>
      <c r="AC75" s="78" t="e">
        <f t="shared" si="6"/>
        <v>#DIV/0!</v>
      </c>
      <c r="AD75" s="78" t="e">
        <f t="shared" si="10"/>
        <v>#DIV/0!</v>
      </c>
    </row>
    <row r="76" spans="1:30">
      <c r="A76" s="78">
        <v>75</v>
      </c>
      <c r="C76" s="78"/>
      <c r="D76" s="78"/>
      <c r="E76" s="78"/>
      <c r="F76" s="78"/>
      <c r="G76" s="78"/>
      <c r="H76" s="78"/>
      <c r="I76" s="78"/>
      <c r="J76" s="78"/>
      <c r="K76" s="78"/>
      <c r="L76" s="78"/>
      <c r="M76" s="78"/>
      <c r="N76" s="78"/>
      <c r="O76" s="78">
        <f t="shared" si="7"/>
        <v>0</v>
      </c>
      <c r="P76" s="78">
        <f t="shared" si="8"/>
        <v>-1</v>
      </c>
      <c r="Q76" s="78">
        <v>1</v>
      </c>
      <c r="R76" s="78" t="e">
        <f t="shared" si="9"/>
        <v>#DIV/0!</v>
      </c>
      <c r="S76" s="78"/>
      <c r="T76" s="78"/>
      <c r="U76" s="78"/>
      <c r="V76" s="78"/>
      <c r="W76" s="78"/>
      <c r="X76" s="78"/>
      <c r="Y76" s="78"/>
      <c r="Z76" s="78"/>
      <c r="AA76" s="78"/>
      <c r="AB76" s="78"/>
      <c r="AC76" s="78" t="e">
        <f t="shared" si="6"/>
        <v>#DIV/0!</v>
      </c>
      <c r="AD76" s="78" t="e">
        <f t="shared" si="10"/>
        <v>#DIV/0!</v>
      </c>
    </row>
    <row r="77" spans="1:30">
      <c r="A77" s="78">
        <v>76</v>
      </c>
      <c r="C77" s="78"/>
      <c r="D77" s="78"/>
      <c r="E77" s="78"/>
      <c r="F77" s="78"/>
      <c r="G77" s="78"/>
      <c r="H77" s="78"/>
      <c r="I77" s="78"/>
      <c r="J77" s="78"/>
      <c r="K77" s="78"/>
      <c r="L77" s="78"/>
      <c r="M77" s="78"/>
      <c r="N77" s="78"/>
      <c r="O77" s="78">
        <f t="shared" si="7"/>
        <v>0</v>
      </c>
      <c r="P77" s="78">
        <f t="shared" si="8"/>
        <v>-1</v>
      </c>
      <c r="Q77" s="78">
        <v>1</v>
      </c>
      <c r="R77" s="78" t="e">
        <f t="shared" si="9"/>
        <v>#DIV/0!</v>
      </c>
      <c r="S77" s="78"/>
      <c r="T77" s="78"/>
      <c r="U77" s="78"/>
      <c r="V77" s="78"/>
      <c r="W77" s="78"/>
      <c r="X77" s="78"/>
      <c r="Y77" s="78"/>
      <c r="Z77" s="78"/>
      <c r="AA77" s="78"/>
      <c r="AB77" s="78"/>
      <c r="AC77" s="78" t="e">
        <f t="shared" si="6"/>
        <v>#DIV/0!</v>
      </c>
      <c r="AD77" s="78" t="e">
        <f t="shared" si="10"/>
        <v>#DIV/0!</v>
      </c>
    </row>
    <row r="78" spans="1:30">
      <c r="A78" s="78">
        <v>77</v>
      </c>
      <c r="C78" s="78"/>
      <c r="D78" s="78"/>
      <c r="E78" s="78"/>
      <c r="F78" s="78"/>
      <c r="G78" s="78"/>
      <c r="H78" s="78"/>
      <c r="I78" s="78"/>
      <c r="J78" s="78"/>
      <c r="K78" s="78"/>
      <c r="L78" s="78"/>
      <c r="M78" s="78"/>
      <c r="N78" s="78"/>
      <c r="O78" s="78">
        <f t="shared" si="7"/>
        <v>0</v>
      </c>
      <c r="P78" s="78">
        <f t="shared" si="8"/>
        <v>-1</v>
      </c>
      <c r="Q78" s="78">
        <v>1</v>
      </c>
      <c r="R78" s="78" t="e">
        <f t="shared" si="9"/>
        <v>#DIV/0!</v>
      </c>
      <c r="S78" s="78"/>
      <c r="T78" s="78"/>
      <c r="U78" s="78"/>
      <c r="V78" s="78"/>
      <c r="W78" s="78"/>
      <c r="X78" s="78"/>
      <c r="Y78" s="78"/>
      <c r="Z78" s="78"/>
      <c r="AA78" s="78"/>
      <c r="AB78" s="78"/>
      <c r="AC78" s="78" t="e">
        <f t="shared" si="6"/>
        <v>#DIV/0!</v>
      </c>
      <c r="AD78" s="78" t="e">
        <f t="shared" si="10"/>
        <v>#DIV/0!</v>
      </c>
    </row>
    <row r="79" spans="1:30">
      <c r="A79" s="78">
        <v>78</v>
      </c>
      <c r="C79" s="78"/>
      <c r="D79" s="78"/>
      <c r="E79" s="78"/>
      <c r="F79" s="78"/>
      <c r="G79" s="78"/>
      <c r="H79" s="78"/>
      <c r="I79" s="78"/>
      <c r="J79" s="78"/>
      <c r="K79" s="78"/>
      <c r="L79" s="78"/>
      <c r="M79" s="78"/>
      <c r="N79" s="78"/>
      <c r="O79" s="78">
        <f t="shared" si="7"/>
        <v>0</v>
      </c>
      <c r="P79" s="78">
        <f t="shared" si="8"/>
        <v>-1</v>
      </c>
      <c r="Q79" s="78">
        <v>1</v>
      </c>
      <c r="R79" s="78" t="e">
        <f t="shared" si="9"/>
        <v>#DIV/0!</v>
      </c>
      <c r="S79" s="78"/>
      <c r="T79" s="78"/>
      <c r="U79" s="78"/>
      <c r="V79" s="78"/>
      <c r="W79" s="78"/>
      <c r="X79" s="78"/>
      <c r="Y79" s="78"/>
      <c r="Z79" s="78"/>
      <c r="AA79" s="78"/>
      <c r="AB79" s="78"/>
      <c r="AC79" s="78" t="e">
        <f t="shared" si="6"/>
        <v>#DIV/0!</v>
      </c>
      <c r="AD79" s="78" t="e">
        <f t="shared" si="10"/>
        <v>#DIV/0!</v>
      </c>
    </row>
    <row r="80" spans="1:30">
      <c r="A80" s="78">
        <v>79</v>
      </c>
      <c r="C80" s="78"/>
      <c r="D80" s="78"/>
      <c r="E80" s="78"/>
      <c r="F80" s="78"/>
      <c r="G80" s="78"/>
      <c r="H80" s="78"/>
      <c r="I80" s="78"/>
      <c r="J80" s="78"/>
      <c r="K80" s="78"/>
      <c r="L80" s="78"/>
      <c r="M80" s="78"/>
      <c r="N80" s="78"/>
      <c r="O80" s="78">
        <f t="shared" si="7"/>
        <v>0</v>
      </c>
      <c r="P80" s="78">
        <f t="shared" si="8"/>
        <v>-1</v>
      </c>
      <c r="Q80" s="78">
        <v>1</v>
      </c>
      <c r="R80" s="78" t="e">
        <f t="shared" si="9"/>
        <v>#DIV/0!</v>
      </c>
      <c r="S80" s="78"/>
      <c r="T80" s="78"/>
      <c r="U80" s="78"/>
      <c r="V80" s="78"/>
      <c r="W80" s="78"/>
      <c r="X80" s="78"/>
      <c r="Y80" s="78"/>
      <c r="Z80" s="78"/>
      <c r="AA80" s="78"/>
      <c r="AB80" s="78"/>
      <c r="AC80" s="78" t="e">
        <f t="shared" si="6"/>
        <v>#DIV/0!</v>
      </c>
      <c r="AD80" s="78" t="e">
        <f t="shared" si="10"/>
        <v>#DIV/0!</v>
      </c>
    </row>
    <row r="81" spans="1:30">
      <c r="A81" s="78">
        <v>80</v>
      </c>
      <c r="C81" s="78"/>
      <c r="D81" s="78"/>
      <c r="E81" s="78"/>
      <c r="F81" s="78"/>
      <c r="G81" s="78"/>
      <c r="H81" s="78"/>
      <c r="I81" s="78"/>
      <c r="J81" s="78"/>
      <c r="K81" s="78"/>
      <c r="L81" s="78"/>
      <c r="M81" s="78"/>
      <c r="N81" s="78"/>
      <c r="O81" s="78">
        <f t="shared" si="7"/>
        <v>0</v>
      </c>
      <c r="P81" s="78">
        <f t="shared" si="8"/>
        <v>-1</v>
      </c>
      <c r="Q81" s="78">
        <v>1</v>
      </c>
      <c r="R81" s="78" t="e">
        <f t="shared" si="9"/>
        <v>#DIV/0!</v>
      </c>
      <c r="S81" s="78"/>
      <c r="T81" s="78"/>
      <c r="U81" s="78"/>
      <c r="V81" s="78"/>
      <c r="W81" s="78"/>
      <c r="X81" s="78"/>
      <c r="Y81" s="78"/>
      <c r="Z81" s="78"/>
      <c r="AA81" s="78"/>
      <c r="AB81" s="78"/>
      <c r="AC81" s="78" t="e">
        <f t="shared" si="6"/>
        <v>#DIV/0!</v>
      </c>
      <c r="AD81" s="78" t="e">
        <f t="shared" si="10"/>
        <v>#DIV/0!</v>
      </c>
    </row>
    <row r="82" spans="1:30">
      <c r="A82" s="78">
        <v>81</v>
      </c>
      <c r="C82" s="78"/>
      <c r="D82" s="78"/>
      <c r="E82" s="78"/>
      <c r="F82" s="78"/>
      <c r="G82" s="78"/>
      <c r="H82" s="78"/>
      <c r="I82" s="78"/>
      <c r="J82" s="78"/>
      <c r="K82" s="78"/>
      <c r="L82" s="78"/>
      <c r="M82" s="78"/>
      <c r="N82" s="78"/>
      <c r="O82" s="78">
        <f t="shared" si="7"/>
        <v>0</v>
      </c>
      <c r="P82" s="78">
        <f t="shared" si="8"/>
        <v>-1</v>
      </c>
      <c r="Q82" s="78">
        <v>1</v>
      </c>
      <c r="R82" s="78" t="e">
        <f t="shared" si="9"/>
        <v>#DIV/0!</v>
      </c>
      <c r="S82" s="78"/>
      <c r="T82" s="78"/>
      <c r="U82" s="78"/>
      <c r="V82" s="78"/>
      <c r="W82" s="78"/>
      <c r="X82" s="78"/>
      <c r="Y82" s="78"/>
      <c r="Z82" s="78"/>
      <c r="AA82" s="78"/>
      <c r="AB82" s="78"/>
      <c r="AC82" s="78" t="e">
        <f t="shared" si="6"/>
        <v>#DIV/0!</v>
      </c>
      <c r="AD82" s="78" t="e">
        <f t="shared" si="10"/>
        <v>#DIV/0!</v>
      </c>
    </row>
    <row r="83" spans="1:30">
      <c r="A83" s="78">
        <v>82</v>
      </c>
      <c r="C83" s="78"/>
      <c r="D83" s="78"/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78">
        <f t="shared" si="7"/>
        <v>0</v>
      </c>
      <c r="P83" s="78">
        <f t="shared" si="8"/>
        <v>-1</v>
      </c>
      <c r="Q83" s="78">
        <v>1</v>
      </c>
      <c r="R83" s="78" t="e">
        <f t="shared" si="9"/>
        <v>#DIV/0!</v>
      </c>
      <c r="S83" s="78"/>
      <c r="T83" s="78"/>
      <c r="U83" s="78"/>
      <c r="V83" s="78"/>
      <c r="W83" s="78"/>
      <c r="X83" s="78"/>
      <c r="Y83" s="78"/>
      <c r="Z83" s="78"/>
      <c r="AA83" s="78"/>
      <c r="AB83" s="78"/>
      <c r="AC83" s="78" t="e">
        <f t="shared" si="6"/>
        <v>#DIV/0!</v>
      </c>
      <c r="AD83" s="78" t="e">
        <f t="shared" si="10"/>
        <v>#DIV/0!</v>
      </c>
    </row>
    <row r="84" spans="1:30">
      <c r="A84" s="78">
        <v>83</v>
      </c>
      <c r="C84" s="78"/>
      <c r="D84" s="78"/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78">
        <f t="shared" si="7"/>
        <v>0</v>
      </c>
      <c r="P84" s="78">
        <f t="shared" si="8"/>
        <v>-1</v>
      </c>
      <c r="Q84" s="78">
        <v>1</v>
      </c>
      <c r="R84" s="78" t="e">
        <f t="shared" si="9"/>
        <v>#DIV/0!</v>
      </c>
      <c r="S84" s="78"/>
      <c r="T84" s="78"/>
      <c r="U84" s="78"/>
      <c r="V84" s="78"/>
      <c r="W84" s="78"/>
      <c r="X84" s="78"/>
      <c r="Y84" s="78"/>
      <c r="Z84" s="78"/>
      <c r="AA84" s="78"/>
      <c r="AB84" s="78"/>
      <c r="AC84" s="78" t="e">
        <f t="shared" si="6"/>
        <v>#DIV/0!</v>
      </c>
      <c r="AD84" s="78" t="e">
        <f t="shared" si="10"/>
        <v>#DIV/0!</v>
      </c>
    </row>
    <row r="85" spans="1:30">
      <c r="A85" s="78">
        <v>84</v>
      </c>
      <c r="C85" s="78"/>
      <c r="D85" s="78"/>
      <c r="E85" s="78"/>
      <c r="F85" s="78"/>
      <c r="G85" s="78"/>
      <c r="H85" s="78"/>
      <c r="I85" s="78"/>
      <c r="J85" s="78"/>
      <c r="K85" s="78"/>
      <c r="L85" s="78"/>
      <c r="M85" s="78"/>
      <c r="N85" s="78"/>
      <c r="O85" s="78">
        <f t="shared" si="7"/>
        <v>0</v>
      </c>
      <c r="P85" s="78">
        <f t="shared" si="8"/>
        <v>-1</v>
      </c>
      <c r="Q85" s="78">
        <v>1</v>
      </c>
      <c r="R85" s="78" t="e">
        <f t="shared" si="9"/>
        <v>#DIV/0!</v>
      </c>
      <c r="S85" s="78"/>
      <c r="T85" s="78"/>
      <c r="U85" s="78"/>
      <c r="V85" s="78"/>
      <c r="W85" s="78"/>
      <c r="X85" s="78"/>
      <c r="Y85" s="78"/>
      <c r="Z85" s="78"/>
      <c r="AA85" s="78"/>
      <c r="AB85" s="78"/>
      <c r="AC85" s="78" t="e">
        <f t="shared" si="6"/>
        <v>#DIV/0!</v>
      </c>
      <c r="AD85" s="78" t="e">
        <f t="shared" si="10"/>
        <v>#DIV/0!</v>
      </c>
    </row>
    <row r="86" spans="1:30">
      <c r="A86" s="78">
        <v>85</v>
      </c>
      <c r="C86" s="78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>
        <f t="shared" si="7"/>
        <v>0</v>
      </c>
      <c r="P86" s="78">
        <f t="shared" si="8"/>
        <v>-1</v>
      </c>
      <c r="Q86" s="78">
        <v>1</v>
      </c>
      <c r="R86" s="78" t="e">
        <f t="shared" si="9"/>
        <v>#DIV/0!</v>
      </c>
      <c r="S86" s="78"/>
      <c r="T86" s="78"/>
      <c r="U86" s="78"/>
      <c r="V86" s="78"/>
      <c r="W86" s="78"/>
      <c r="X86" s="78"/>
      <c r="Y86" s="78"/>
      <c r="Z86" s="78"/>
      <c r="AA86" s="78"/>
      <c r="AB86" s="78"/>
      <c r="AC86" s="78" t="e">
        <f t="shared" si="6"/>
        <v>#DIV/0!</v>
      </c>
      <c r="AD86" s="78" t="e">
        <f t="shared" si="10"/>
        <v>#DIV/0!</v>
      </c>
    </row>
    <row r="87" spans="1:30">
      <c r="A87" s="78">
        <v>86</v>
      </c>
      <c r="C87" s="78"/>
      <c r="D87" s="78"/>
      <c r="E87" s="78"/>
      <c r="F87" s="78"/>
      <c r="G87" s="78"/>
      <c r="H87" s="78"/>
      <c r="I87" s="78"/>
      <c r="J87" s="78"/>
      <c r="K87" s="78"/>
      <c r="L87" s="78"/>
      <c r="M87" s="78"/>
      <c r="N87" s="78"/>
      <c r="O87" s="78">
        <f t="shared" si="7"/>
        <v>0</v>
      </c>
      <c r="P87" s="78">
        <f t="shared" si="8"/>
        <v>-1</v>
      </c>
      <c r="Q87" s="78">
        <v>1</v>
      </c>
      <c r="R87" s="78" t="e">
        <f t="shared" si="9"/>
        <v>#DIV/0!</v>
      </c>
      <c r="S87" s="78"/>
      <c r="T87" s="78"/>
      <c r="U87" s="78"/>
      <c r="V87" s="78"/>
      <c r="W87" s="78"/>
      <c r="X87" s="78"/>
      <c r="Y87" s="78"/>
      <c r="Z87" s="78"/>
      <c r="AA87" s="78"/>
      <c r="AB87" s="78"/>
      <c r="AC87" s="78" t="e">
        <f t="shared" si="6"/>
        <v>#DIV/0!</v>
      </c>
      <c r="AD87" s="78" t="e">
        <f t="shared" si="10"/>
        <v>#DIV/0!</v>
      </c>
    </row>
    <row r="88" spans="1:30">
      <c r="A88" s="78">
        <v>87</v>
      </c>
      <c r="C88" s="78"/>
      <c r="D88" s="78"/>
      <c r="E88" s="78"/>
      <c r="F88" s="78"/>
      <c r="G88" s="78"/>
      <c r="H88" s="78"/>
      <c r="I88" s="78"/>
      <c r="J88" s="78"/>
      <c r="K88" s="78"/>
      <c r="L88" s="78"/>
      <c r="M88" s="78"/>
      <c r="N88" s="78"/>
      <c r="O88" s="78">
        <f t="shared" si="7"/>
        <v>0</v>
      </c>
      <c r="P88" s="78">
        <f t="shared" si="8"/>
        <v>-1</v>
      </c>
      <c r="Q88" s="78">
        <v>1</v>
      </c>
      <c r="R88" s="78" t="e">
        <f t="shared" si="9"/>
        <v>#DIV/0!</v>
      </c>
      <c r="S88" s="78"/>
      <c r="T88" s="78"/>
      <c r="U88" s="78"/>
      <c r="V88" s="78"/>
      <c r="W88" s="78"/>
      <c r="X88" s="78"/>
      <c r="Y88" s="78"/>
      <c r="Z88" s="78"/>
      <c r="AA88" s="78"/>
      <c r="AB88" s="78"/>
      <c r="AC88" s="78" t="e">
        <f t="shared" si="6"/>
        <v>#DIV/0!</v>
      </c>
      <c r="AD88" s="78" t="e">
        <f t="shared" si="10"/>
        <v>#DIV/0!</v>
      </c>
    </row>
    <row r="89" spans="1:30">
      <c r="A89" s="78">
        <v>88</v>
      </c>
      <c r="C89" s="78"/>
      <c r="D89" s="78"/>
      <c r="E89" s="78"/>
      <c r="F89" s="78"/>
      <c r="G89" s="78"/>
      <c r="H89" s="78"/>
      <c r="I89" s="78"/>
      <c r="J89" s="78"/>
      <c r="K89" s="78"/>
      <c r="L89" s="78"/>
      <c r="M89" s="78"/>
      <c r="N89" s="78"/>
      <c r="O89" s="78">
        <f t="shared" si="7"/>
        <v>0</v>
      </c>
      <c r="P89" s="78">
        <f t="shared" si="8"/>
        <v>-1</v>
      </c>
      <c r="Q89" s="78">
        <v>1</v>
      </c>
      <c r="R89" s="78" t="e">
        <f t="shared" si="9"/>
        <v>#DIV/0!</v>
      </c>
      <c r="S89" s="78"/>
      <c r="T89" s="78"/>
      <c r="U89" s="78"/>
      <c r="V89" s="78"/>
      <c r="W89" s="78"/>
      <c r="X89" s="78"/>
      <c r="Y89" s="78"/>
      <c r="Z89" s="78"/>
      <c r="AA89" s="78"/>
      <c r="AB89" s="78"/>
      <c r="AC89" s="78" t="e">
        <f t="shared" si="6"/>
        <v>#DIV/0!</v>
      </c>
      <c r="AD89" s="78" t="e">
        <f t="shared" si="10"/>
        <v>#DIV/0!</v>
      </c>
    </row>
    <row r="90" spans="1:30">
      <c r="A90" s="78">
        <v>89</v>
      </c>
      <c r="C90" s="78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78">
        <f t="shared" si="7"/>
        <v>0</v>
      </c>
      <c r="P90" s="78">
        <f t="shared" si="8"/>
        <v>-1</v>
      </c>
      <c r="Q90" s="78">
        <v>1</v>
      </c>
      <c r="R90" s="78" t="e">
        <f t="shared" si="9"/>
        <v>#DIV/0!</v>
      </c>
      <c r="S90" s="78"/>
      <c r="T90" s="78"/>
      <c r="U90" s="78"/>
      <c r="V90" s="78"/>
      <c r="W90" s="78"/>
      <c r="X90" s="78"/>
      <c r="Y90" s="78"/>
      <c r="Z90" s="78"/>
      <c r="AA90" s="78"/>
      <c r="AB90" s="78"/>
      <c r="AC90" s="78" t="e">
        <f t="shared" si="6"/>
        <v>#DIV/0!</v>
      </c>
      <c r="AD90" s="78" t="e">
        <f t="shared" si="10"/>
        <v>#DIV/0!</v>
      </c>
    </row>
    <row r="91" spans="1:30">
      <c r="A91" s="78">
        <v>90</v>
      </c>
      <c r="C91" s="78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8"/>
      <c r="O91" s="78">
        <f t="shared" si="7"/>
        <v>0</v>
      </c>
      <c r="P91" s="78">
        <f t="shared" si="8"/>
        <v>-1</v>
      </c>
      <c r="Q91" s="78">
        <v>1</v>
      </c>
      <c r="R91" s="78" t="e">
        <f t="shared" si="9"/>
        <v>#DIV/0!</v>
      </c>
      <c r="S91" s="78"/>
      <c r="T91" s="78"/>
      <c r="U91" s="78"/>
      <c r="V91" s="78"/>
      <c r="W91" s="78"/>
      <c r="X91" s="78"/>
      <c r="Y91" s="78"/>
      <c r="Z91" s="78"/>
      <c r="AA91" s="78"/>
      <c r="AB91" s="78"/>
      <c r="AC91" s="78" t="e">
        <f t="shared" si="6"/>
        <v>#DIV/0!</v>
      </c>
      <c r="AD91" s="78" t="e">
        <f t="shared" si="10"/>
        <v>#DIV/0!</v>
      </c>
    </row>
    <row r="92" spans="1:30">
      <c r="A92" s="78">
        <v>91</v>
      </c>
      <c r="C92" s="78"/>
      <c r="D92" s="78"/>
      <c r="E92" s="78"/>
      <c r="F92" s="78"/>
      <c r="G92" s="78"/>
      <c r="H92" s="78"/>
      <c r="I92" s="78"/>
      <c r="J92" s="78"/>
      <c r="K92" s="78"/>
      <c r="L92" s="78"/>
      <c r="M92" s="78"/>
      <c r="N92" s="78"/>
      <c r="O92" s="78">
        <f t="shared" si="7"/>
        <v>0</v>
      </c>
      <c r="P92" s="78">
        <f t="shared" si="8"/>
        <v>-1</v>
      </c>
      <c r="Q92" s="78">
        <v>1</v>
      </c>
      <c r="R92" s="78" t="e">
        <f t="shared" si="9"/>
        <v>#DIV/0!</v>
      </c>
      <c r="S92" s="78"/>
      <c r="T92" s="78"/>
      <c r="U92" s="78"/>
      <c r="V92" s="78"/>
      <c r="W92" s="78"/>
      <c r="X92" s="78"/>
      <c r="Y92" s="78"/>
      <c r="Z92" s="78"/>
      <c r="AA92" s="78"/>
      <c r="AB92" s="78"/>
      <c r="AC92" s="78" t="e">
        <f t="shared" si="6"/>
        <v>#DIV/0!</v>
      </c>
      <c r="AD92" s="78" t="e">
        <f t="shared" si="10"/>
        <v>#DIV/0!</v>
      </c>
    </row>
    <row r="93" spans="1:30">
      <c r="A93" s="78">
        <v>92</v>
      </c>
      <c r="C93" s="78"/>
      <c r="D93" s="78"/>
      <c r="E93" s="78"/>
      <c r="F93" s="78"/>
      <c r="G93" s="78"/>
      <c r="H93" s="78"/>
      <c r="I93" s="78"/>
      <c r="J93" s="78"/>
      <c r="K93" s="78"/>
      <c r="L93" s="78"/>
      <c r="M93" s="78"/>
      <c r="N93" s="78"/>
      <c r="O93" s="78">
        <f t="shared" si="7"/>
        <v>0</v>
      </c>
      <c r="P93" s="78">
        <f t="shared" si="8"/>
        <v>-1</v>
      </c>
      <c r="Q93" s="78">
        <v>1</v>
      </c>
      <c r="R93" s="78" t="e">
        <f t="shared" si="9"/>
        <v>#DIV/0!</v>
      </c>
      <c r="S93" s="78"/>
      <c r="T93" s="78"/>
      <c r="U93" s="78"/>
      <c r="V93" s="78"/>
      <c r="W93" s="78"/>
      <c r="X93" s="78"/>
      <c r="Y93" s="78"/>
      <c r="Z93" s="78"/>
      <c r="AA93" s="78"/>
      <c r="AB93" s="78"/>
      <c r="AC93" s="78" t="e">
        <f t="shared" si="6"/>
        <v>#DIV/0!</v>
      </c>
      <c r="AD93" s="78" t="e">
        <f t="shared" si="10"/>
        <v>#DIV/0!</v>
      </c>
    </row>
    <row r="94" spans="1:30">
      <c r="A94" s="78">
        <v>93</v>
      </c>
      <c r="C94" s="78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>
        <f t="shared" si="7"/>
        <v>0</v>
      </c>
      <c r="P94" s="78">
        <f t="shared" si="8"/>
        <v>-1</v>
      </c>
      <c r="Q94" s="78">
        <v>1</v>
      </c>
      <c r="R94" s="78" t="e">
        <f t="shared" si="9"/>
        <v>#DIV/0!</v>
      </c>
      <c r="S94" s="78"/>
      <c r="T94" s="78"/>
      <c r="U94" s="78"/>
      <c r="V94" s="78"/>
      <c r="W94" s="78"/>
      <c r="X94" s="78"/>
      <c r="Y94" s="78"/>
      <c r="Z94" s="78"/>
      <c r="AA94" s="78"/>
      <c r="AB94" s="78"/>
      <c r="AC94" s="78" t="e">
        <f t="shared" si="6"/>
        <v>#DIV/0!</v>
      </c>
      <c r="AD94" s="78" t="e">
        <f t="shared" si="10"/>
        <v>#DIV/0!</v>
      </c>
    </row>
    <row r="95" spans="1:30">
      <c r="A95" s="78">
        <v>94</v>
      </c>
      <c r="C95" s="78"/>
      <c r="D95" s="78"/>
      <c r="E95" s="78"/>
      <c r="F95" s="78"/>
      <c r="G95" s="78"/>
      <c r="H95" s="78"/>
      <c r="I95" s="78"/>
      <c r="J95" s="78"/>
      <c r="K95" s="78"/>
      <c r="L95" s="78"/>
      <c r="M95" s="78"/>
      <c r="N95" s="78"/>
      <c r="O95" s="78">
        <f t="shared" si="7"/>
        <v>0</v>
      </c>
      <c r="P95" s="78">
        <f t="shared" si="8"/>
        <v>-1</v>
      </c>
      <c r="Q95" s="78">
        <v>1</v>
      </c>
      <c r="R95" s="78" t="e">
        <f t="shared" si="9"/>
        <v>#DIV/0!</v>
      </c>
      <c r="S95" s="78"/>
      <c r="T95" s="78"/>
      <c r="U95" s="78"/>
      <c r="V95" s="78"/>
      <c r="W95" s="78"/>
      <c r="X95" s="78"/>
      <c r="Y95" s="78"/>
      <c r="Z95" s="78"/>
      <c r="AA95" s="78"/>
      <c r="AB95" s="78"/>
      <c r="AC95" s="78" t="e">
        <f t="shared" si="6"/>
        <v>#DIV/0!</v>
      </c>
      <c r="AD95" s="78" t="e">
        <f t="shared" si="10"/>
        <v>#DIV/0!</v>
      </c>
    </row>
    <row r="96" spans="1:30">
      <c r="A96" s="78">
        <v>95</v>
      </c>
      <c r="C96" s="78"/>
      <c r="D96" s="78"/>
      <c r="E96" s="78"/>
      <c r="F96" s="78"/>
      <c r="G96" s="78"/>
      <c r="H96" s="78"/>
      <c r="I96" s="78"/>
      <c r="J96" s="78"/>
      <c r="K96" s="78"/>
      <c r="L96" s="78"/>
      <c r="M96" s="78"/>
      <c r="N96" s="78"/>
      <c r="O96" s="78">
        <f t="shared" si="7"/>
        <v>0</v>
      </c>
      <c r="P96" s="78">
        <f t="shared" si="8"/>
        <v>-1</v>
      </c>
      <c r="Q96" s="78">
        <v>1</v>
      </c>
      <c r="R96" s="78" t="e">
        <f t="shared" si="9"/>
        <v>#DIV/0!</v>
      </c>
      <c r="S96" s="78"/>
      <c r="T96" s="78"/>
      <c r="U96" s="78"/>
      <c r="V96" s="78"/>
      <c r="W96" s="78"/>
      <c r="X96" s="78"/>
      <c r="Y96" s="78"/>
      <c r="Z96" s="78"/>
      <c r="AA96" s="78"/>
      <c r="AB96" s="78"/>
      <c r="AC96" s="78" t="e">
        <f t="shared" si="6"/>
        <v>#DIV/0!</v>
      </c>
      <c r="AD96" s="78" t="e">
        <f t="shared" si="10"/>
        <v>#DIV/0!</v>
      </c>
    </row>
    <row r="97" spans="1:30">
      <c r="A97" s="78">
        <v>96</v>
      </c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78">
        <f t="shared" si="7"/>
        <v>0</v>
      </c>
      <c r="P97" s="78">
        <f t="shared" si="8"/>
        <v>-1</v>
      </c>
      <c r="Q97" s="78">
        <v>1</v>
      </c>
      <c r="R97" s="78" t="e">
        <f t="shared" si="9"/>
        <v>#DIV/0!</v>
      </c>
      <c r="S97" s="78"/>
      <c r="T97" s="78"/>
      <c r="U97" s="78"/>
      <c r="V97" s="78"/>
      <c r="W97" s="78"/>
      <c r="X97" s="78"/>
      <c r="Y97" s="78"/>
      <c r="Z97" s="78"/>
      <c r="AA97" s="78"/>
      <c r="AB97" s="78"/>
      <c r="AC97" s="78" t="e">
        <f t="shared" si="6"/>
        <v>#DIV/0!</v>
      </c>
      <c r="AD97" s="78" t="e">
        <f t="shared" si="10"/>
        <v>#DIV/0!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5006A-DD60-4EE0-AED1-642AA2F245B9}">
  <sheetPr codeName="Sheet5"/>
  <dimension ref="A1:AK145"/>
  <sheetViews>
    <sheetView zoomScaleNormal="100" workbookViewId="0">
      <selection activeCell="H11" sqref="H11"/>
    </sheetView>
  </sheetViews>
  <sheetFormatPr defaultColWidth="8.85546875" defaultRowHeight="26.25" customHeight="1"/>
  <cols>
    <col min="1" max="1" width="4.42578125" style="3" customWidth="1"/>
    <col min="2" max="2" width="5.140625" style="3" customWidth="1"/>
    <col min="3" max="3" width="11.140625" style="3" customWidth="1"/>
    <col min="4" max="4" width="11.42578125" style="3" customWidth="1"/>
    <col min="5" max="5" width="11.85546875" style="3" customWidth="1"/>
    <col min="6" max="6" width="11" style="3" customWidth="1"/>
    <col min="7" max="8" width="10.85546875" style="3" bestFit="1" customWidth="1"/>
    <col min="9" max="10" width="11.42578125" style="3" bestFit="1" customWidth="1"/>
    <col min="11" max="11" width="13.42578125" style="3" bestFit="1" customWidth="1"/>
    <col min="12" max="12" width="11.42578125" style="3" bestFit="1" customWidth="1"/>
    <col min="13" max="13" width="9.42578125" style="3" customWidth="1"/>
    <col min="14" max="14" width="9.140625" style="3" customWidth="1"/>
    <col min="15" max="15" width="7.140625" style="3" customWidth="1"/>
    <col min="16" max="16" width="8.140625" style="3" customWidth="1"/>
    <col min="17" max="17" width="5.42578125" style="3" customWidth="1"/>
    <col min="18" max="18" width="5.85546875" style="3" customWidth="1"/>
    <col min="19" max="19" width="5.42578125" style="3" customWidth="1"/>
    <col min="20" max="20" width="6.42578125" style="3" customWidth="1"/>
    <col min="21" max="21" width="5.85546875" style="3" customWidth="1"/>
    <col min="22" max="22" width="5.42578125" style="3" customWidth="1"/>
    <col min="23" max="23" width="6.140625" style="3" customWidth="1"/>
    <col min="24" max="25" width="5.85546875" style="3" customWidth="1"/>
    <col min="26" max="27" width="6.42578125" style="3" customWidth="1"/>
    <col min="28" max="28" width="6.140625" style="3" customWidth="1"/>
    <col min="29" max="29" width="5.85546875" style="3" customWidth="1"/>
    <col min="30" max="31" width="8.85546875" style="3"/>
    <col min="32" max="32" width="9.42578125" style="3" customWidth="1"/>
    <col min="33" max="16384" width="8.85546875" style="3"/>
  </cols>
  <sheetData>
    <row r="1" spans="1:37" ht="26.25" customHeight="1">
      <c r="B1" s="4"/>
      <c r="C1" s="158" t="s">
        <v>84</v>
      </c>
      <c r="D1" s="158"/>
      <c r="E1" s="158"/>
      <c r="F1" s="158"/>
      <c r="G1" s="158"/>
      <c r="H1" s="158"/>
      <c r="I1" s="158"/>
      <c r="J1" s="158"/>
      <c r="Q1" s="4"/>
    </row>
    <row r="2" spans="1:37" ht="26.25" customHeight="1">
      <c r="A2" s="168" t="s">
        <v>38</v>
      </c>
      <c r="B2" s="168"/>
      <c r="C2" s="168"/>
      <c r="D2" s="168"/>
      <c r="E2" s="169"/>
      <c r="F2" s="169"/>
      <c r="G2" s="169"/>
      <c r="N2" s="7"/>
    </row>
    <row r="3" spans="1:37" ht="30" customHeight="1">
      <c r="A3" s="161" t="s">
        <v>15</v>
      </c>
      <c r="B3" s="162"/>
      <c r="C3" s="162"/>
      <c r="D3" s="163"/>
      <c r="E3" s="169"/>
      <c r="F3" s="169"/>
      <c r="G3" s="169"/>
      <c r="K3" s="5" t="s">
        <v>41</v>
      </c>
      <c r="L3" s="6"/>
      <c r="M3" s="130"/>
      <c r="N3" s="131"/>
    </row>
    <row r="4" spans="1:37" ht="25.5" customHeight="1">
      <c r="A4" s="138" t="s">
        <v>88</v>
      </c>
      <c r="B4" s="139"/>
      <c r="C4" s="139"/>
      <c r="D4" s="140"/>
      <c r="E4" s="169"/>
      <c r="F4" s="169"/>
      <c r="G4" s="169"/>
      <c r="J4" s="159" t="s">
        <v>26</v>
      </c>
      <c r="K4" s="160"/>
      <c r="L4" s="6"/>
      <c r="AK4" s="7"/>
    </row>
    <row r="5" spans="1:37" ht="25.5" customHeight="1">
      <c r="A5" s="138" t="s">
        <v>89</v>
      </c>
      <c r="B5" s="139"/>
      <c r="C5" s="139"/>
      <c r="D5" s="140"/>
      <c r="E5" s="169"/>
      <c r="F5" s="169"/>
      <c r="G5" s="169"/>
      <c r="AK5" s="7"/>
    </row>
    <row r="6" spans="1:37" ht="24.6" customHeight="1">
      <c r="A6" s="148" t="s">
        <v>12</v>
      </c>
      <c r="B6" s="149"/>
      <c r="C6" s="149"/>
      <c r="D6" s="150"/>
      <c r="E6" s="170"/>
      <c r="F6" s="170"/>
      <c r="G6" s="170"/>
    </row>
    <row r="7" spans="1:37" ht="26.25" customHeight="1">
      <c r="A7" s="148" t="s">
        <v>13</v>
      </c>
      <c r="B7" s="149"/>
      <c r="C7" s="149"/>
      <c r="D7" s="150"/>
      <c r="E7" s="169"/>
      <c r="F7" s="169"/>
      <c r="G7" s="169"/>
    </row>
    <row r="8" spans="1:37" ht="26.25" customHeight="1">
      <c r="A8" s="164" t="s">
        <v>37</v>
      </c>
      <c r="B8" s="165"/>
      <c r="C8" s="165"/>
      <c r="D8" s="166"/>
      <c r="E8" s="171"/>
      <c r="F8" s="172"/>
      <c r="G8" s="173"/>
    </row>
    <row r="9" spans="1:37" ht="32.25" customHeight="1">
      <c r="A9" s="167" t="s">
        <v>40</v>
      </c>
      <c r="B9" s="167"/>
      <c r="C9" s="167"/>
      <c r="D9" s="167"/>
      <c r="E9" s="86"/>
      <c r="F9" s="8" t="b">
        <f>MOD(E9,12)=0</f>
        <v>1</v>
      </c>
      <c r="G9" s="8">
        <f>ROUNDDOWN((E9/12),0)</f>
        <v>0</v>
      </c>
      <c r="H9" s="8">
        <f>E9-G9*12</f>
        <v>0</v>
      </c>
      <c r="I9" s="8"/>
    </row>
    <row r="10" spans="1:37" ht="20.100000000000001" customHeight="1">
      <c r="A10" s="87">
        <v>1</v>
      </c>
      <c r="B10" s="87">
        <v>2</v>
      </c>
      <c r="C10" s="87">
        <v>3</v>
      </c>
      <c r="D10" s="87">
        <v>4</v>
      </c>
      <c r="E10" s="87">
        <v>5</v>
      </c>
      <c r="F10" s="87">
        <v>6</v>
      </c>
      <c r="G10" s="87">
        <v>7</v>
      </c>
      <c r="H10" s="87">
        <v>8</v>
      </c>
      <c r="I10" s="87">
        <v>9</v>
      </c>
      <c r="J10" s="87">
        <v>10</v>
      </c>
      <c r="K10" s="87">
        <v>11</v>
      </c>
      <c r="L10" s="87">
        <v>12</v>
      </c>
      <c r="M10" s="157" t="s">
        <v>143</v>
      </c>
      <c r="N10" s="157"/>
      <c r="O10" s="157"/>
    </row>
    <row r="11" spans="1:37" ht="17.45" customHeight="1">
      <c r="A11" s="90"/>
      <c r="B11" s="90"/>
      <c r="C11" s="90"/>
      <c r="D11" s="90"/>
      <c r="E11" s="90"/>
      <c r="F11" s="90"/>
      <c r="G11" s="90"/>
      <c r="H11" s="90"/>
      <c r="I11" s="90"/>
      <c r="J11" s="90"/>
      <c r="K11" s="90"/>
      <c r="L11" s="90"/>
      <c r="M11" s="108" t="s">
        <v>145</v>
      </c>
      <c r="N11" s="108"/>
      <c r="O11" s="108"/>
    </row>
    <row r="12" spans="1:37" ht="26.25" customHeight="1" thickBot="1">
      <c r="A12" s="11"/>
      <c r="B12" s="132" t="s">
        <v>42</v>
      </c>
      <c r="C12" s="133"/>
      <c r="D12" s="133"/>
      <c r="E12" s="133"/>
      <c r="F12" s="133"/>
      <c r="G12" s="133"/>
      <c r="H12" s="133"/>
      <c r="I12" s="133"/>
      <c r="J12" s="133"/>
      <c r="K12" s="133"/>
      <c r="L12" s="133"/>
      <c r="M12" s="134"/>
      <c r="O12" s="17"/>
    </row>
    <row r="13" spans="1:37" s="49" customFormat="1" ht="23.1" customHeight="1" thickBot="1">
      <c r="A13" s="48"/>
      <c r="B13" s="52" t="s">
        <v>146</v>
      </c>
      <c r="O13" s="17"/>
      <c r="Q13" s="14"/>
      <c r="R13" s="50"/>
      <c r="S13" s="17"/>
      <c r="T13" s="50"/>
      <c r="U13" s="17"/>
      <c r="V13" s="50"/>
      <c r="W13" s="17"/>
      <c r="X13" s="50"/>
      <c r="Y13" s="17"/>
      <c r="Z13" s="50"/>
      <c r="AA13" s="17"/>
      <c r="AB13" s="50"/>
      <c r="AC13" s="17"/>
    </row>
    <row r="14" spans="1:37" s="49" customFormat="1" ht="23.25" customHeight="1" thickBot="1">
      <c r="A14" s="48"/>
      <c r="B14" s="49" t="s">
        <v>97</v>
      </c>
      <c r="O14" s="17"/>
      <c r="Q14" s="14"/>
      <c r="R14" s="50"/>
      <c r="S14" s="17"/>
      <c r="T14" s="50"/>
      <c r="U14" s="17"/>
      <c r="V14" s="50"/>
      <c r="W14" s="17"/>
      <c r="X14" s="50"/>
      <c r="Y14" s="17"/>
      <c r="Z14" s="50"/>
      <c r="AA14" s="17"/>
      <c r="AB14" s="50"/>
      <c r="AC14" s="17"/>
    </row>
    <row r="15" spans="1:37" s="49" customFormat="1" ht="45">
      <c r="A15" s="51"/>
      <c r="D15" s="52"/>
      <c r="E15" s="53" t="s">
        <v>19</v>
      </c>
      <c r="F15" s="42" t="str">
        <f>CONCATENATE(" Volume for ",$E$9, " samples")</f>
        <v xml:space="preserve"> Volume for  samples</v>
      </c>
      <c r="O15" s="17"/>
      <c r="Q15" s="14"/>
      <c r="R15" s="50"/>
      <c r="S15" s="17"/>
      <c r="T15" s="50"/>
      <c r="U15" s="17"/>
      <c r="V15" s="50"/>
      <c r="W15" s="17"/>
      <c r="X15" s="50"/>
      <c r="Y15" s="17"/>
      <c r="Z15" s="50"/>
      <c r="AA15" s="17"/>
      <c r="AB15" s="50"/>
      <c r="AC15" s="17"/>
    </row>
    <row r="16" spans="1:37" s="49" customFormat="1" ht="23.25" customHeight="1">
      <c r="A16" s="51"/>
      <c r="D16" s="18" t="s">
        <v>54</v>
      </c>
      <c r="E16" s="54">
        <v>44</v>
      </c>
      <c r="F16" s="71">
        <f>E16*$E$9/40</f>
        <v>0</v>
      </c>
      <c r="G16" s="54" t="s">
        <v>18</v>
      </c>
      <c r="O16" s="17"/>
      <c r="Q16" s="14"/>
      <c r="R16" s="50"/>
      <c r="S16" s="17"/>
      <c r="T16" s="50"/>
      <c r="U16" s="17"/>
      <c r="V16" s="50"/>
      <c r="W16" s="17"/>
      <c r="X16" s="50"/>
      <c r="Y16" s="17"/>
      <c r="Z16" s="50"/>
      <c r="AA16" s="17"/>
      <c r="AB16" s="50"/>
      <c r="AC16" s="17"/>
    </row>
    <row r="17" spans="1:29" s="49" customFormat="1" ht="23.25" customHeight="1" thickBot="1">
      <c r="A17" s="51"/>
      <c r="D17" s="62" t="s">
        <v>98</v>
      </c>
      <c r="E17" s="54">
        <v>1</v>
      </c>
      <c r="F17" s="71">
        <f>E17*$E$9/40</f>
        <v>0</v>
      </c>
      <c r="G17" s="54" t="s">
        <v>18</v>
      </c>
      <c r="O17" s="17"/>
      <c r="Q17" s="14"/>
      <c r="R17" s="50"/>
      <c r="S17" s="17"/>
      <c r="T17" s="50"/>
      <c r="U17" s="17"/>
      <c r="V17" s="50"/>
      <c r="W17" s="17"/>
      <c r="X17" s="50"/>
      <c r="Y17" s="17"/>
      <c r="Z17" s="50"/>
      <c r="AA17" s="17"/>
      <c r="AB17" s="50"/>
      <c r="AC17" s="17"/>
    </row>
    <row r="18" spans="1:29" s="49" customFormat="1" ht="32.25" customHeight="1" thickBot="1">
      <c r="A18"/>
      <c r="D18" s="63" t="s">
        <v>109</v>
      </c>
      <c r="E18" s="55">
        <v>5</v>
      </c>
      <c r="F18" s="72">
        <f>E18*$E$9/40</f>
        <v>0</v>
      </c>
      <c r="G18" s="55" t="s">
        <v>18</v>
      </c>
      <c r="O18" s="17"/>
      <c r="Q18" s="14"/>
      <c r="R18" s="50"/>
      <c r="S18" s="17"/>
      <c r="T18" s="50"/>
      <c r="U18" s="17"/>
      <c r="V18" s="50"/>
      <c r="W18" s="17"/>
      <c r="X18" s="50"/>
      <c r="Y18" s="17"/>
      <c r="Z18" s="50"/>
      <c r="AA18" s="17"/>
      <c r="AB18" s="50"/>
      <c r="AC18" s="17"/>
    </row>
    <row r="19" spans="1:29" s="49" customFormat="1" ht="30.95" customHeight="1" thickBot="1">
      <c r="A19" s="51"/>
      <c r="D19" s="56"/>
      <c r="E19" s="57">
        <f>SUM(E16:E18)</f>
        <v>50</v>
      </c>
      <c r="F19" s="71">
        <f>SUM(F16:F18)</f>
        <v>0</v>
      </c>
      <c r="G19" s="58" t="s">
        <v>18</v>
      </c>
      <c r="H19" s="9" t="s">
        <v>99</v>
      </c>
      <c r="O19" s="17"/>
    </row>
    <row r="20" spans="1:29" ht="26.25" customHeight="1" thickBot="1">
      <c r="A20" s="10"/>
      <c r="B20" s="2" t="str">
        <f>CONCATENATE("Prepare the following Mastermix (P) and pipet X µL of Cell priming solution into each well of row A of MM plate")</f>
        <v>Prepare the following Mastermix (P) and pipet X µL of Cell priming solution into each well of row A of MM plate</v>
      </c>
      <c r="C20" s="2"/>
      <c r="D20" s="2"/>
      <c r="E20" s="2"/>
      <c r="O20" s="17"/>
    </row>
    <row r="21" spans="1:29" ht="14.1" customHeight="1">
      <c r="A21" s="87">
        <v>1</v>
      </c>
      <c r="B21" s="87">
        <v>2</v>
      </c>
      <c r="C21" s="87">
        <v>3</v>
      </c>
      <c r="D21" s="87">
        <v>4</v>
      </c>
      <c r="E21" s="87">
        <v>5</v>
      </c>
      <c r="F21" s="87">
        <v>6</v>
      </c>
      <c r="G21" s="87">
        <v>7</v>
      </c>
      <c r="H21" s="87">
        <v>8</v>
      </c>
      <c r="I21" s="87">
        <v>9</v>
      </c>
      <c r="J21" s="87">
        <v>10</v>
      </c>
      <c r="K21" s="87">
        <v>11</v>
      </c>
      <c r="L21" s="87">
        <v>12</v>
      </c>
      <c r="M21" s="18" t="s">
        <v>143</v>
      </c>
    </row>
    <row r="22" spans="1:29" s="78" customFormat="1" ht="20.100000000000001" customHeight="1" thickBot="1">
      <c r="A22" s="88">
        <f>(SUM($E$26:$E$27)*A$11*1.1)</f>
        <v>0</v>
      </c>
      <c r="B22" s="88">
        <f t="shared" ref="B22:L22" si="0">(SUM($E$26:$E$27)*B$11*1.1)</f>
        <v>0</v>
      </c>
      <c r="C22" s="88">
        <f t="shared" si="0"/>
        <v>0</v>
      </c>
      <c r="D22" s="88">
        <f t="shared" si="0"/>
        <v>0</v>
      </c>
      <c r="E22" s="88">
        <f t="shared" si="0"/>
        <v>0</v>
      </c>
      <c r="F22" s="88">
        <f t="shared" si="0"/>
        <v>0</v>
      </c>
      <c r="G22" s="88">
        <f t="shared" si="0"/>
        <v>0</v>
      </c>
      <c r="H22" s="88">
        <f t="shared" si="0"/>
        <v>0</v>
      </c>
      <c r="I22" s="88">
        <f t="shared" si="0"/>
        <v>0</v>
      </c>
      <c r="J22" s="88">
        <f t="shared" si="0"/>
        <v>0</v>
      </c>
      <c r="K22" s="88">
        <f t="shared" si="0"/>
        <v>0</v>
      </c>
      <c r="L22" s="88">
        <f t="shared" si="0"/>
        <v>0</v>
      </c>
      <c r="M22" s="89" t="s">
        <v>18</v>
      </c>
    </row>
    <row r="23" spans="1:29" s="49" customFormat="1" ht="26.25" customHeight="1" thickBot="1">
      <c r="A23" s="48"/>
      <c r="B23" s="52" t="s">
        <v>147</v>
      </c>
      <c r="C23" s="52"/>
      <c r="D23" s="52"/>
      <c r="E23" s="52"/>
      <c r="O23" s="17"/>
    </row>
    <row r="24" spans="1:29" ht="45.75" thickBot="1">
      <c r="A24"/>
      <c r="B24" s="2"/>
      <c r="C24" s="2"/>
      <c r="D24" s="2"/>
      <c r="E24" s="38" t="s">
        <v>19</v>
      </c>
      <c r="F24" s="42" t="str">
        <f>CONCATENATE(" Volume for ",$E$9, " samples")</f>
        <v xml:space="preserve"> Volume for  samples</v>
      </c>
      <c r="O24" s="17"/>
    </row>
    <row r="25" spans="1:29" ht="26.25" customHeight="1" thickBot="1">
      <c r="A25" s="10"/>
      <c r="B25" s="2" t="s">
        <v>93</v>
      </c>
      <c r="D25" s="18" t="s">
        <v>8</v>
      </c>
      <c r="E25" s="19">
        <v>4</v>
      </c>
      <c r="F25" s="20" t="s">
        <v>85</v>
      </c>
      <c r="G25" s="43" t="s">
        <v>18</v>
      </c>
      <c r="O25" s="17"/>
      <c r="Q25" s="2"/>
    </row>
    <row r="26" spans="1:29" ht="32.25" customHeight="1" thickBot="1">
      <c r="A26" s="11"/>
      <c r="B26" s="2"/>
      <c r="D26" s="69" t="s">
        <v>108</v>
      </c>
      <c r="E26" s="20">
        <v>1</v>
      </c>
      <c r="F26" s="73">
        <f t="shared" ref="F26:F27" si="1">E26*$E$9*1.1</f>
        <v>0</v>
      </c>
      <c r="G26" s="43" t="s">
        <v>18</v>
      </c>
      <c r="O26" s="17"/>
      <c r="Q26" s="2"/>
    </row>
    <row r="27" spans="1:29" ht="33" customHeight="1" thickBot="1">
      <c r="A27" s="11"/>
      <c r="B27" s="2"/>
      <c r="D27" s="63" t="s">
        <v>43</v>
      </c>
      <c r="E27" s="31">
        <v>1</v>
      </c>
      <c r="F27" s="74">
        <f t="shared" si="1"/>
        <v>0</v>
      </c>
      <c r="G27" s="44" t="s">
        <v>18</v>
      </c>
      <c r="O27" s="17"/>
    </row>
    <row r="28" spans="1:29" ht="22.5" customHeight="1" thickBot="1">
      <c r="A28" s="11"/>
      <c r="B28" s="2"/>
      <c r="D28" s="23"/>
      <c r="E28" s="24">
        <f>SUM(E25:E27)</f>
        <v>6</v>
      </c>
      <c r="F28" s="73">
        <f>SUM(F26:F27)</f>
        <v>0</v>
      </c>
      <c r="G28" s="45" t="s">
        <v>18</v>
      </c>
      <c r="H28" s="3" t="s">
        <v>9</v>
      </c>
      <c r="O28" s="17"/>
    </row>
    <row r="29" spans="1:29" ht="26.25" customHeight="1" thickBot="1">
      <c r="A29" s="10"/>
      <c r="B29" s="2" t="s">
        <v>17</v>
      </c>
      <c r="D29" s="37" t="s">
        <v>44</v>
      </c>
      <c r="E29" s="2"/>
      <c r="F29" s="26"/>
      <c r="O29" s="17"/>
    </row>
    <row r="30" spans="1:29" ht="26.25" customHeight="1" thickBot="1">
      <c r="A30" s="11"/>
      <c r="B30" s="2"/>
      <c r="D30" s="25" t="s">
        <v>10</v>
      </c>
      <c r="E30" s="2" t="s">
        <v>45</v>
      </c>
      <c r="F30" s="2" t="s">
        <v>46</v>
      </c>
      <c r="O30" s="17"/>
    </row>
    <row r="31" spans="1:29" ht="26.25" customHeight="1" thickBot="1">
      <c r="A31" s="10"/>
      <c r="B31" s="2" t="str">
        <f>IF(F9=TRUE,CONCATENATE("Prepare Mastermix (RT) according to the following table and pipet ",FIXED($E$9*E43/12)," µL into each well of row B of MM plate"),CONCATENATE("Prepare Mastermix (RT) according to the following table and pipet ",FIXED(($G$9+1)*E43*1.1)," µL into first ",$H$9," wells and ",FIXED(($G$9)*E43*1.1)," µL into the other wells of MM plate row B"))</f>
        <v>Prepare Mastermix (RT) according to the following table and pipet 0.00 µL into each well of row B of MM plate</v>
      </c>
      <c r="D31" s="2"/>
      <c r="E31" s="2"/>
    </row>
    <row r="32" spans="1:29" ht="14.1" customHeight="1">
      <c r="A32" s="87">
        <v>1</v>
      </c>
      <c r="B32" s="87">
        <v>2</v>
      </c>
      <c r="C32" s="87">
        <v>3</v>
      </c>
      <c r="D32" s="87">
        <v>4</v>
      </c>
      <c r="E32" s="87">
        <v>5</v>
      </c>
      <c r="F32" s="87">
        <v>6</v>
      </c>
      <c r="G32" s="87">
        <v>7</v>
      </c>
      <c r="H32" s="87">
        <v>8</v>
      </c>
      <c r="I32" s="87">
        <v>9</v>
      </c>
      <c r="J32" s="87">
        <v>10</v>
      </c>
      <c r="K32" s="87">
        <v>11</v>
      </c>
      <c r="L32" s="87">
        <v>12</v>
      </c>
      <c r="M32" s="18" t="s">
        <v>143</v>
      </c>
    </row>
    <row r="33" spans="1:13" s="78" customFormat="1" ht="20.100000000000001" customHeight="1">
      <c r="A33" s="88">
        <f>($E$43*A$11*1.1)</f>
        <v>0</v>
      </c>
      <c r="B33" s="88">
        <f t="shared" ref="B33:L33" si="2">($E$43*B$11*1.1)</f>
        <v>0</v>
      </c>
      <c r="C33" s="88">
        <f t="shared" si="2"/>
        <v>0</v>
      </c>
      <c r="D33" s="88">
        <f t="shared" si="2"/>
        <v>0</v>
      </c>
      <c r="E33" s="88">
        <f t="shared" si="2"/>
        <v>0</v>
      </c>
      <c r="F33" s="88">
        <f t="shared" si="2"/>
        <v>0</v>
      </c>
      <c r="G33" s="88">
        <f t="shared" si="2"/>
        <v>0</v>
      </c>
      <c r="H33" s="88">
        <f t="shared" si="2"/>
        <v>0</v>
      </c>
      <c r="I33" s="88">
        <f t="shared" si="2"/>
        <v>0</v>
      </c>
      <c r="J33" s="88">
        <f t="shared" si="2"/>
        <v>0</v>
      </c>
      <c r="K33" s="88">
        <f t="shared" si="2"/>
        <v>0</v>
      </c>
      <c r="L33" s="88">
        <f t="shared" si="2"/>
        <v>0</v>
      </c>
      <c r="M33" s="89" t="s">
        <v>18</v>
      </c>
    </row>
    <row r="34" spans="1:13" ht="41.45" customHeight="1">
      <c r="A34" s="11"/>
      <c r="B34" s="2"/>
      <c r="D34" s="2"/>
      <c r="E34" s="38" t="s">
        <v>19</v>
      </c>
      <c r="F34" s="42" t="str">
        <f>CONCATENATE(" Volume for ", E9, " samples")</f>
        <v xml:space="preserve"> Volume for  samples</v>
      </c>
    </row>
    <row r="35" spans="1:13" ht="24.75" customHeight="1">
      <c r="A35" s="11"/>
      <c r="B35" s="2"/>
      <c r="C35" s="144" t="s">
        <v>47</v>
      </c>
      <c r="D35" s="144"/>
      <c r="E35" s="19">
        <v>2</v>
      </c>
      <c r="F35" s="75">
        <f t="shared" ref="F35:F41" si="3">E35*$E$9*1.1</f>
        <v>0</v>
      </c>
      <c r="G35" s="43" t="s">
        <v>18</v>
      </c>
    </row>
    <row r="36" spans="1:13" ht="24.75" customHeight="1">
      <c r="A36" s="11"/>
      <c r="B36" s="2"/>
      <c r="C36" s="144" t="s">
        <v>48</v>
      </c>
      <c r="D36" s="144"/>
      <c r="E36" s="19">
        <v>0.1</v>
      </c>
      <c r="F36" s="75">
        <f t="shared" si="3"/>
        <v>0</v>
      </c>
      <c r="G36" s="43" t="s">
        <v>18</v>
      </c>
    </row>
    <row r="37" spans="1:13" ht="24.75" customHeight="1">
      <c r="A37" s="11"/>
      <c r="B37" s="2"/>
      <c r="C37" s="144" t="s">
        <v>50</v>
      </c>
      <c r="D37" s="144"/>
      <c r="E37" s="19">
        <v>2</v>
      </c>
      <c r="F37" s="75">
        <f t="shared" si="3"/>
        <v>0</v>
      </c>
      <c r="G37" s="43" t="s">
        <v>18</v>
      </c>
    </row>
    <row r="38" spans="1:13" ht="24.75" customHeight="1">
      <c r="A38" s="11"/>
      <c r="B38" s="2"/>
      <c r="C38" s="144" t="s">
        <v>51</v>
      </c>
      <c r="D38" s="144"/>
      <c r="E38" s="19">
        <v>0.06</v>
      </c>
      <c r="F38" s="75">
        <f t="shared" si="3"/>
        <v>0</v>
      </c>
      <c r="G38" s="43" t="s">
        <v>18</v>
      </c>
    </row>
    <row r="39" spans="1:13" ht="24.75" customHeight="1">
      <c r="A39" s="11"/>
      <c r="B39" s="2"/>
      <c r="C39" s="144" t="s">
        <v>52</v>
      </c>
      <c r="D39" s="144"/>
      <c r="E39" s="19">
        <v>0.5</v>
      </c>
      <c r="F39" s="75">
        <f t="shared" si="3"/>
        <v>0</v>
      </c>
      <c r="G39" s="43" t="s">
        <v>18</v>
      </c>
    </row>
    <row r="40" spans="1:13" ht="24.75" customHeight="1" thickBot="1">
      <c r="A40" s="11"/>
      <c r="B40" s="2"/>
      <c r="C40" s="145" t="s">
        <v>54</v>
      </c>
      <c r="D40" s="145"/>
      <c r="E40" s="22">
        <v>0.28999999999999998</v>
      </c>
      <c r="F40" s="76">
        <f t="shared" ref="F40" si="4">E40*$E$9*1.1</f>
        <v>0</v>
      </c>
      <c r="G40" s="46" t="s">
        <v>18</v>
      </c>
      <c r="H40" s="49" t="s">
        <v>100</v>
      </c>
    </row>
    <row r="41" spans="1:13" ht="24.75" customHeight="1">
      <c r="A41" s="11"/>
      <c r="B41" s="2"/>
      <c r="C41" s="146" t="s">
        <v>53</v>
      </c>
      <c r="D41" s="146"/>
      <c r="E41" s="27">
        <v>0.25</v>
      </c>
      <c r="F41" s="77">
        <f t="shared" si="3"/>
        <v>0</v>
      </c>
      <c r="G41" s="45" t="s">
        <v>18</v>
      </c>
    </row>
    <row r="42" spans="1:13" ht="24.75" customHeight="1" thickBot="1">
      <c r="A42" s="11"/>
      <c r="B42" s="2"/>
      <c r="C42" s="147" t="s">
        <v>49</v>
      </c>
      <c r="D42" s="147"/>
      <c r="E42" s="22">
        <v>0.5</v>
      </c>
      <c r="F42" s="76">
        <f>E42*$E$9*1.1</f>
        <v>0</v>
      </c>
      <c r="G42" s="46" t="s">
        <v>18</v>
      </c>
    </row>
    <row r="43" spans="1:13" ht="26.25" customHeight="1" thickBot="1">
      <c r="A43" s="11"/>
      <c r="D43" s="23"/>
      <c r="E43" s="24">
        <f>SUM(E35:E42)</f>
        <v>5.6999999999999993</v>
      </c>
      <c r="F43" s="77">
        <f>SUM(F35:F42)</f>
        <v>0</v>
      </c>
      <c r="G43" s="45" t="s">
        <v>18</v>
      </c>
      <c r="H43" s="3" t="s">
        <v>20</v>
      </c>
    </row>
    <row r="44" spans="1:13" ht="26.25" customHeight="1" thickBot="1">
      <c r="A44" s="10"/>
      <c r="B44" s="79" t="s">
        <v>91</v>
      </c>
      <c r="F44" s="25" t="s">
        <v>55</v>
      </c>
    </row>
    <row r="45" spans="1:13" ht="26.25" customHeight="1">
      <c r="A45"/>
      <c r="B45"/>
      <c r="F45" s="39" t="s">
        <v>56</v>
      </c>
      <c r="G45" s="111" t="s">
        <v>101</v>
      </c>
    </row>
    <row r="46" spans="1:13" ht="26.25" customHeight="1">
      <c r="A46"/>
      <c r="B46"/>
      <c r="F46" s="39" t="s">
        <v>57</v>
      </c>
      <c r="G46" s="113"/>
    </row>
    <row r="47" spans="1:13" ht="26.25" customHeight="1">
      <c r="A47"/>
      <c r="B47"/>
      <c r="F47" s="25" t="s">
        <v>58</v>
      </c>
      <c r="G47"/>
    </row>
    <row r="48" spans="1:13" ht="26.25" customHeight="1" thickBot="1">
      <c r="A48"/>
      <c r="B48"/>
      <c r="F48" s="25" t="s">
        <v>10</v>
      </c>
      <c r="G48"/>
    </row>
    <row r="49" spans="1:14" ht="26.25" customHeight="1" thickBot="1">
      <c r="B49" s="135" t="s">
        <v>16</v>
      </c>
      <c r="C49" s="136"/>
      <c r="D49" s="136"/>
      <c r="E49" s="136"/>
      <c r="F49" s="136"/>
      <c r="G49" s="136"/>
      <c r="H49" s="136"/>
      <c r="I49" s="136"/>
      <c r="J49" s="136"/>
      <c r="K49" s="136"/>
      <c r="L49" s="136"/>
      <c r="M49" s="137"/>
    </row>
    <row r="50" spans="1:14" ht="26.25" customHeight="1" thickBot="1">
      <c r="A50" s="10"/>
      <c r="B50" s="52" t="s">
        <v>102</v>
      </c>
    </row>
    <row r="51" spans="1:14" ht="26.25" customHeight="1">
      <c r="B51" s="47"/>
      <c r="C51" s="13">
        <v>1</v>
      </c>
      <c r="D51" s="13">
        <v>2</v>
      </c>
      <c r="E51" s="13">
        <v>3</v>
      </c>
      <c r="F51" s="13">
        <v>4</v>
      </c>
      <c r="G51" s="13">
        <v>5</v>
      </c>
      <c r="H51" s="13">
        <v>6</v>
      </c>
      <c r="I51" s="13">
        <v>7</v>
      </c>
      <c r="J51" s="13">
        <v>8</v>
      </c>
      <c r="K51" s="13">
        <v>9</v>
      </c>
      <c r="L51" s="13">
        <v>10</v>
      </c>
      <c r="M51" s="13">
        <v>11</v>
      </c>
      <c r="N51" s="13">
        <v>12</v>
      </c>
    </row>
    <row r="52" spans="1:14" ht="26.25" customHeight="1">
      <c r="B52" s="14" t="s">
        <v>0</v>
      </c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</row>
    <row r="53" spans="1:14" ht="26.25" customHeight="1">
      <c r="B53" s="14" t="s">
        <v>1</v>
      </c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</row>
    <row r="54" spans="1:14" ht="26.25" customHeight="1">
      <c r="B54" s="14" t="s">
        <v>2</v>
      </c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</row>
    <row r="55" spans="1:14" ht="26.25" customHeight="1">
      <c r="B55" s="14" t="s">
        <v>3</v>
      </c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</row>
    <row r="56" spans="1:14" ht="26.25" customHeight="1">
      <c r="B56" s="14" t="s">
        <v>4</v>
      </c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</row>
    <row r="57" spans="1:14" ht="26.25" customHeight="1">
      <c r="B57" s="14" t="s">
        <v>5</v>
      </c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</row>
    <row r="58" spans="1:14" ht="26.25" customHeight="1">
      <c r="B58" s="14" t="s">
        <v>6</v>
      </c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</row>
    <row r="59" spans="1:14" ht="26.25" customHeight="1" thickBot="1">
      <c r="B59" s="14" t="s">
        <v>7</v>
      </c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16"/>
    </row>
    <row r="60" spans="1:14" ht="26.25" customHeight="1" thickBot="1">
      <c r="A60"/>
      <c r="B60" s="141" t="s">
        <v>59</v>
      </c>
      <c r="C60" s="142"/>
      <c r="D60" s="142"/>
      <c r="E60" s="142"/>
      <c r="F60" s="142"/>
      <c r="G60" s="142"/>
      <c r="H60" s="142"/>
      <c r="I60" s="142"/>
      <c r="J60" s="142"/>
      <c r="K60" s="142"/>
      <c r="L60" s="142"/>
      <c r="M60" s="143"/>
    </row>
    <row r="61" spans="1:14" ht="26.25" customHeight="1" thickBot="1">
      <c r="A61" s="10"/>
      <c r="B61" s="52" t="s">
        <v>105</v>
      </c>
      <c r="D61" s="29"/>
    </row>
    <row r="62" spans="1:14" ht="30.75" customHeight="1">
      <c r="A62"/>
      <c r="B62" s="64"/>
      <c r="C62" s="64"/>
      <c r="D62" s="40"/>
      <c r="E62" s="67" t="s">
        <v>106</v>
      </c>
      <c r="F62" s="66"/>
      <c r="H62" s="64"/>
      <c r="I62" s="64"/>
      <c r="J62" s="64"/>
      <c r="K62" s="64"/>
      <c r="L62" s="64"/>
      <c r="M62" s="64"/>
    </row>
    <row r="63" spans="1:14" ht="38.25">
      <c r="A63"/>
      <c r="B63" s="64"/>
      <c r="C63" s="64"/>
      <c r="D63" s="61" t="s">
        <v>110</v>
      </c>
      <c r="E63" s="75">
        <v>5</v>
      </c>
      <c r="F63" s="65" t="s">
        <v>18</v>
      </c>
      <c r="H63" s="64"/>
      <c r="I63" s="64"/>
      <c r="J63" s="64"/>
      <c r="K63" s="64"/>
      <c r="L63" s="64"/>
      <c r="M63" s="64"/>
    </row>
    <row r="64" spans="1:14" ht="19.5" thickBot="1">
      <c r="A64"/>
      <c r="B64" s="64"/>
      <c r="C64" s="64"/>
      <c r="D64" s="21" t="s">
        <v>92</v>
      </c>
      <c r="E64" s="76">
        <v>45</v>
      </c>
      <c r="F64" s="46" t="s">
        <v>18</v>
      </c>
      <c r="H64" s="64"/>
      <c r="I64" s="64"/>
      <c r="J64" s="64"/>
      <c r="K64" s="64"/>
      <c r="L64" s="64"/>
      <c r="M64" s="64"/>
    </row>
    <row r="65" spans="1:13" ht="26.25" customHeight="1" thickBot="1">
      <c r="A65"/>
      <c r="B65" s="64"/>
      <c r="C65" s="64"/>
      <c r="D65" s="23"/>
      <c r="E65" s="77">
        <f>SUM(E63:E64)</f>
        <v>50</v>
      </c>
      <c r="F65" s="45" t="s">
        <v>18</v>
      </c>
      <c r="H65" s="64"/>
      <c r="I65" s="64"/>
      <c r="J65" s="64"/>
      <c r="K65" s="64"/>
      <c r="L65" s="64"/>
      <c r="M65" s="64"/>
    </row>
    <row r="66" spans="1:13" ht="26.25" customHeight="1" thickBot="1">
      <c r="A66" s="10"/>
      <c r="B66" s="2" t="str">
        <f>IF($F$9=TRUE,CONCATENATE("Prepare Mastermix (PCR) according to the following table and pipet ",FIXED($E$9*E71/12*1.1)," µL into each well of row C of MM plate"),CONCATENATE("Prepare Mastermix (PCR) according to the following table and pipet ",FIXED(($G$9+1)*E71*1.1)," µL into first ",$H$9," wells and ",FIXED(($G$9)*E71*1.1)," µL into the other wells of MM plate row C"))</f>
        <v>Prepare Mastermix (PCR) according to the following table and pipet 0.00 µL into each well of row C of MM plate</v>
      </c>
      <c r="D66" s="29"/>
    </row>
    <row r="67" spans="1:13" ht="42.75" customHeight="1">
      <c r="A67"/>
      <c r="B67" s="2"/>
      <c r="D67" s="40"/>
      <c r="E67" s="38" t="s">
        <v>19</v>
      </c>
      <c r="F67" s="42" t="str">
        <f>CONCATENATE(" Volume for ", $E$9, " samples")</f>
        <v xml:space="preserve"> Volume for  samples</v>
      </c>
    </row>
    <row r="68" spans="1:13" ht="15.75">
      <c r="A68"/>
      <c r="B68" s="2"/>
      <c r="D68" s="36" t="s">
        <v>60</v>
      </c>
      <c r="E68" s="19">
        <v>12.5</v>
      </c>
      <c r="F68" s="75">
        <f t="shared" ref="F68:F70" si="5">E68*$E$9*1.1</f>
        <v>0</v>
      </c>
      <c r="G68" s="65" t="s">
        <v>18</v>
      </c>
    </row>
    <row r="69" spans="1:13" ht="38.25">
      <c r="A69"/>
      <c r="B69" s="2"/>
      <c r="D69" s="61" t="s">
        <v>111</v>
      </c>
      <c r="E69" s="19">
        <v>0.25</v>
      </c>
      <c r="F69" s="75">
        <f t="shared" si="5"/>
        <v>0</v>
      </c>
      <c r="G69" s="43" t="s">
        <v>18</v>
      </c>
    </row>
    <row r="70" spans="1:13" ht="18.75" thickBot="1">
      <c r="A70"/>
      <c r="B70" s="2"/>
      <c r="D70" s="68" t="s">
        <v>107</v>
      </c>
      <c r="E70" s="22">
        <v>2.25</v>
      </c>
      <c r="F70" s="76">
        <f t="shared" si="5"/>
        <v>0</v>
      </c>
      <c r="G70" s="46" t="s">
        <v>18</v>
      </c>
    </row>
    <row r="71" spans="1:13" ht="26.25" customHeight="1" thickBot="1">
      <c r="A71"/>
      <c r="B71" s="2"/>
      <c r="D71" s="23"/>
      <c r="E71" s="27">
        <f>SUM(E68:E70)</f>
        <v>15</v>
      </c>
      <c r="F71" s="77">
        <f>SUM(F68:F70)</f>
        <v>0</v>
      </c>
      <c r="G71" s="45" t="s">
        <v>18</v>
      </c>
    </row>
    <row r="72" spans="1:13" ht="26.25" customHeight="1" thickBot="1">
      <c r="A72" s="10"/>
      <c r="B72" s="28" t="s">
        <v>17</v>
      </c>
      <c r="D72" s="37" t="s">
        <v>61</v>
      </c>
      <c r="E72"/>
      <c r="I72" s="18" t="s">
        <v>148</v>
      </c>
      <c r="J72" s="18" t="s">
        <v>149</v>
      </c>
    </row>
    <row r="73" spans="1:13" ht="26.25" customHeight="1">
      <c r="A73" s="11"/>
      <c r="B73" s="28"/>
      <c r="D73" s="39" t="s">
        <v>62</v>
      </c>
      <c r="E73" s="111" t="s">
        <v>63</v>
      </c>
      <c r="I73" s="54" t="s">
        <v>151</v>
      </c>
      <c r="J73" s="34">
        <v>14</v>
      </c>
    </row>
    <row r="74" spans="1:13" ht="26.25" customHeight="1">
      <c r="A74" s="11"/>
      <c r="B74" s="28"/>
      <c r="D74" s="41" t="s">
        <v>64</v>
      </c>
      <c r="E74" s="112"/>
      <c r="I74" s="54" t="s">
        <v>150</v>
      </c>
      <c r="J74" s="34">
        <v>19</v>
      </c>
    </row>
    <row r="75" spans="1:13" ht="26.25" customHeight="1">
      <c r="A75" s="11"/>
      <c r="B75" s="28"/>
      <c r="D75" s="39" t="s">
        <v>65</v>
      </c>
      <c r="E75" s="113"/>
      <c r="I75" s="54" t="s">
        <v>152</v>
      </c>
      <c r="J75" s="34">
        <v>20</v>
      </c>
    </row>
    <row r="76" spans="1:13" ht="26.25" customHeight="1">
      <c r="A76" s="11"/>
      <c r="D76" s="37" t="s">
        <v>66</v>
      </c>
      <c r="E76"/>
      <c r="I76" s="54" t="s">
        <v>153</v>
      </c>
      <c r="J76" s="54" t="s">
        <v>154</v>
      </c>
    </row>
    <row r="77" spans="1:13" ht="26.25" customHeight="1" thickBot="1">
      <c r="A77" s="11"/>
      <c r="D77" s="25" t="s">
        <v>10</v>
      </c>
      <c r="E77"/>
    </row>
    <row r="78" spans="1:13" ht="26.25" customHeight="1" thickBot="1">
      <c r="A78" s="30"/>
      <c r="B78" s="151" t="s">
        <v>95</v>
      </c>
      <c r="C78" s="152"/>
      <c r="D78" s="152"/>
      <c r="E78" s="152"/>
      <c r="F78" s="152"/>
      <c r="G78" s="152"/>
      <c r="H78" s="152"/>
      <c r="I78" s="152"/>
      <c r="J78" s="152"/>
      <c r="K78" s="152"/>
      <c r="L78" s="152"/>
      <c r="M78" s="153"/>
    </row>
    <row r="79" spans="1:13" ht="26.25" customHeight="1" thickBot="1">
      <c r="A79" s="35"/>
      <c r="B79" s="126" t="s">
        <v>94</v>
      </c>
      <c r="C79" s="118"/>
      <c r="D79" s="118"/>
      <c r="E79" s="118"/>
      <c r="F79" s="118"/>
      <c r="G79" s="118"/>
      <c r="H79" s="118"/>
      <c r="I79" s="118"/>
      <c r="J79" s="118"/>
      <c r="K79" s="118"/>
      <c r="L79" s="118"/>
      <c r="M79" s="119"/>
    </row>
    <row r="80" spans="1:13" ht="26.25" customHeight="1" thickBot="1">
      <c r="A80" s="11"/>
      <c r="B80" s="154" t="s">
        <v>96</v>
      </c>
      <c r="C80" s="155"/>
      <c r="D80" s="155"/>
      <c r="E80" s="155"/>
      <c r="F80" s="155"/>
      <c r="G80" s="155"/>
      <c r="H80" s="155"/>
      <c r="I80" s="155"/>
      <c r="J80" s="155"/>
      <c r="K80" s="155"/>
      <c r="L80" s="155"/>
      <c r="M80" s="156"/>
    </row>
    <row r="81" spans="1:13" ht="26.25" customHeight="1" thickBot="1">
      <c r="A81" s="10"/>
      <c r="B81" s="60" t="s">
        <v>67</v>
      </c>
    </row>
    <row r="82" spans="1:13" ht="26.25" customHeight="1" thickBot="1">
      <c r="A82" s="10"/>
      <c r="B82" s="2" t="str">
        <f>IF($F$9=TRUE,CONCATENATE("Prepare Mastermix (F) according to the following table and pipet ",FIXED($E$9*E88/12*1.1)," µL into each well of row D of MM plate"),CONCATENATE("Prepare Mastermix (F) according to the following table and pipet ",FIXED(($G$9+1)*E88*1.1)," µL into first ",$H$9," wells and ",FIXED(($G$9)*E88*1.1)," µL into the other wells of MM plate row D"))</f>
        <v>Prepare Mastermix (F) according to the following table and pipet 0.00 µL into each well of row D of MM plate</v>
      </c>
    </row>
    <row r="83" spans="1:13" ht="30" customHeight="1">
      <c r="A83" s="11"/>
      <c r="E83" s="70" t="s">
        <v>19</v>
      </c>
      <c r="F83" s="42" t="str">
        <f>CONCATENATE(" Volume for ", $E$9, " samples")</f>
        <v xml:space="preserve"> Volume for  samples</v>
      </c>
    </row>
    <row r="84" spans="1:13" ht="23.45" customHeight="1">
      <c r="A84" s="11"/>
      <c r="C84" s="120" t="s">
        <v>68</v>
      </c>
      <c r="D84" s="120"/>
      <c r="E84" s="19">
        <v>0.2</v>
      </c>
      <c r="F84" s="75">
        <f t="shared" ref="F84:F87" si="6">E84*$E$9*1.1</f>
        <v>0</v>
      </c>
      <c r="G84" s="43" t="s">
        <v>18</v>
      </c>
    </row>
    <row r="85" spans="1:13" ht="26.25" customHeight="1">
      <c r="A85" s="11"/>
      <c r="C85" s="120" t="s">
        <v>69</v>
      </c>
      <c r="D85" s="120"/>
      <c r="E85" s="19">
        <v>1.8</v>
      </c>
      <c r="F85" s="75">
        <f t="shared" si="6"/>
        <v>0</v>
      </c>
      <c r="G85" s="43" t="s">
        <v>18</v>
      </c>
    </row>
    <row r="86" spans="1:13" ht="23.25" customHeight="1">
      <c r="A86" s="11"/>
      <c r="C86" s="120" t="s">
        <v>103</v>
      </c>
      <c r="D86" s="120"/>
      <c r="E86" s="19">
        <v>2</v>
      </c>
      <c r="F86" s="75">
        <f t="shared" si="6"/>
        <v>0</v>
      </c>
      <c r="G86" s="43" t="s">
        <v>18</v>
      </c>
    </row>
    <row r="87" spans="1:13" ht="24.75" customHeight="1" thickBot="1">
      <c r="C87" s="121" t="s">
        <v>70</v>
      </c>
      <c r="D87" s="122"/>
      <c r="E87" s="22">
        <v>2</v>
      </c>
      <c r="F87" s="76">
        <f t="shared" si="6"/>
        <v>0</v>
      </c>
      <c r="G87" s="46" t="s">
        <v>18</v>
      </c>
    </row>
    <row r="88" spans="1:13" ht="21" customHeight="1" thickBot="1">
      <c r="A88" s="11"/>
      <c r="C88"/>
      <c r="D88" s="23"/>
      <c r="E88" s="27">
        <f>SUM(E84:E87)</f>
        <v>6</v>
      </c>
      <c r="F88" s="77">
        <f>SUM(F84:F87)</f>
        <v>0</v>
      </c>
      <c r="G88" s="45" t="s">
        <v>18</v>
      </c>
      <c r="H88" s="3" t="s">
        <v>9</v>
      </c>
    </row>
    <row r="89" spans="1:13" ht="26.25" customHeight="1" thickBot="1">
      <c r="A89" s="10"/>
      <c r="B89" s="52" t="s">
        <v>112</v>
      </c>
      <c r="F89" s="37" t="s">
        <v>71</v>
      </c>
    </row>
    <row r="90" spans="1:13" customFormat="1" ht="26.25" customHeight="1" thickBot="1">
      <c r="F90" s="25" t="s">
        <v>72</v>
      </c>
    </row>
    <row r="91" spans="1:13" ht="26.25" customHeight="1" thickBot="1">
      <c r="A91" s="10"/>
      <c r="B91" s="2" t="str">
        <f>IF($F$9=TRUE,CONCATENATE("Pipet ",FIXED($E$9*2.5/12*1.1)," µL of 0.2% SDS into each well of row E of MM plate"),CONCATENATE("Pipet ",FIXED(($G$9+1)*2.5*1.1)," µL of 0.2% SDS into first ",$H$9," wells and ",FIXED(($G$9)*2.5*1.1)," µL into the other wells of MM plate row E"))</f>
        <v>Pipet 0.00 µL of 0.2% SDS into each well of row E of MM plate</v>
      </c>
      <c r="F91" s="37"/>
    </row>
    <row r="92" spans="1:13" ht="26.25" customHeight="1" thickBot="1">
      <c r="A92" s="10"/>
      <c r="B92" s="2" t="s">
        <v>73</v>
      </c>
      <c r="F92" s="37"/>
    </row>
    <row r="93" spans="1:13" ht="26.25" customHeight="1" thickBot="1">
      <c r="A93" s="10"/>
      <c r="B93" s="2" t="s">
        <v>17</v>
      </c>
      <c r="D93" s="29" t="s">
        <v>74</v>
      </c>
    </row>
    <row r="94" spans="1:13" ht="26.25" customHeight="1" thickBot="1">
      <c r="A94" s="11"/>
      <c r="D94" s="29" t="s">
        <v>10</v>
      </c>
    </row>
    <row r="95" spans="1:13" ht="24.95" customHeight="1" thickBot="1">
      <c r="A95" s="11"/>
      <c r="B95" s="123" t="s">
        <v>75</v>
      </c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5"/>
    </row>
    <row r="96" spans="1:13" ht="24.95" customHeight="1" thickBot="1">
      <c r="A96" s="10"/>
      <c r="B96" s="2" t="str">
        <f>IF($F$9=TRUE,CONCATENATE("Prepare Mastermix (P) according to the following table and pipet ",FIXED(E9*20/12*1.1)," µL of P into each well of row F of MM plate"),CONCATENATE("Prepare Mastermix (P) according to the following table and pipet ",FIXED((G9+1)*20*1.1)," µL of P into first ",H9," wells and ",FIXED((G9)*(20)*1.1)," µL into the other wells of MM plate row F"))</f>
        <v>Prepare Mastermix (P) according to the following table and pipet 0.00 µL of P into each well of row F of MM plate</v>
      </c>
    </row>
    <row r="97" spans="1:14" s="49" customFormat="1" ht="24.95" customHeight="1" thickBot="1">
      <c r="A97" s="48"/>
      <c r="B97" s="52" t="s">
        <v>155</v>
      </c>
    </row>
    <row r="98" spans="1:14" ht="42" customHeight="1">
      <c r="A98" s="11"/>
      <c r="B98" s="33"/>
      <c r="D98" s="49"/>
      <c r="E98" s="53" t="s">
        <v>19</v>
      </c>
      <c r="F98" s="42" t="str">
        <f>CONCATENATE(" Volume for ", $E$9, " samples")</f>
        <v xml:space="preserve"> Volume for  samples</v>
      </c>
      <c r="G98" s="49"/>
    </row>
    <row r="99" spans="1:14" ht="17.45" customHeight="1">
      <c r="A99" s="11"/>
      <c r="D99" s="18" t="s">
        <v>11</v>
      </c>
      <c r="E99" s="91">
        <v>12.5</v>
      </c>
      <c r="F99" s="54" t="s">
        <v>85</v>
      </c>
      <c r="G99" s="65" t="s">
        <v>18</v>
      </c>
    </row>
    <row r="100" spans="1:14" ht="28.5" customHeight="1" thickBot="1">
      <c r="A100" s="11"/>
      <c r="D100" s="21" t="s">
        <v>14</v>
      </c>
      <c r="E100" s="92">
        <v>2.5</v>
      </c>
      <c r="F100" s="93" t="s">
        <v>85</v>
      </c>
      <c r="G100" s="94" t="s">
        <v>18</v>
      </c>
    </row>
    <row r="101" spans="1:14" ht="21" customHeight="1">
      <c r="A101" s="11"/>
      <c r="D101" s="102" t="s">
        <v>76</v>
      </c>
      <c r="E101" s="95">
        <v>17.5</v>
      </c>
      <c r="F101" s="96">
        <f>E101*$E$9*1.1</f>
        <v>0</v>
      </c>
      <c r="G101" s="97" t="s">
        <v>18</v>
      </c>
    </row>
    <row r="102" spans="1:14" ht="18.95" customHeight="1" thickBot="1">
      <c r="A102" s="11"/>
      <c r="D102" s="21" t="s">
        <v>92</v>
      </c>
      <c r="E102" s="92">
        <v>2.5</v>
      </c>
      <c r="F102" s="98">
        <f t="shared" ref="F102" si="7">E102*$E$9*1.1</f>
        <v>0</v>
      </c>
      <c r="G102" s="99" t="s">
        <v>18</v>
      </c>
    </row>
    <row r="103" spans="1:14" ht="26.25" customHeight="1" thickBot="1">
      <c r="A103" s="11"/>
      <c r="D103" s="56"/>
      <c r="E103" s="100">
        <f>SUM(E99:E102)</f>
        <v>35</v>
      </c>
      <c r="F103" s="96">
        <f>F101+F102</f>
        <v>0</v>
      </c>
      <c r="G103" s="101" t="s">
        <v>18</v>
      </c>
    </row>
    <row r="104" spans="1:14" ht="26.25" customHeight="1" thickBot="1">
      <c r="A104" s="35"/>
      <c r="B104" s="28" t="s">
        <v>23</v>
      </c>
      <c r="G104" s="3" t="s">
        <v>22</v>
      </c>
      <c r="H104" s="32"/>
    </row>
    <row r="105" spans="1:14" ht="17.45" customHeight="1">
      <c r="A105" s="11"/>
      <c r="B105" s="12"/>
      <c r="C105" s="13">
        <v>1</v>
      </c>
      <c r="D105" s="13">
        <v>2</v>
      </c>
      <c r="E105" s="13">
        <v>3</v>
      </c>
      <c r="F105" s="13">
        <v>4</v>
      </c>
      <c r="G105" s="13">
        <v>5</v>
      </c>
      <c r="H105" s="13">
        <v>6</v>
      </c>
      <c r="I105" s="13">
        <v>7</v>
      </c>
      <c r="J105" s="13">
        <v>8</v>
      </c>
      <c r="K105" s="13">
        <v>9</v>
      </c>
      <c r="L105" s="13">
        <v>10</v>
      </c>
      <c r="M105" s="13">
        <v>11</v>
      </c>
      <c r="N105" s="13">
        <v>12</v>
      </c>
    </row>
    <row r="106" spans="1:14" ht="20.25" customHeight="1">
      <c r="A106" s="11"/>
      <c r="B106" s="14" t="s">
        <v>0</v>
      </c>
      <c r="C106" s="15" t="e">
        <f>IF(ISNUMBER($E$9),prep_table!$AD$2,prep_table!$AD$2)</f>
        <v>#DIV/0!</v>
      </c>
      <c r="D106" s="16" t="e">
        <f>IF(ISNUMBER($E$9),prep_table!$AD$3,prep_table!$AD$10)</f>
        <v>#DIV/0!</v>
      </c>
      <c r="E106" s="15" t="e">
        <f>IF(ISNUMBER($E$9),prep_table!$AD$4,prep_table!$AD$18)</f>
        <v>#DIV/0!</v>
      </c>
      <c r="F106" s="16" t="e">
        <f>IF(ISNUMBER($E$9),prep_table!$AD$5,prep_table!$AD$26)</f>
        <v>#DIV/0!</v>
      </c>
      <c r="G106" s="15" t="e">
        <f>IF(ISNUMBER($E$9),prep_table!$AD$6,prep_table!$AD$34)</f>
        <v>#DIV/0!</v>
      </c>
      <c r="H106" s="16" t="e">
        <f>IF(ISNUMBER($E$9),prep_table!$AD$7,prep_table!$AD$42)</f>
        <v>#DIV/0!</v>
      </c>
      <c r="I106" s="15" t="e">
        <f>IF(ISNUMBER($E$9),prep_table!$AD$8,prep_table!$AD$50)</f>
        <v>#DIV/0!</v>
      </c>
      <c r="J106" s="16" t="e">
        <f>IF(ISNUMBER($E$9),prep_table!$AD$9,prep_table!$AD$58)</f>
        <v>#DIV/0!</v>
      </c>
      <c r="K106" s="15" t="e">
        <f>IF(ISNUMBER($E$9),prep_table!$AD$10,prep_table!$AD$66)</f>
        <v>#DIV/0!</v>
      </c>
      <c r="L106" s="16" t="e">
        <f>IF(ISNUMBER($E$9),prep_table!$AD$11,prep_table!$AD$74)</f>
        <v>#DIV/0!</v>
      </c>
      <c r="M106" s="15" t="e">
        <f>IF(ISNUMBER($E$9),prep_table!$AD$12,prep_table!$AD$82)</f>
        <v>#DIV/0!</v>
      </c>
      <c r="N106" s="16" t="e">
        <f>IF(ISNUMBER($E$9),prep_table!$AD$13,prep_table!$AD$90)</f>
        <v>#DIV/0!</v>
      </c>
    </row>
    <row r="107" spans="1:14" ht="20.25" customHeight="1">
      <c r="B107" s="14" t="s">
        <v>1</v>
      </c>
      <c r="C107" s="15" t="e">
        <f>IF(ISNUMBER($E$9),prep_table!$AD$14,prep_table!$AD$3)</f>
        <v>#DIV/0!</v>
      </c>
      <c r="D107" s="16" t="e">
        <f>IF(ISNUMBER($E$9),prep_table!$AD$15,prep_table!$AD$11)</f>
        <v>#DIV/0!</v>
      </c>
      <c r="E107" s="15" t="e">
        <f>IF(ISNUMBER($E$9),prep_table!$AD$16,prep_table!$AD$19)</f>
        <v>#DIV/0!</v>
      </c>
      <c r="F107" s="16" t="e">
        <f>IF(ISNUMBER($E$9),prep_table!$AD$17,prep_table!$AD$27)</f>
        <v>#DIV/0!</v>
      </c>
      <c r="G107" s="15" t="e">
        <f>IF(ISNUMBER($E$9),prep_table!$AD$18,prep_table!$AD$35)</f>
        <v>#DIV/0!</v>
      </c>
      <c r="H107" s="16" t="e">
        <f>IF(ISNUMBER($E$9),prep_table!$AD$19,prep_table!$AD$43)</f>
        <v>#DIV/0!</v>
      </c>
      <c r="I107" s="15" t="e">
        <f>IF(ISNUMBER($E$9),prep_table!$AD$20,prep_table!$AD$51)</f>
        <v>#DIV/0!</v>
      </c>
      <c r="J107" s="16" t="e">
        <f>IF(ISNUMBER($E$9),prep_table!$AD$21,prep_table!$AD$59)</f>
        <v>#DIV/0!</v>
      </c>
      <c r="K107" s="15" t="e">
        <f>IF(ISNUMBER($E$9),prep_table!$AD$22,prep_table!$AD$67)</f>
        <v>#DIV/0!</v>
      </c>
      <c r="L107" s="16" t="e">
        <f>IF(ISNUMBER($E$9),prep_table!$AD$23,prep_table!$AD$75)</f>
        <v>#DIV/0!</v>
      </c>
      <c r="M107" s="15" t="e">
        <f>IF(ISNUMBER($E$9),prep_table!$AD$24,prep_table!$AD$83)</f>
        <v>#DIV/0!</v>
      </c>
      <c r="N107" s="16" t="e">
        <f>IF(ISNUMBER($E$9),prep_table!$AD$25,prep_table!$AD$91)</f>
        <v>#DIV/0!</v>
      </c>
    </row>
    <row r="108" spans="1:14" ht="20.25" customHeight="1">
      <c r="B108" s="14" t="s">
        <v>2</v>
      </c>
      <c r="C108" s="15" t="e">
        <f>IF(ISNUMBER($E$9),prep_table!$AD$26,prep_table!$AD$4)</f>
        <v>#DIV/0!</v>
      </c>
      <c r="D108" s="16" t="e">
        <f>IF(ISNUMBER($E$9),prep_table!$AD$27,prep_table!$AD$12)</f>
        <v>#DIV/0!</v>
      </c>
      <c r="E108" s="15" t="e">
        <f>IF(ISNUMBER($E$9),prep_table!$AD$28,prep_table!$AD$20)</f>
        <v>#DIV/0!</v>
      </c>
      <c r="F108" s="16" t="e">
        <f>IF(ISNUMBER($E$9),prep_table!$AD$29,prep_table!$AD$28)</f>
        <v>#DIV/0!</v>
      </c>
      <c r="G108" s="15" t="e">
        <f>IF(ISNUMBER($E$9),prep_table!$AD$30,prep_table!$AD$36)</f>
        <v>#DIV/0!</v>
      </c>
      <c r="H108" s="16" t="e">
        <f>IF(ISNUMBER($E$9),prep_table!$AD$31,prep_table!$AD$44)</f>
        <v>#DIV/0!</v>
      </c>
      <c r="I108" s="15" t="e">
        <f>IF(ISNUMBER($E$9),prep_table!$AD$32,prep_table!$AD$52)</f>
        <v>#DIV/0!</v>
      </c>
      <c r="J108" s="16" t="e">
        <f>IF(ISNUMBER($E$9),prep_table!$AD$33,prep_table!$AD$60)</f>
        <v>#DIV/0!</v>
      </c>
      <c r="K108" s="15" t="e">
        <f>IF(ISNUMBER($E$9),prep_table!$AD$34,prep_table!$AD$68)</f>
        <v>#DIV/0!</v>
      </c>
      <c r="L108" s="16" t="e">
        <f>IF(ISNUMBER($E$9),prep_table!$AD$35,prep_table!$AD$76)</f>
        <v>#DIV/0!</v>
      </c>
      <c r="M108" s="15" t="e">
        <f>IF(ISNUMBER($E$9),prep_table!$AD$36,prep_table!$AD$84)</f>
        <v>#DIV/0!</v>
      </c>
      <c r="N108" s="16" t="e">
        <f>IF(ISNUMBER($E$9),prep_table!$AD$37,prep_table!$AD$92)</f>
        <v>#DIV/0!</v>
      </c>
    </row>
    <row r="109" spans="1:14" ht="20.25" customHeight="1">
      <c r="B109" s="14" t="s">
        <v>3</v>
      </c>
      <c r="C109" s="15" t="e">
        <f>IF(ISNUMBER($E$9),prep_table!$AD$38,prep_table!$AD$5)</f>
        <v>#DIV/0!</v>
      </c>
      <c r="D109" s="16" t="e">
        <f>IF(ISNUMBER($E$9),prep_table!$AD$39,prep_table!$AD$13)</f>
        <v>#DIV/0!</v>
      </c>
      <c r="E109" s="15" t="e">
        <f>IF(ISNUMBER($E$9),prep_table!$AD$40,prep_table!$AD$21)</f>
        <v>#DIV/0!</v>
      </c>
      <c r="F109" s="16" t="e">
        <f>IF(ISNUMBER($E$9),prep_table!$AD$41,prep_table!$AD$29)</f>
        <v>#DIV/0!</v>
      </c>
      <c r="G109" s="15" t="e">
        <f>IF(ISNUMBER($E$9),prep_table!$AD$42,prep_table!$AD$37)</f>
        <v>#DIV/0!</v>
      </c>
      <c r="H109" s="16" t="e">
        <f>IF(ISNUMBER($E$9),prep_table!$AD$43,prep_table!$AD$45)</f>
        <v>#DIV/0!</v>
      </c>
      <c r="I109" s="15" t="e">
        <f>IF(ISNUMBER($E$9),prep_table!$AD$44,prep_table!$AD$53)</f>
        <v>#DIV/0!</v>
      </c>
      <c r="J109" s="16" t="e">
        <f>IF(ISNUMBER($E$9),prep_table!$AD$45,prep_table!$AD$61)</f>
        <v>#DIV/0!</v>
      </c>
      <c r="K109" s="15" t="e">
        <f>IF(ISNUMBER($E$9),prep_table!$AD$46,prep_table!$AD$69)</f>
        <v>#DIV/0!</v>
      </c>
      <c r="L109" s="16" t="e">
        <f>IF(ISNUMBER($E$9),prep_table!$AD$47,prep_table!$AD$77)</f>
        <v>#DIV/0!</v>
      </c>
      <c r="M109" s="15" t="e">
        <f>IF(ISNUMBER($E$9),prep_table!$AD$48,prep_table!$AD$85)</f>
        <v>#DIV/0!</v>
      </c>
      <c r="N109" s="16" t="e">
        <f>IF(ISNUMBER($E$9),prep_table!$AD$49,prep_table!$AD$93)</f>
        <v>#DIV/0!</v>
      </c>
    </row>
    <row r="110" spans="1:14" ht="20.25" customHeight="1">
      <c r="B110" s="14" t="s">
        <v>4</v>
      </c>
      <c r="C110" s="15" t="e">
        <f>IF(ISNUMBER($E$9),prep_table!$AD$50,prep_table!$AD$6)</f>
        <v>#DIV/0!</v>
      </c>
      <c r="D110" s="16" t="e">
        <f>IF(ISNUMBER($E$9),prep_table!$AD$51,prep_table!$AD$14)</f>
        <v>#DIV/0!</v>
      </c>
      <c r="E110" s="15" t="e">
        <f>IF(ISNUMBER($E$9),prep_table!$AD$52,prep_table!$AD$22)</f>
        <v>#DIV/0!</v>
      </c>
      <c r="F110" s="16" t="e">
        <f>IF(ISNUMBER($E$9),prep_table!$AD$53,prep_table!$AD$30)</f>
        <v>#DIV/0!</v>
      </c>
      <c r="G110" s="15" t="e">
        <f>IF(ISNUMBER($E$9),prep_table!$AD$54,prep_table!$AD$38)</f>
        <v>#DIV/0!</v>
      </c>
      <c r="H110" s="16" t="e">
        <f>IF(ISNUMBER($E$9),prep_table!$AD$55,prep_table!$AD$46)</f>
        <v>#DIV/0!</v>
      </c>
      <c r="I110" s="15" t="e">
        <f>IF(ISNUMBER($E$9),prep_table!$AD$56,prep_table!$AD$54)</f>
        <v>#DIV/0!</v>
      </c>
      <c r="J110" s="16" t="e">
        <f>IF(ISNUMBER($E$9),prep_table!$AD$57,prep_table!$AD$62)</f>
        <v>#DIV/0!</v>
      </c>
      <c r="K110" s="15" t="e">
        <f>IF(ISNUMBER($E$9),prep_table!$AD$58,prep_table!$AD$70)</f>
        <v>#DIV/0!</v>
      </c>
      <c r="L110" s="16" t="e">
        <f>IF(ISNUMBER($E$9),prep_table!$AD$59,prep_table!$AD$78)</f>
        <v>#DIV/0!</v>
      </c>
      <c r="M110" s="15" t="e">
        <f>IF(ISNUMBER($E$9),prep_table!$AD$60,prep_table!$AD$86)</f>
        <v>#DIV/0!</v>
      </c>
      <c r="N110" s="16" t="e">
        <f>IF(ISNUMBER($E$9),prep_table!$AD$61,prep_table!$AD$94)</f>
        <v>#DIV/0!</v>
      </c>
    </row>
    <row r="111" spans="1:14" ht="20.25" customHeight="1">
      <c r="B111" s="14" t="s">
        <v>5</v>
      </c>
      <c r="C111" s="15" t="e">
        <f>IF(ISNUMBER($E$9),prep_table!$AD$62,prep_table!$AD$7)</f>
        <v>#DIV/0!</v>
      </c>
      <c r="D111" s="16" t="e">
        <f>IF(ISNUMBER($E$9),prep_table!$AD$63,prep_table!$AD$15)</f>
        <v>#DIV/0!</v>
      </c>
      <c r="E111" s="15" t="e">
        <f>IF(ISNUMBER($E$9),prep_table!$AD$64,prep_table!$AD$23)</f>
        <v>#DIV/0!</v>
      </c>
      <c r="F111" s="16" t="e">
        <f>IF(ISNUMBER($E$9),prep_table!$AD$65,prep_table!$AD$31)</f>
        <v>#DIV/0!</v>
      </c>
      <c r="G111" s="15" t="e">
        <f>IF(ISNUMBER($E$9),prep_table!$AD$66,prep_table!$AD$39)</f>
        <v>#DIV/0!</v>
      </c>
      <c r="H111" s="16" t="e">
        <f>IF(ISNUMBER($E$9),prep_table!$AD$67,prep_table!$AD$47)</f>
        <v>#DIV/0!</v>
      </c>
      <c r="I111" s="15" t="e">
        <f>IF(ISNUMBER($E$9),prep_table!$AD$68,prep_table!$AD$55)</f>
        <v>#DIV/0!</v>
      </c>
      <c r="J111" s="16" t="e">
        <f>IF(ISNUMBER($E$9),prep_table!$AD$69,prep_table!$AD$63)</f>
        <v>#DIV/0!</v>
      </c>
      <c r="K111" s="15" t="e">
        <f>IF(ISNUMBER($E$9),prep_table!$AD$70,prep_table!$AD$71)</f>
        <v>#DIV/0!</v>
      </c>
      <c r="L111" s="16" t="e">
        <f>IF(ISNUMBER($E$9),prep_table!$AD$71,prep_table!$AD$79)</f>
        <v>#DIV/0!</v>
      </c>
      <c r="M111" s="15" t="e">
        <f>IF(ISNUMBER($E$9),prep_table!$AD$72,prep_table!$AD$87)</f>
        <v>#DIV/0!</v>
      </c>
      <c r="N111" s="16" t="e">
        <f>IF(ISNUMBER($E$9),prep_table!$AD$73,prep_table!$AD$95)</f>
        <v>#DIV/0!</v>
      </c>
    </row>
    <row r="112" spans="1:14" ht="20.25" customHeight="1">
      <c r="B112" s="14" t="s">
        <v>6</v>
      </c>
      <c r="C112" s="15" t="e">
        <f>IF(ISNUMBER($E$9),prep_table!$AD$74,prep_table!$AD$8)</f>
        <v>#DIV/0!</v>
      </c>
      <c r="D112" s="16" t="e">
        <f>IF(ISNUMBER($E$9),prep_table!$AD$75,prep_table!$AD$16)</f>
        <v>#DIV/0!</v>
      </c>
      <c r="E112" s="15" t="e">
        <f>IF(ISNUMBER($E$9),prep_table!$AD$76,prep_table!$AD$24)</f>
        <v>#DIV/0!</v>
      </c>
      <c r="F112" s="16" t="e">
        <f>IF(ISNUMBER($E$9),prep_table!$AD$77,prep_table!$AD$32)</f>
        <v>#DIV/0!</v>
      </c>
      <c r="G112" s="15" t="e">
        <f>IF(ISNUMBER($E$9),prep_table!$AD$78,prep_table!$AD$40)</f>
        <v>#DIV/0!</v>
      </c>
      <c r="H112" s="16" t="e">
        <f>IF(ISNUMBER($E$9),prep_table!$AD$79,prep_table!$AD$48)</f>
        <v>#DIV/0!</v>
      </c>
      <c r="I112" s="15" t="e">
        <f>IF(ISNUMBER($E$9),prep_table!$AD$80,prep_table!$AD$56)</f>
        <v>#DIV/0!</v>
      </c>
      <c r="J112" s="16" t="e">
        <f>IF(ISNUMBER($E$9),prep_table!$AD$81,prep_table!$AD$64)</f>
        <v>#DIV/0!</v>
      </c>
      <c r="K112" s="15" t="e">
        <f>IF(ISNUMBER($E$9),prep_table!$AD$82,prep_table!$AD$72)</f>
        <v>#DIV/0!</v>
      </c>
      <c r="L112" s="16" t="e">
        <f>IF(ISNUMBER($E$9),prep_table!$AD$83,prep_table!$AD$80)</f>
        <v>#DIV/0!</v>
      </c>
      <c r="M112" s="15" t="e">
        <f>IF(ISNUMBER($E$9),prep_table!$AD$84,prep_table!$AD$88)</f>
        <v>#DIV/0!</v>
      </c>
      <c r="N112" s="16" t="e">
        <f>IF(ISNUMBER($E$9),prep_table!$AD$85,prep_table!$AD$96)</f>
        <v>#DIV/0!</v>
      </c>
    </row>
    <row r="113" spans="1:14" ht="20.25" customHeight="1" thickBot="1">
      <c r="B113" s="14" t="s">
        <v>7</v>
      </c>
      <c r="C113" s="15" t="e">
        <f>IF(ISNUMBER($E$9),prep_table!$AD$86,prep_table!$AD$9)</f>
        <v>#DIV/0!</v>
      </c>
      <c r="D113" s="16" t="e">
        <f>IF(ISNUMBER($E$9),prep_table!$AD$87,prep_table!$AD$17)</f>
        <v>#DIV/0!</v>
      </c>
      <c r="E113" s="15" t="e">
        <f>IF(ISNUMBER($E$9),prep_table!$AD$88,prep_table!$AD$25)</f>
        <v>#DIV/0!</v>
      </c>
      <c r="F113" s="16" t="e">
        <f>IF(ISNUMBER($E$9),prep_table!$AD$89,prep_table!$AD$33)</f>
        <v>#DIV/0!</v>
      </c>
      <c r="G113" s="15" t="e">
        <f>IF(ISNUMBER($E$9),prep_table!$AD$90,prep_table!$AD$41)</f>
        <v>#DIV/0!</v>
      </c>
      <c r="H113" s="16" t="e">
        <f>IF(ISNUMBER($E$9),prep_table!$AD$91,prep_table!$AD$49)</f>
        <v>#DIV/0!</v>
      </c>
      <c r="I113" s="15" t="e">
        <f>IF(ISNUMBER($E$9),prep_table!$AD$92,prep_table!$AD$57)</f>
        <v>#DIV/0!</v>
      </c>
      <c r="J113" s="16" t="e">
        <f>IF(ISNUMBER($E$9),prep_table!$AD$93,prep_table!$AD$65)</f>
        <v>#DIV/0!</v>
      </c>
      <c r="K113" s="15" t="e">
        <f>IF(ISNUMBER($E$9),prep_table!$AD$94,prep_table!$AD$73)</f>
        <v>#DIV/0!</v>
      </c>
      <c r="L113" s="16" t="e">
        <f>IF(ISNUMBER($E$9),prep_table!$AD$95,prep_table!$AD$81)</f>
        <v>#DIV/0!</v>
      </c>
      <c r="M113" s="15" t="e">
        <f>IF(ISNUMBER($E$9),prep_table!$AD$96,prep_table!$AD$89)</f>
        <v>#DIV/0!</v>
      </c>
      <c r="N113" s="16" t="e">
        <f>IF(ISNUMBER($E$9),prep_table!$AD$97,prep_table!$AD$97)</f>
        <v>#DIV/0!</v>
      </c>
    </row>
    <row r="114" spans="1:14" ht="26.25" customHeight="1" thickBot="1">
      <c r="A114" s="10"/>
      <c r="B114" s="2" t="s">
        <v>21</v>
      </c>
      <c r="F114" s="25" t="s">
        <v>77</v>
      </c>
      <c r="G114"/>
    </row>
    <row r="115" spans="1:14" ht="26.25" customHeight="1">
      <c r="A115" s="11"/>
      <c r="F115" s="25" t="s">
        <v>78</v>
      </c>
      <c r="G115"/>
    </row>
    <row r="116" spans="1:14" ht="26.25" customHeight="1">
      <c r="A116" s="11"/>
      <c r="F116" s="83" t="s">
        <v>79</v>
      </c>
      <c r="G116" s="111" t="s">
        <v>80</v>
      </c>
    </row>
    <row r="117" spans="1:14" ht="26.25" customHeight="1">
      <c r="A117" s="11"/>
      <c r="F117" s="84" t="s">
        <v>81</v>
      </c>
      <c r="G117" s="112"/>
    </row>
    <row r="118" spans="1:14" ht="26.25" customHeight="1">
      <c r="A118" s="11"/>
      <c r="F118" s="85" t="s">
        <v>82</v>
      </c>
      <c r="G118" s="113"/>
    </row>
    <row r="119" spans="1:14" ht="26.25" customHeight="1">
      <c r="A119" s="11"/>
      <c r="F119" s="25" t="s">
        <v>83</v>
      </c>
      <c r="G119"/>
    </row>
    <row r="120" spans="1:14" ht="26.25" customHeight="1" thickBot="1">
      <c r="A120" s="11"/>
      <c r="F120" s="25" t="s">
        <v>10</v>
      </c>
      <c r="G120"/>
    </row>
    <row r="121" spans="1:14" ht="26.25" customHeight="1" thickBot="1">
      <c r="A121" s="10"/>
      <c r="B121" s="114" t="s">
        <v>87</v>
      </c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6"/>
    </row>
    <row r="122" spans="1:14" ht="26.25" customHeight="1" thickBot="1">
      <c r="A122" s="35"/>
      <c r="B122" s="117" t="s">
        <v>24</v>
      </c>
      <c r="C122" s="118"/>
      <c r="D122" s="118"/>
      <c r="E122" s="118"/>
      <c r="F122" s="118"/>
      <c r="G122" s="118"/>
      <c r="H122" s="118"/>
      <c r="I122" s="118"/>
      <c r="J122" s="118"/>
      <c r="K122" s="118"/>
      <c r="L122" s="118"/>
      <c r="M122" s="119"/>
    </row>
    <row r="123" spans="1:14" ht="26.25" customHeight="1">
      <c r="B123" s="3" t="s">
        <v>39</v>
      </c>
    </row>
    <row r="124" spans="1:14" ht="26.25" customHeight="1">
      <c r="B124" s="12"/>
      <c r="C124" s="13">
        <v>1</v>
      </c>
      <c r="D124" s="13">
        <v>2</v>
      </c>
      <c r="E124" s="13">
        <v>3</v>
      </c>
      <c r="F124" s="13">
        <v>4</v>
      </c>
      <c r="G124" s="13">
        <v>5</v>
      </c>
      <c r="H124" s="13">
        <v>6</v>
      </c>
      <c r="I124" s="13">
        <v>7</v>
      </c>
      <c r="J124" s="13">
        <v>8</v>
      </c>
      <c r="K124" s="13">
        <v>9</v>
      </c>
      <c r="L124" s="13">
        <v>10</v>
      </c>
      <c r="M124" s="13">
        <v>11</v>
      </c>
      <c r="N124" s="13">
        <v>12</v>
      </c>
    </row>
    <row r="125" spans="1:14" ht="26.25" customHeight="1">
      <c r="B125" s="14" t="s">
        <v>0</v>
      </c>
      <c r="C125" s="15" t="e">
        <f>IF(ISNUMBER($E$9),prep_table!$AD$2,prep_table!$AD$2)</f>
        <v>#DIV/0!</v>
      </c>
      <c r="D125" s="16" t="e">
        <f>IF(ISNUMBER($E$9),prep_table!$AD$3,prep_table!$AD$10)</f>
        <v>#DIV/0!</v>
      </c>
      <c r="E125" s="15" t="e">
        <f>IF(ISNUMBER($E$9),prep_table!$AD$4,prep_table!$AD$18)</f>
        <v>#DIV/0!</v>
      </c>
      <c r="F125" s="16" t="e">
        <f>IF(ISNUMBER($E$9),prep_table!$AD$5,prep_table!$AD$26)</f>
        <v>#DIV/0!</v>
      </c>
      <c r="G125" s="15" t="e">
        <f>IF(ISNUMBER($E$9),prep_table!$AD$6,prep_table!$AD$34)</f>
        <v>#DIV/0!</v>
      </c>
      <c r="H125" s="16" t="e">
        <f>IF(ISNUMBER($E$9),prep_table!$AD$7,prep_table!$AD$42)</f>
        <v>#DIV/0!</v>
      </c>
      <c r="I125" s="15" t="e">
        <f>IF(ISNUMBER($E$9),prep_table!$AD$8,prep_table!$AD$50)</f>
        <v>#DIV/0!</v>
      </c>
      <c r="J125" s="16" t="e">
        <f>IF(ISNUMBER($E$9),prep_table!$AD$9,prep_table!$AD$58)</f>
        <v>#DIV/0!</v>
      </c>
      <c r="K125" s="15" t="e">
        <f>IF(ISNUMBER($E$9),prep_table!$AD$10,prep_table!$AD$66)</f>
        <v>#DIV/0!</v>
      </c>
      <c r="L125" s="16" t="e">
        <f>IF(ISNUMBER($E$9),prep_table!$AD$11,prep_table!$AD$74)</f>
        <v>#DIV/0!</v>
      </c>
      <c r="M125" s="15" t="e">
        <f>IF(ISNUMBER($E$9),prep_table!$AD$12,prep_table!$AD$82)</f>
        <v>#DIV/0!</v>
      </c>
      <c r="N125" s="16" t="e">
        <f>IF(ISNUMBER($E$9),prep_table!$AD$13,prep_table!$AD$90)</f>
        <v>#DIV/0!</v>
      </c>
    </row>
    <row r="126" spans="1:14" ht="26.25" customHeight="1">
      <c r="B126" s="14" t="s">
        <v>1</v>
      </c>
      <c r="C126" s="15" t="e">
        <f>IF(ISNUMBER($E$9),prep_table!$AD$14,prep_table!$AD$3)</f>
        <v>#DIV/0!</v>
      </c>
      <c r="D126" s="16" t="e">
        <f>IF(ISNUMBER($E$9),prep_table!$AD$15,prep_table!$AD$11)</f>
        <v>#DIV/0!</v>
      </c>
      <c r="E126" s="15" t="e">
        <f>IF(ISNUMBER($E$9),prep_table!$AD$16,prep_table!$AD$19)</f>
        <v>#DIV/0!</v>
      </c>
      <c r="F126" s="16" t="e">
        <f>IF(ISNUMBER($E$9),prep_table!$AD$17,prep_table!$AD$27)</f>
        <v>#DIV/0!</v>
      </c>
      <c r="G126" s="15" t="e">
        <f>IF(ISNUMBER($E$9),prep_table!$AD$18,prep_table!$AD$35)</f>
        <v>#DIV/0!</v>
      </c>
      <c r="H126" s="16" t="e">
        <f>IF(ISNUMBER($E$9),prep_table!$AD$19,prep_table!$AD$43)</f>
        <v>#DIV/0!</v>
      </c>
      <c r="I126" s="15" t="e">
        <f>IF(ISNUMBER($E$9),prep_table!$AD$20,prep_table!$AD$51)</f>
        <v>#DIV/0!</v>
      </c>
      <c r="J126" s="16" t="e">
        <f>IF(ISNUMBER($E$9),prep_table!$AD$21,prep_table!$AD$59)</f>
        <v>#DIV/0!</v>
      </c>
      <c r="K126" s="15" t="e">
        <f>IF(ISNUMBER($E$9),prep_table!$AD$22,prep_table!$AD$67)</f>
        <v>#DIV/0!</v>
      </c>
      <c r="L126" s="16" t="e">
        <f>IF(ISNUMBER($E$9),prep_table!$AD$23,prep_table!$AD$75)</f>
        <v>#DIV/0!</v>
      </c>
      <c r="M126" s="15" t="e">
        <f>IF(ISNUMBER($E$9),prep_table!$AD$24,prep_table!$AD$83)</f>
        <v>#DIV/0!</v>
      </c>
      <c r="N126" s="16" t="e">
        <f>IF(ISNUMBER($E$9),prep_table!$AD$25,prep_table!$AD$91)</f>
        <v>#DIV/0!</v>
      </c>
    </row>
    <row r="127" spans="1:14" ht="26.25" customHeight="1">
      <c r="B127" s="14" t="s">
        <v>2</v>
      </c>
      <c r="C127" s="15" t="e">
        <f>IF(ISNUMBER($E$9),prep_table!$AD$26,prep_table!$AD$4)</f>
        <v>#DIV/0!</v>
      </c>
      <c r="D127" s="16" t="e">
        <f>IF(ISNUMBER($E$9),prep_table!$AD$27,prep_table!$AD$12)</f>
        <v>#DIV/0!</v>
      </c>
      <c r="E127" s="15" t="e">
        <f>IF(ISNUMBER($E$9),prep_table!$AD$28,prep_table!$AD$20)</f>
        <v>#DIV/0!</v>
      </c>
      <c r="F127" s="16" t="e">
        <f>IF(ISNUMBER($E$9),prep_table!$AD$29,prep_table!$AD$28)</f>
        <v>#DIV/0!</v>
      </c>
      <c r="G127" s="15" t="e">
        <f>IF(ISNUMBER($E$9),prep_table!$AD$30,prep_table!$AD$36)</f>
        <v>#DIV/0!</v>
      </c>
      <c r="H127" s="16" t="e">
        <f>IF(ISNUMBER($E$9),prep_table!$AD$31,prep_table!$AD$44)</f>
        <v>#DIV/0!</v>
      </c>
      <c r="I127" s="15" t="e">
        <f>IF(ISNUMBER($E$9),prep_table!$AD$32,prep_table!$AD$52)</f>
        <v>#DIV/0!</v>
      </c>
      <c r="J127" s="16" t="e">
        <f>IF(ISNUMBER($E$9),prep_table!$AD$33,prep_table!$AD$60)</f>
        <v>#DIV/0!</v>
      </c>
      <c r="K127" s="15" t="e">
        <f>IF(ISNUMBER($E$9),prep_table!$AD$34,prep_table!$AD$68)</f>
        <v>#DIV/0!</v>
      </c>
      <c r="L127" s="16" t="e">
        <f>IF(ISNUMBER($E$9),prep_table!$AD$35,prep_table!$AD$76)</f>
        <v>#DIV/0!</v>
      </c>
      <c r="M127" s="15" t="e">
        <f>IF(ISNUMBER($E$9),prep_table!$AD$36,prep_table!$AD$84)</f>
        <v>#DIV/0!</v>
      </c>
      <c r="N127" s="16" t="e">
        <f>IF(ISNUMBER($E$9),prep_table!$AD$37,prep_table!$AD$92)</f>
        <v>#DIV/0!</v>
      </c>
    </row>
    <row r="128" spans="1:14" ht="26.25" customHeight="1">
      <c r="B128" s="14" t="s">
        <v>3</v>
      </c>
      <c r="C128" s="15" t="e">
        <f>IF(ISNUMBER($E$9),prep_table!$AD$38,prep_table!$AD$5)</f>
        <v>#DIV/0!</v>
      </c>
      <c r="D128" s="16" t="e">
        <f>IF(ISNUMBER($E$9),prep_table!$AD$39,prep_table!$AD$13)</f>
        <v>#DIV/0!</v>
      </c>
      <c r="E128" s="15" t="e">
        <f>IF(ISNUMBER($E$9),prep_table!$AD$40,prep_table!$AD$21)</f>
        <v>#DIV/0!</v>
      </c>
      <c r="F128" s="16" t="e">
        <f>IF(ISNUMBER($E$9),prep_table!$AD$41,prep_table!$AD$29)</f>
        <v>#DIV/0!</v>
      </c>
      <c r="G128" s="15" t="e">
        <f>IF(ISNUMBER($E$9),prep_table!$AD$42,prep_table!$AD$37)</f>
        <v>#DIV/0!</v>
      </c>
      <c r="H128" s="16" t="e">
        <f>IF(ISNUMBER($E$9),prep_table!$AD$43,prep_table!$AD$45)</f>
        <v>#DIV/0!</v>
      </c>
      <c r="I128" s="15" t="e">
        <f>IF(ISNUMBER($E$9),prep_table!$AD$44,prep_table!$AD$53)</f>
        <v>#DIV/0!</v>
      </c>
      <c r="J128" s="16" t="e">
        <f>IF(ISNUMBER($E$9),prep_table!$AD$45,prep_table!$AD$61)</f>
        <v>#DIV/0!</v>
      </c>
      <c r="K128" s="15" t="e">
        <f>IF(ISNUMBER($E$9),prep_table!$AD$46,prep_table!$AD$69)</f>
        <v>#DIV/0!</v>
      </c>
      <c r="L128" s="16" t="e">
        <f>IF(ISNUMBER($E$9),prep_table!$AD$47,prep_table!$AD$77)</f>
        <v>#DIV/0!</v>
      </c>
      <c r="M128" s="15" t="e">
        <f>IF(ISNUMBER($E$9),prep_table!$AD$48,prep_table!$AD$85)</f>
        <v>#DIV/0!</v>
      </c>
      <c r="N128" s="16" t="e">
        <f>IF(ISNUMBER($E$9),prep_table!$AD$49,prep_table!$AD$93)</f>
        <v>#DIV/0!</v>
      </c>
    </row>
    <row r="129" spans="1:14" ht="26.25" customHeight="1">
      <c r="B129" s="14" t="s">
        <v>4</v>
      </c>
      <c r="C129" s="15" t="e">
        <f>IF(ISNUMBER($E$9),prep_table!$AD$50,prep_table!$AD$6)</f>
        <v>#DIV/0!</v>
      </c>
      <c r="D129" s="16" t="e">
        <f>IF(ISNUMBER($E$9),prep_table!$AD$51,prep_table!$AD$14)</f>
        <v>#DIV/0!</v>
      </c>
      <c r="E129" s="15" t="e">
        <f>IF(ISNUMBER($E$9),prep_table!$AD$52,prep_table!$AD$22)</f>
        <v>#DIV/0!</v>
      </c>
      <c r="F129" s="16" t="e">
        <f>IF(ISNUMBER($E$9),prep_table!$AD$53,prep_table!$AD$30)</f>
        <v>#DIV/0!</v>
      </c>
      <c r="G129" s="15" t="e">
        <f>IF(ISNUMBER($E$9),prep_table!$AD$54,prep_table!$AD$38)</f>
        <v>#DIV/0!</v>
      </c>
      <c r="H129" s="16" t="e">
        <f>IF(ISNUMBER($E$9),prep_table!$AD$55,prep_table!$AD$46)</f>
        <v>#DIV/0!</v>
      </c>
      <c r="I129" s="15" t="e">
        <f>IF(ISNUMBER($E$9),prep_table!$AD$56,prep_table!$AD$54)</f>
        <v>#DIV/0!</v>
      </c>
      <c r="J129" s="16" t="e">
        <f>IF(ISNUMBER($E$9),prep_table!$AD$57,prep_table!$AD$62)</f>
        <v>#DIV/0!</v>
      </c>
      <c r="K129" s="15" t="e">
        <f>IF(ISNUMBER($E$9),prep_table!$AD$58,prep_table!$AD$70)</f>
        <v>#DIV/0!</v>
      </c>
      <c r="L129" s="16" t="e">
        <f>IF(ISNUMBER($E$9),prep_table!$AD$59,prep_table!$AD$78)</f>
        <v>#DIV/0!</v>
      </c>
      <c r="M129" s="15" t="e">
        <f>IF(ISNUMBER($E$9),prep_table!$AD$60,prep_table!$AD$86)</f>
        <v>#DIV/0!</v>
      </c>
      <c r="N129" s="16" t="e">
        <f>IF(ISNUMBER($E$9),prep_table!$AD$61,prep_table!$AD$94)</f>
        <v>#DIV/0!</v>
      </c>
    </row>
    <row r="130" spans="1:14" ht="26.25" customHeight="1">
      <c r="B130" s="14" t="s">
        <v>5</v>
      </c>
      <c r="C130" s="15" t="e">
        <f>IF(ISNUMBER($E$9),prep_table!$AD$62,prep_table!$AD$7)</f>
        <v>#DIV/0!</v>
      </c>
      <c r="D130" s="16" t="e">
        <f>IF(ISNUMBER($E$9),prep_table!$AD$63,prep_table!$AD$15)</f>
        <v>#DIV/0!</v>
      </c>
      <c r="E130" s="15" t="e">
        <f>IF(ISNUMBER($E$9),prep_table!$AD$64,prep_table!$AD$23)</f>
        <v>#DIV/0!</v>
      </c>
      <c r="F130" s="16" t="e">
        <f>IF(ISNUMBER($E$9),prep_table!$AD$65,prep_table!$AD$31)</f>
        <v>#DIV/0!</v>
      </c>
      <c r="G130" s="15" t="e">
        <f>IF(ISNUMBER($E$9),prep_table!$AD$66,prep_table!$AD$39)</f>
        <v>#DIV/0!</v>
      </c>
      <c r="H130" s="16" t="e">
        <f>IF(ISNUMBER($E$9),prep_table!$AD$67,prep_table!$AD$47)</f>
        <v>#DIV/0!</v>
      </c>
      <c r="I130" s="15" t="e">
        <f>IF(ISNUMBER($E$9),prep_table!$AD$68,prep_table!$AD$55)</f>
        <v>#DIV/0!</v>
      </c>
      <c r="J130" s="16" t="e">
        <f>IF(ISNUMBER($E$9),prep_table!$AD$69,prep_table!$AD$63)</f>
        <v>#DIV/0!</v>
      </c>
      <c r="K130" s="15" t="e">
        <f>IF(ISNUMBER($E$9),prep_table!$AD$70,prep_table!$AD$71)</f>
        <v>#DIV/0!</v>
      </c>
      <c r="L130" s="16" t="e">
        <f>IF(ISNUMBER($E$9),prep_table!$AD$71,prep_table!$AD$79)</f>
        <v>#DIV/0!</v>
      </c>
      <c r="M130" s="15" t="e">
        <f>IF(ISNUMBER($E$9),prep_table!$AD$72,prep_table!$AD$87)</f>
        <v>#DIV/0!</v>
      </c>
      <c r="N130" s="16" t="e">
        <f>IF(ISNUMBER($E$9),prep_table!$AD$73,prep_table!$AD$95)</f>
        <v>#DIV/0!</v>
      </c>
    </row>
    <row r="131" spans="1:14" ht="26.25" customHeight="1">
      <c r="B131" s="14" t="s">
        <v>6</v>
      </c>
      <c r="C131" s="15" t="e">
        <f>IF(ISNUMBER($E$9),prep_table!$AD$74,prep_table!$AD$8)</f>
        <v>#DIV/0!</v>
      </c>
      <c r="D131" s="16" t="e">
        <f>IF(ISNUMBER($E$9),prep_table!$AD$75,prep_table!$AD$16)</f>
        <v>#DIV/0!</v>
      </c>
      <c r="E131" s="15" t="e">
        <f>IF(ISNUMBER($E$9),prep_table!$AD$76,prep_table!$AD$24)</f>
        <v>#DIV/0!</v>
      </c>
      <c r="F131" s="16" t="e">
        <f>IF(ISNUMBER($E$9),prep_table!$AD$77,prep_table!$AD$32)</f>
        <v>#DIV/0!</v>
      </c>
      <c r="G131" s="15" t="e">
        <f>IF(ISNUMBER($E$9),prep_table!$AD$78,prep_table!$AD$40)</f>
        <v>#DIV/0!</v>
      </c>
      <c r="H131" s="16" t="e">
        <f>IF(ISNUMBER($E$9),prep_table!$AD$79,prep_table!$AD$48)</f>
        <v>#DIV/0!</v>
      </c>
      <c r="I131" s="15" t="e">
        <f>IF(ISNUMBER($E$9),prep_table!$AD$80,prep_table!$AD$56)</f>
        <v>#DIV/0!</v>
      </c>
      <c r="J131" s="16" t="e">
        <f>IF(ISNUMBER($E$9),prep_table!$AD$81,prep_table!$AD$64)</f>
        <v>#DIV/0!</v>
      </c>
      <c r="K131" s="15" t="e">
        <f>IF(ISNUMBER($E$9),prep_table!$AD$82,prep_table!$AD$72)</f>
        <v>#DIV/0!</v>
      </c>
      <c r="L131" s="16" t="e">
        <f>IF(ISNUMBER($E$9),prep_table!$AD$83,prep_table!$AD$80)</f>
        <v>#DIV/0!</v>
      </c>
      <c r="M131" s="15" t="e">
        <f>IF(ISNUMBER($E$9),prep_table!$AD$84,prep_table!$AD$88)</f>
        <v>#DIV/0!</v>
      </c>
      <c r="N131" s="16" t="e">
        <f>IF(ISNUMBER($E$9),prep_table!$AD$85,prep_table!$AD$96)</f>
        <v>#DIV/0!</v>
      </c>
    </row>
    <row r="132" spans="1:14" ht="20.25" customHeight="1" thickBot="1">
      <c r="B132" s="14" t="s">
        <v>7</v>
      </c>
      <c r="C132" s="15" t="e">
        <f>IF(ISNUMBER($E$9),prep_table!$AD$86,prep_table!$AD$9)</f>
        <v>#DIV/0!</v>
      </c>
      <c r="D132" s="16" t="e">
        <f>IF(ISNUMBER($E$9),prep_table!$AD$87,prep_table!$AD$17)</f>
        <v>#DIV/0!</v>
      </c>
      <c r="E132" s="15" t="e">
        <f>IF(ISNUMBER($E$9),prep_table!$AD$88,prep_table!$AD$25)</f>
        <v>#DIV/0!</v>
      </c>
      <c r="F132" s="16" t="e">
        <f>IF(ISNUMBER($E$9),prep_table!$AD$89,prep_table!$AD$33)</f>
        <v>#DIV/0!</v>
      </c>
      <c r="G132" s="15" t="e">
        <f>IF(ISNUMBER($E$9),prep_table!$AD$90,prep_table!$AD$41)</f>
        <v>#DIV/0!</v>
      </c>
      <c r="H132" s="16" t="e">
        <f>IF(ISNUMBER($E$9),prep_table!$AD$91,prep_table!$AD$49)</f>
        <v>#DIV/0!</v>
      </c>
      <c r="I132" s="15" t="e">
        <f>IF(ISNUMBER($E$9),prep_table!$AD$92,prep_table!$AD$57)</f>
        <v>#DIV/0!</v>
      </c>
      <c r="J132" s="16" t="e">
        <f>IF(ISNUMBER($E$9),prep_table!$AD$93,prep_table!$AD$65)</f>
        <v>#DIV/0!</v>
      </c>
      <c r="K132" s="15" t="e">
        <f>IF(ISNUMBER($E$9),prep_table!$AD$94,prep_table!$AD$73)</f>
        <v>#DIV/0!</v>
      </c>
      <c r="L132" s="16" t="e">
        <f>IF(ISNUMBER($E$9),prep_table!$AD$95,prep_table!$AD$81)</f>
        <v>#DIV/0!</v>
      </c>
      <c r="M132" s="15" t="e">
        <f>IF(ISNUMBER($E$9),prep_table!$AD$96,prep_table!$AD$89)</f>
        <v>#DIV/0!</v>
      </c>
      <c r="N132" s="16" t="e">
        <f>IF(ISNUMBER($E$9),prep_table!$AD$97,prep_table!$AD$97)</f>
        <v>#DIV/0!</v>
      </c>
    </row>
    <row r="133" spans="1:14" ht="26.25" customHeight="1" thickBot="1">
      <c r="A133" s="10"/>
      <c r="B133" s="80" t="s">
        <v>140</v>
      </c>
      <c r="E133" s="110" t="s">
        <v>136</v>
      </c>
      <c r="F133" s="110"/>
      <c r="G133" s="81" t="s">
        <v>137</v>
      </c>
    </row>
    <row r="134" spans="1:14" ht="26.1" customHeight="1">
      <c r="E134" s="109" t="s">
        <v>141</v>
      </c>
      <c r="F134" s="109"/>
      <c r="G134" s="82" t="s">
        <v>138</v>
      </c>
    </row>
    <row r="135" spans="1:14" customFormat="1" ht="26.25" customHeight="1">
      <c r="E135" s="109" t="s">
        <v>142</v>
      </c>
      <c r="F135" s="109"/>
      <c r="G135" s="82" t="s">
        <v>139</v>
      </c>
    </row>
    <row r="138" spans="1:14" ht="25.5" customHeight="1">
      <c r="C138" s="104" t="s">
        <v>29</v>
      </c>
      <c r="D138" s="104"/>
      <c r="E138" s="104"/>
      <c r="F138" s="105" t="s">
        <v>86</v>
      </c>
      <c r="G138" s="106"/>
      <c r="H138" s="106"/>
      <c r="I138" s="107"/>
    </row>
    <row r="139" spans="1:14" ht="26.25" customHeight="1">
      <c r="C139" s="103" t="s">
        <v>30</v>
      </c>
      <c r="D139" s="103"/>
      <c r="E139" s="103"/>
      <c r="F139" s="105" t="s">
        <v>27</v>
      </c>
      <c r="G139" s="106"/>
      <c r="H139" s="106"/>
      <c r="I139" s="107"/>
    </row>
    <row r="140" spans="1:14" ht="26.25" customHeight="1">
      <c r="C140" s="103" t="s">
        <v>31</v>
      </c>
      <c r="D140" s="103"/>
      <c r="E140" s="103"/>
      <c r="F140" s="105" t="s">
        <v>28</v>
      </c>
      <c r="G140" s="106"/>
      <c r="H140" s="106"/>
      <c r="I140" s="107"/>
    </row>
    <row r="141" spans="1:14" ht="51.75" customHeight="1">
      <c r="C141" s="105" t="s">
        <v>32</v>
      </c>
      <c r="D141" s="106"/>
      <c r="E141" s="107"/>
      <c r="F141" s="105" t="s">
        <v>84</v>
      </c>
      <c r="G141" s="106"/>
      <c r="H141" s="106"/>
      <c r="I141" s="107"/>
    </row>
    <row r="142" spans="1:14" ht="26.25" customHeight="1">
      <c r="C142" s="105" t="s">
        <v>33</v>
      </c>
      <c r="D142" s="106"/>
      <c r="E142" s="107"/>
      <c r="F142" s="105" t="s">
        <v>25</v>
      </c>
      <c r="G142" s="106"/>
      <c r="H142" s="106"/>
      <c r="I142" s="107"/>
    </row>
    <row r="143" spans="1:14" ht="26.25" customHeight="1">
      <c r="C143" s="105" t="s">
        <v>34</v>
      </c>
      <c r="D143" s="106"/>
      <c r="E143" s="107"/>
      <c r="F143" s="105" t="s">
        <v>104</v>
      </c>
      <c r="G143" s="106"/>
      <c r="H143" s="106"/>
      <c r="I143" s="107"/>
    </row>
    <row r="144" spans="1:14" ht="26.25" customHeight="1">
      <c r="C144" s="105" t="s">
        <v>36</v>
      </c>
      <c r="D144" s="106"/>
      <c r="E144" s="107"/>
      <c r="F144" s="105">
        <v>20250304</v>
      </c>
      <c r="G144" s="106"/>
      <c r="H144" s="106"/>
      <c r="I144" s="107"/>
    </row>
    <row r="145" spans="3:9" ht="26.25" customHeight="1">
      <c r="C145" s="105" t="s">
        <v>35</v>
      </c>
      <c r="D145" s="106"/>
      <c r="E145" s="107"/>
      <c r="F145" s="127">
        <v>20250304</v>
      </c>
      <c r="G145" s="128"/>
      <c r="H145" s="128"/>
      <c r="I145" s="129"/>
    </row>
  </sheetData>
  <mergeCells count="63">
    <mergeCell ref="C1:J1"/>
    <mergeCell ref="J4:K4"/>
    <mergeCell ref="A3:D3"/>
    <mergeCell ref="A8:D8"/>
    <mergeCell ref="A9:D9"/>
    <mergeCell ref="A2:D2"/>
    <mergeCell ref="E2:G2"/>
    <mergeCell ref="E3:G3"/>
    <mergeCell ref="E4:G4"/>
    <mergeCell ref="E5:G5"/>
    <mergeCell ref="E6:G6"/>
    <mergeCell ref="E7:G7"/>
    <mergeCell ref="E8:G8"/>
    <mergeCell ref="C84:D84"/>
    <mergeCell ref="A6:D6"/>
    <mergeCell ref="A7:D7"/>
    <mergeCell ref="B78:M78"/>
    <mergeCell ref="B80:M80"/>
    <mergeCell ref="M10:O10"/>
    <mergeCell ref="M3:N3"/>
    <mergeCell ref="B12:M12"/>
    <mergeCell ref="G45:G46"/>
    <mergeCell ref="E73:E75"/>
    <mergeCell ref="B49:M49"/>
    <mergeCell ref="A4:D4"/>
    <mergeCell ref="A5:D5"/>
    <mergeCell ref="B60:M60"/>
    <mergeCell ref="C35:D35"/>
    <mergeCell ref="C36:D36"/>
    <mergeCell ref="C37:D37"/>
    <mergeCell ref="C38:D38"/>
    <mergeCell ref="C39:D39"/>
    <mergeCell ref="C40:D40"/>
    <mergeCell ref="C41:D41"/>
    <mergeCell ref="C42:D42"/>
    <mergeCell ref="C144:E144"/>
    <mergeCell ref="F144:I144"/>
    <mergeCell ref="C145:E145"/>
    <mergeCell ref="F145:I145"/>
    <mergeCell ref="C140:E140"/>
    <mergeCell ref="F140:I140"/>
    <mergeCell ref="C141:E141"/>
    <mergeCell ref="F141:I141"/>
    <mergeCell ref="C142:E142"/>
    <mergeCell ref="F142:I142"/>
    <mergeCell ref="C143:E143"/>
    <mergeCell ref="F143:I143"/>
    <mergeCell ref="C139:E139"/>
    <mergeCell ref="C138:E138"/>
    <mergeCell ref="F139:I139"/>
    <mergeCell ref="F138:I138"/>
    <mergeCell ref="M11:O11"/>
    <mergeCell ref="E134:F134"/>
    <mergeCell ref="E135:F135"/>
    <mergeCell ref="E133:F133"/>
    <mergeCell ref="G116:G118"/>
    <mergeCell ref="B121:M121"/>
    <mergeCell ref="B122:M122"/>
    <mergeCell ref="C85:D85"/>
    <mergeCell ref="C86:D86"/>
    <mergeCell ref="C87:D87"/>
    <mergeCell ref="B95:M95"/>
    <mergeCell ref="B79:M79"/>
  </mergeCells>
  <phoneticPr fontId="4" type="noConversion"/>
  <conditionalFormatting sqref="R13:AC18">
    <cfRule type="cellIs" dxfId="5" priority="1" operator="equal">
      <formula>0</formula>
    </cfRule>
    <cfRule type="cellIs" dxfId="4" priority="2" operator="equal">
      <formula>1</formula>
    </cfRule>
    <cfRule type="cellIs" dxfId="3" priority="3" operator="equal">
      <formula>2</formula>
    </cfRule>
    <cfRule type="cellIs" dxfId="2" priority="4" operator="equal">
      <formula>3</formula>
    </cfRule>
    <cfRule type="cellIs" dxfId="1" priority="5" operator="equal">
      <formula>4</formula>
    </cfRule>
    <cfRule type="cellIs" dxfId="0" priority="6" operator="equal">
      <formula>5</formula>
    </cfRule>
  </conditionalFormatting>
  <pageMargins left="0.25" right="0" top="0.25" bottom="0.25" header="0" footer="0"/>
  <pageSetup paperSize="9" scale="60" fitToWidth="2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101" r:id="rId4" name="Check Box 5">
              <controlPr defaultSize="0" autoFill="0" autoLine="0" autoPict="0">
                <anchor moveWithCells="1">
                  <from>
                    <xdr:col>0</xdr:col>
                    <xdr:colOff>38100</xdr:colOff>
                    <xdr:row>92</xdr:row>
                    <xdr:rowOff>47625</xdr:rowOff>
                  </from>
                  <to>
                    <xdr:col>1</xdr:col>
                    <xdr:colOff>76200</xdr:colOff>
                    <xdr:row>92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2" r:id="rId5" name="Check Box 6">
              <controlPr defaultSize="0" autoFill="0" autoLine="0" autoPict="0">
                <anchor moveWithCells="1">
                  <from>
                    <xdr:col>0</xdr:col>
                    <xdr:colOff>38100</xdr:colOff>
                    <xdr:row>88</xdr:row>
                    <xdr:rowOff>47625</xdr:rowOff>
                  </from>
                  <to>
                    <xdr:col>1</xdr:col>
                    <xdr:colOff>76200</xdr:colOff>
                    <xdr:row>88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5" r:id="rId6" name="Check Box 9">
              <controlPr defaultSize="0" autoFill="0" autoLine="0" autoPict="0">
                <anchor moveWithCells="1">
                  <from>
                    <xdr:col>0</xdr:col>
                    <xdr:colOff>38100</xdr:colOff>
                    <xdr:row>77</xdr:row>
                    <xdr:rowOff>47625</xdr:rowOff>
                  </from>
                  <to>
                    <xdr:col>1</xdr:col>
                    <xdr:colOff>76200</xdr:colOff>
                    <xdr:row>77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2" r:id="rId7" name="Check Box 16">
              <controlPr defaultSize="0" autoFill="0" autoLine="0" autoPict="0">
                <anchor moveWithCells="1">
                  <from>
                    <xdr:col>0</xdr:col>
                    <xdr:colOff>38100</xdr:colOff>
                    <xdr:row>43</xdr:row>
                    <xdr:rowOff>47625</xdr:rowOff>
                  </from>
                  <to>
                    <xdr:col>1</xdr:col>
                    <xdr:colOff>76200</xdr:colOff>
                    <xdr:row>43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6" r:id="rId8" name="Check Box 20">
              <controlPr defaultSize="0" autoFill="0" autoLine="0" autoPict="0">
                <anchor moveWithCells="1">
                  <from>
                    <xdr:col>0</xdr:col>
                    <xdr:colOff>38100</xdr:colOff>
                    <xdr:row>30</xdr:row>
                    <xdr:rowOff>47625</xdr:rowOff>
                  </from>
                  <to>
                    <xdr:col>1</xdr:col>
                    <xdr:colOff>76200</xdr:colOff>
                    <xdr:row>30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7" r:id="rId9" name="Check Box 21">
              <controlPr defaultSize="0" autoFill="0" autoLine="0" autoPict="0">
                <anchor moveWithCells="1">
                  <from>
                    <xdr:col>0</xdr:col>
                    <xdr:colOff>38100</xdr:colOff>
                    <xdr:row>28</xdr:row>
                    <xdr:rowOff>47625</xdr:rowOff>
                  </from>
                  <to>
                    <xdr:col>1</xdr:col>
                    <xdr:colOff>76200</xdr:colOff>
                    <xdr:row>28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8" r:id="rId10" name="Check Box 22">
              <controlPr defaultSize="0" autoFill="0" autoLine="0" autoPict="0">
                <anchor moveWithCells="1">
                  <from>
                    <xdr:col>0</xdr:col>
                    <xdr:colOff>38100</xdr:colOff>
                    <xdr:row>24</xdr:row>
                    <xdr:rowOff>47625</xdr:rowOff>
                  </from>
                  <to>
                    <xdr:col>1</xdr:col>
                    <xdr:colOff>76200</xdr:colOff>
                    <xdr:row>24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9" r:id="rId11" name="Check Box 23">
              <controlPr defaultSize="0" autoFill="0" autoLine="0" autoPict="0">
                <anchor moveWithCells="1">
                  <from>
                    <xdr:col>0</xdr:col>
                    <xdr:colOff>38100</xdr:colOff>
                    <xdr:row>19</xdr:row>
                    <xdr:rowOff>47625</xdr:rowOff>
                  </from>
                  <to>
                    <xdr:col>1</xdr:col>
                    <xdr:colOff>76200</xdr:colOff>
                    <xdr:row>19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21" r:id="rId12" name="Check Box 25">
              <controlPr defaultSize="0" autoFill="0" autoLine="0" autoPict="0">
                <anchor moveWithCells="1">
                  <from>
                    <xdr:col>0</xdr:col>
                    <xdr:colOff>38100</xdr:colOff>
                    <xdr:row>49</xdr:row>
                    <xdr:rowOff>47625</xdr:rowOff>
                  </from>
                  <to>
                    <xdr:col>1</xdr:col>
                    <xdr:colOff>76200</xdr:colOff>
                    <xdr:row>49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22" r:id="rId13" name="Check Box 26">
              <controlPr defaultSize="0" autoFill="0" autoLine="0" autoPict="0">
                <anchor moveWithCells="1">
                  <from>
                    <xdr:col>0</xdr:col>
                    <xdr:colOff>38100</xdr:colOff>
                    <xdr:row>120</xdr:row>
                    <xdr:rowOff>47625</xdr:rowOff>
                  </from>
                  <to>
                    <xdr:col>1</xdr:col>
                    <xdr:colOff>76200</xdr:colOff>
                    <xdr:row>121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23" r:id="rId14" name="Check Box 27">
              <controlPr defaultSize="0" autoFill="0" autoLine="0" autoPict="0">
                <anchor moveWithCells="1">
                  <from>
                    <xdr:col>0</xdr:col>
                    <xdr:colOff>38100</xdr:colOff>
                    <xdr:row>121</xdr:row>
                    <xdr:rowOff>47625</xdr:rowOff>
                  </from>
                  <to>
                    <xdr:col>1</xdr:col>
                    <xdr:colOff>76200</xdr:colOff>
                    <xdr:row>122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24" r:id="rId15" name="Check Box 28">
              <controlPr defaultSize="0" autoFill="0" autoLine="0" autoPict="0">
                <anchor moveWithCells="1">
                  <from>
                    <xdr:col>0</xdr:col>
                    <xdr:colOff>38100</xdr:colOff>
                    <xdr:row>113</xdr:row>
                    <xdr:rowOff>47625</xdr:rowOff>
                  </from>
                  <to>
                    <xdr:col>1</xdr:col>
                    <xdr:colOff>76200</xdr:colOff>
                    <xdr:row>114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25" r:id="rId16" name="Check Box 29">
              <controlPr defaultSize="0" autoFill="0" autoLine="0" autoPict="0">
                <anchor moveWithCells="1">
                  <from>
                    <xdr:col>0</xdr:col>
                    <xdr:colOff>38100</xdr:colOff>
                    <xdr:row>103</xdr:row>
                    <xdr:rowOff>0</xdr:rowOff>
                  </from>
                  <to>
                    <xdr:col>1</xdr:col>
                    <xdr:colOff>114300</xdr:colOff>
                    <xdr:row>104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27" r:id="rId17" name="Check Box 31">
              <controlPr defaultSize="0" autoFill="0" autoLine="0" autoPict="0">
                <anchor moveWithCells="1">
                  <from>
                    <xdr:col>0</xdr:col>
                    <xdr:colOff>38100</xdr:colOff>
                    <xdr:row>80</xdr:row>
                    <xdr:rowOff>314325</xdr:rowOff>
                  </from>
                  <to>
                    <xdr:col>1</xdr:col>
                    <xdr:colOff>76200</xdr:colOff>
                    <xdr:row>82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28" r:id="rId18" name="Check Box 32">
              <controlPr defaultSize="0" autoFill="0" autoLine="0" autoPict="0">
                <anchor moveWithCells="1">
                  <from>
                    <xdr:col>0</xdr:col>
                    <xdr:colOff>38100</xdr:colOff>
                    <xdr:row>80</xdr:row>
                    <xdr:rowOff>47625</xdr:rowOff>
                  </from>
                  <to>
                    <xdr:col>1</xdr:col>
                    <xdr:colOff>76200</xdr:colOff>
                    <xdr:row>81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39" r:id="rId19" name="Check Box 43">
              <controlPr defaultSize="0" autoFill="0" autoLine="0" autoPict="0">
                <anchor moveWithCells="1">
                  <from>
                    <xdr:col>0</xdr:col>
                    <xdr:colOff>38100</xdr:colOff>
                    <xdr:row>89</xdr:row>
                    <xdr:rowOff>304800</xdr:rowOff>
                  </from>
                  <to>
                    <xdr:col>1</xdr:col>
                    <xdr:colOff>85725</xdr:colOff>
                    <xdr:row>91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40" r:id="rId20" name="Check Box 44">
              <controlPr defaultSize="0" autoFill="0" autoLine="0" autoPict="0">
                <anchor moveWithCells="1">
                  <from>
                    <xdr:col>0</xdr:col>
                    <xdr:colOff>38100</xdr:colOff>
                    <xdr:row>90</xdr:row>
                    <xdr:rowOff>304800</xdr:rowOff>
                  </from>
                  <to>
                    <xdr:col>1</xdr:col>
                    <xdr:colOff>85725</xdr:colOff>
                    <xdr:row>92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41" r:id="rId21" name="Check Box 45">
              <controlPr defaultSize="0" autoFill="0" autoLine="0" autoPict="0">
                <anchor moveWithCells="1">
                  <from>
                    <xdr:col>0</xdr:col>
                    <xdr:colOff>38100</xdr:colOff>
                    <xdr:row>95</xdr:row>
                    <xdr:rowOff>0</xdr:rowOff>
                  </from>
                  <to>
                    <xdr:col>1</xdr:col>
                    <xdr:colOff>76200</xdr:colOff>
                    <xdr:row>96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42" r:id="rId22" name="Check Box 46">
              <controlPr defaultSize="0" autoFill="0" autoLine="0" autoPict="0">
                <anchor moveWithCells="1">
                  <from>
                    <xdr:col>0</xdr:col>
                    <xdr:colOff>38100</xdr:colOff>
                    <xdr:row>65</xdr:row>
                    <xdr:rowOff>47625</xdr:rowOff>
                  </from>
                  <to>
                    <xdr:col>1</xdr:col>
                    <xdr:colOff>76200</xdr:colOff>
                    <xdr:row>65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43" r:id="rId23" name="Check Box 47">
              <controlPr defaultSize="0" autoFill="0" autoLine="0" autoPict="0">
                <anchor moveWithCells="1">
                  <from>
                    <xdr:col>0</xdr:col>
                    <xdr:colOff>38100</xdr:colOff>
                    <xdr:row>71</xdr:row>
                    <xdr:rowOff>47625</xdr:rowOff>
                  </from>
                  <to>
                    <xdr:col>1</xdr:col>
                    <xdr:colOff>76200</xdr:colOff>
                    <xdr:row>71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44" r:id="rId24" name="Check Box 48">
              <controlPr defaultSize="0" autoFill="0" autoLine="0" autoPict="0">
                <anchor moveWithCells="1">
                  <from>
                    <xdr:col>0</xdr:col>
                    <xdr:colOff>38100</xdr:colOff>
                    <xdr:row>78</xdr:row>
                    <xdr:rowOff>0</xdr:rowOff>
                  </from>
                  <to>
                    <xdr:col>1</xdr:col>
                    <xdr:colOff>76200</xdr:colOff>
                    <xdr:row>79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45" r:id="rId25" name="Check Box 49">
              <controlPr defaultSize="0" autoFill="0" autoLine="0" autoPict="0">
                <anchor moveWithCells="1">
                  <from>
                    <xdr:col>0</xdr:col>
                    <xdr:colOff>38100</xdr:colOff>
                    <xdr:row>12</xdr:row>
                    <xdr:rowOff>323850</xdr:rowOff>
                  </from>
                  <to>
                    <xdr:col>1</xdr:col>
                    <xdr:colOff>76200</xdr:colOff>
                    <xdr:row>14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46" r:id="rId26" name="Check Box 50">
              <controlPr defaultSize="0" autoFill="0" autoLine="0" autoPict="0">
                <anchor moveWithCells="1">
                  <from>
                    <xdr:col>0</xdr:col>
                    <xdr:colOff>38100</xdr:colOff>
                    <xdr:row>60</xdr:row>
                    <xdr:rowOff>47625</xdr:rowOff>
                  </from>
                  <to>
                    <xdr:col>1</xdr:col>
                    <xdr:colOff>76200</xdr:colOff>
                    <xdr:row>60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47" r:id="rId27" name="Check Box 51">
              <controlPr defaultSize="0" autoFill="0" autoLine="0" autoPict="0">
                <anchor moveWithCells="1">
                  <from>
                    <xdr:col>0</xdr:col>
                    <xdr:colOff>28575</xdr:colOff>
                    <xdr:row>131</xdr:row>
                    <xdr:rowOff>228600</xdr:rowOff>
                  </from>
                  <to>
                    <xdr:col>1</xdr:col>
                    <xdr:colOff>66675</xdr:colOff>
                    <xdr:row>133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48" r:id="rId28" name="Check Box 52">
              <controlPr defaultSize="0" autoFill="0" autoLine="0" autoPict="0">
                <anchor moveWithCells="1">
                  <from>
                    <xdr:col>0</xdr:col>
                    <xdr:colOff>28575</xdr:colOff>
                    <xdr:row>11</xdr:row>
                    <xdr:rowOff>314325</xdr:rowOff>
                  </from>
                  <to>
                    <xdr:col>1</xdr:col>
                    <xdr:colOff>66675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51" r:id="rId29" name="Check Box 55">
              <controlPr defaultSize="0" autoFill="0" autoLine="0" autoPict="0">
                <anchor moveWithCells="1">
                  <from>
                    <xdr:col>0</xdr:col>
                    <xdr:colOff>38100</xdr:colOff>
                    <xdr:row>22</xdr:row>
                    <xdr:rowOff>47625</xdr:rowOff>
                  </from>
                  <to>
                    <xdr:col>1</xdr:col>
                    <xdr:colOff>76200</xdr:colOff>
                    <xdr:row>22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52" r:id="rId30" name="Check Box 56">
              <controlPr defaultSize="0" autoFill="0" autoLine="0" autoPict="0">
                <anchor moveWithCells="1">
                  <from>
                    <xdr:col>0</xdr:col>
                    <xdr:colOff>28575</xdr:colOff>
                    <xdr:row>95</xdr:row>
                    <xdr:rowOff>0</xdr:rowOff>
                  </from>
                  <to>
                    <xdr:col>1</xdr:col>
                    <xdr:colOff>66675</xdr:colOff>
                    <xdr:row>96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53" r:id="rId31" name="Check Box 57">
              <controlPr defaultSize="0" autoFill="0" autoLine="0" autoPict="0">
                <anchor moveWithCells="1">
                  <from>
                    <xdr:col>0</xdr:col>
                    <xdr:colOff>28575</xdr:colOff>
                    <xdr:row>96</xdr:row>
                    <xdr:rowOff>0</xdr:rowOff>
                  </from>
                  <to>
                    <xdr:col>1</xdr:col>
                    <xdr:colOff>66675</xdr:colOff>
                    <xdr:row>97</xdr:row>
                    <xdr:rowOff>85725</xdr:rowOff>
                  </to>
                </anchor>
              </controlPr>
            </control>
          </mc:Choice>
        </mc:AlternateContent>
      </controls>
    </mc:Choice>
  </mc:AlternateConten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B60C84-AA0A-4ABE-AA1C-4233A27D3F1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prep_table</vt:lpstr>
      <vt:lpstr>Smartseq</vt:lpstr>
      <vt:lpstr>Smartseq!_Hlk114062637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Hannah Riegler</dc:creator>
  <cp:lastModifiedBy>Hannah Riegler</cp:lastModifiedBy>
  <cp:lastPrinted>2024-07-15T12:24:02Z</cp:lastPrinted>
  <dcterms:created xsi:type="dcterms:W3CDTF">2021-12-15T12:05:33Z</dcterms:created>
  <dcterms:modified xsi:type="dcterms:W3CDTF">2025-12-01T10:15:59Z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7efb97e-6a22-4658-b35c-bacc77de03e2_Enabled">
    <vt:lpwstr>true</vt:lpwstr>
  </property>
  <property fmtid="{D5CDD505-2E9C-101B-9397-08002B2CF9AE}" pid="3" name="MSIP_Label_17efb97e-6a22-4658-b35c-bacc77de03e2_SetDate">
    <vt:lpwstr>2023-06-05T12:07:36Z</vt:lpwstr>
  </property>
  <property fmtid="{D5CDD505-2E9C-101B-9397-08002B2CF9AE}" pid="4" name="MSIP_Label_17efb97e-6a22-4658-b35c-bacc77de03e2_Method">
    <vt:lpwstr>Standard</vt:lpwstr>
  </property>
  <property fmtid="{D5CDD505-2E9C-101B-9397-08002B2CF9AE}" pid="5" name="MSIP_Label_17efb97e-6a22-4658-b35c-bacc77de03e2_Name">
    <vt:lpwstr>defa4170-0d19-0005-0004-bc88714345d2</vt:lpwstr>
  </property>
  <property fmtid="{D5CDD505-2E9C-101B-9397-08002B2CF9AE}" pid="6" name="MSIP_Label_17efb97e-6a22-4658-b35c-bacc77de03e2_SiteId">
    <vt:lpwstr>ca39edd1-7349-449a-bbae-314640be0def</vt:lpwstr>
  </property>
  <property fmtid="{D5CDD505-2E9C-101B-9397-08002B2CF9AE}" pid="7" name="MSIP_Label_17efb97e-6a22-4658-b35c-bacc77de03e2_ActionId">
    <vt:lpwstr>b9c67c21-efd6-4bb5-9eb0-23ae1130fa50</vt:lpwstr>
  </property>
  <property fmtid="{D5CDD505-2E9C-101B-9397-08002B2CF9AE}" pid="8" name="MSIP_Label_17efb97e-6a22-4658-b35c-bacc77de03e2_ContentBits">
    <vt:lpwstr>0</vt:lpwstr>
  </property>
</Properties>
</file>